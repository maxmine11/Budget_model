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autoCompressPictures="0"/>
  <bookViews>
    <workbookView xWindow="15" yWindow="855" windowWidth="15345" windowHeight="6690" tabRatio="907"/>
  </bookViews>
  <sheets>
    <sheet name="1. SRECNA" sheetId="51" r:id="rId1"/>
    <sheet name="2. MD&amp;A" sheetId="280" r:id="rId2"/>
    <sheet name="Simplified_Income_Statement" sheetId="1114" r:id="rId3"/>
    <sheet name="Simplified_Cash_Flow" sheetId="1105" r:id="rId4"/>
    <sheet name="Scenarios" sheetId="313" r:id="rId5"/>
    <sheet name="Tuition" sheetId="53" r:id="rId6"/>
    <sheet name="Benefits" sheetId="300" r:id="rId7"/>
    <sheet name="Debt Schedule" sheetId="63" r:id="rId8"/>
    <sheet name="Endowment" sheetId="67" r:id="rId9"/>
    <sheet name="Fan Chart_data" sheetId="863" r:id="rId10"/>
    <sheet name="Uncertainty Chart" sheetId="870" r:id="rId11"/>
    <sheet name="Probability" sheetId="866" r:id="rId12"/>
    <sheet name="Saved_Scenarios" sheetId="729" r:id="rId13"/>
  </sheets>
  <functionGroups builtInGroupCount="17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AA" localSheetId="3">#REF!</definedName>
    <definedName name="AAA" localSheetId="2">#REF!</definedName>
    <definedName name="AAA">#REF!</definedName>
    <definedName name="AllData" localSheetId="3">#REF!</definedName>
    <definedName name="AllData" localSheetId="2">#REF!</definedName>
    <definedName name="AllData">#REF!</definedName>
    <definedName name="Base_AFC">[1]Revenue!$B$21:$J$21</definedName>
    <definedName name="Base_AFCRate">[1]Revenue!$B$32:$J$32</definedName>
    <definedName name="Base_AppFee_GrRate">[1]Revenue!$B$34:$J$34</definedName>
    <definedName name="Base_BenefitsSupport">'[1]Commitments - Salaries,Benefits'!$B$57:$K$57</definedName>
    <definedName name="Base_Capital_Outlay">[1]SRECNA!$B$33:$J$33</definedName>
    <definedName name="Base_CapitalBank">[1]SRECNA!$B$34:$J$34</definedName>
    <definedName name="Base_CapitalRenewal">[1]SRECNA!$B$35:$J$35</definedName>
    <definedName name="Base_CBR_Academic">'[1]Commitments - Salaries,Benefits'!$B$79:$K$79</definedName>
    <definedName name="Base_CBR_Staff">'[1]Commitments - Salaries,Benefits'!$B$80:$K$80</definedName>
    <definedName name="Base_DebtService">[1]SRECNA!$B$32:$J$32</definedName>
    <definedName name="Base_FacRecruit">'[2]Central Model - Commitments Tab'!$B$53:$J$53</definedName>
    <definedName name="Base_Fundraising">'[2]Central Model - Commitments Tab'!$B$54:$J$54</definedName>
    <definedName name="Base_GA">'[1]Transfers - General Allocation'!$B$2:$K$2</definedName>
    <definedName name="Base_GlobalCampus">'[2]Central Model - Commitments Tab'!$B$55:$J$55</definedName>
    <definedName name="Base_InvIncome">[1]Revenue!$B$17:$J$17</definedName>
    <definedName name="Base_MeritPerc_Faculty">'[1]Commitments - Salaries,Benefits'!$C$8:$K$8</definedName>
    <definedName name="Base_MeritPerc_OthAcad">'[1]Commitments - Salaries,Benefits'!$D$16:$K$16</definedName>
    <definedName name="Base_MeritPerc_Staff">'[1]Commitments - Salaries,Benefits'!$D$24:$K$24</definedName>
    <definedName name="Base_MeritPrgm_OthAcad">'[1]Commitments - Salaries,Benefits'!$B$18:$K$18</definedName>
    <definedName name="Base_MeritPrgm_Staff">'[1]Commitments - Salaries,Benefits'!$B$26:$K$26</definedName>
    <definedName name="Base_MeritPrgmFunded_Faculty">'[1]Commitments - Salaries,Benefits'!$B$9:$K$9</definedName>
    <definedName name="Base_MeritPrgmFunded_OthAcad">'[1]Commitments - Salaries,Benefits'!$B$17:$K$17</definedName>
    <definedName name="Base_MeritPrgmFunded_Staff">'[1]Commitments - Salaries,Benefits'!$B$25:$K$25</definedName>
    <definedName name="Base_NonOperRev">[1]Revenue!$B$23:$J$23</definedName>
    <definedName name="Base_NRPop_Perc">[1]Revenue!$D$30:$J$30</definedName>
    <definedName name="Base_NRT_GrRate">[1]Revenue!$E$28:$J$28</definedName>
    <definedName name="Base_OtherChanges_Faculty">'[1]Commitments - Salaries,Benefits'!$B$11:$K$11</definedName>
    <definedName name="Base_OtherChanges_OthAcad">'[1]Commitments - Salaries,Benefits'!$B$19:$K$19</definedName>
    <definedName name="Base_OtherChanges_Staff">'[1]Commitments - Salaries,Benefits'!$B$27:$K$27</definedName>
    <definedName name="Base_OtherChanges_Total">'[1]Commitments - Salaries,Benefits'!$B$4:$K$4</definedName>
    <definedName name="Base_OtherStApprop_GrRate">[1]Revenue!$B$38:$J$38</definedName>
    <definedName name="Base_OtherStudFees_GrRate">[1]Revenue!$B$37:$J$37</definedName>
    <definedName name="Base_PDST_GrRate">[1]Revenue!$E$35:$J$35</definedName>
    <definedName name="Base_PrivateGifts">[1]Revenue!$B$15:$J$15</definedName>
    <definedName name="Base_PrivateGifts_GrRate">[1]Revenue!$E$31:$J$31</definedName>
    <definedName name="Base_SalesandServices">[1]Revenue!$B$20:$J$20</definedName>
    <definedName name="Base_SalesServices_GrRate">[1]Revenue!$B$41:$J$41</definedName>
    <definedName name="Base_SIS">'[2]Central Model - Commitments Tab'!$B$56:$J$56</definedName>
    <definedName name="Base_SSDPTaxes_GrRate">[1]Revenue!$B$36:$J$36</definedName>
    <definedName name="Base_SSF_GrRate">[1]Revenue!$B$33:$J$33</definedName>
    <definedName name="Base_StateSupport">[1]Revenue!$B$3:$J$3</definedName>
    <definedName name="Base_StateSupport_GrRate">[1]Revenue!$B$26:$J$26</definedName>
    <definedName name="Base_STIP_GrRate">[1]Revenue!$B$39:$J$39</definedName>
    <definedName name="Base_StudentPop_GrRate">[1]Revenue!$E$29:$J$29</definedName>
    <definedName name="Base_Transfers_Total">[1]SRECNA!$B$12:$J$12</definedName>
    <definedName name="Base_TRIP_GrRate">[1]Revenue!$B$40:$J$40</definedName>
    <definedName name="Base_Tuition">[1]Revenue!$B$6:$J$6</definedName>
    <definedName name="Base_Tuition_GrRate">[1]Revenue!$B$27:$J$27</definedName>
    <definedName name="Base_UGradInitiative">'[2]Central Model - Commitments Tab'!$B$57:$J$57</definedName>
    <definedName name="BBB" localSheetId="3">#REF!</definedName>
    <definedName name="BBB" localSheetId="2">#REF!</definedName>
    <definedName name="BBB">#REF!</definedName>
    <definedName name="ben" localSheetId="3">#REF!</definedName>
    <definedName name="ben" localSheetId="2">#REF!</definedName>
    <definedName name="ben">#REF!</definedName>
    <definedName name="BlockGrant_GrRate">'[1]Summary Control Sheet'!$D$30</definedName>
    <definedName name="CapBank_True">'[1]Summary Control Sheet'!$D$45</definedName>
    <definedName name="CapitalBank">'[1]Transfers&amp;Capital - Initiatives'!$B$23:$J$23</definedName>
    <definedName name="CapitalRenewal">'[1]Transfers&amp;Capital - Initiatives'!$B$24:$J$24</definedName>
    <definedName name="CapRenew_True">'[1]Summary Control Sheet'!$D$46</definedName>
    <definedName name="CBR_WriteOff">'[1]Transfers&amp;Capital - Initiatives'!$B$25:$J$25</definedName>
    <definedName name="CBR_WriteOff_True">'[1]Summary Control Sheet'!$D$47</definedName>
    <definedName name="CS_AFC">'[1]Summary Control Sheet'!$E$12:$J$12</definedName>
    <definedName name="CS_AFCRate">'[1]Summary Control Sheet'!$D$12</definedName>
    <definedName name="CS_BenefitsFunding_Faculty">'[1]Summary Control Sheet'!$E$18:$J$18</definedName>
    <definedName name="CS_BenefitsFunding_OthAcad">'[1]Summary Control Sheet'!$E$22:$J$22</definedName>
    <definedName name="CS_BenefitsFunding_Staff">'[1]Summary Control Sheet'!$E$26:$J$26</definedName>
    <definedName name="CS_BlockGrant">'[1]Summary Control Sheet'!$E$30:$J$30</definedName>
    <definedName name="CS_CapitalBank">'[1]Summary Control Sheet'!$E$45:$J$45</definedName>
    <definedName name="CS_CapitalRenewal">'[1]Summary Control Sheet'!$E$46:$J$46</definedName>
    <definedName name="CS_CBR_Academic">'[1]Commitments - Salaries,Benefits'!$B$106:$K$106</definedName>
    <definedName name="CS_CBR_Staff">'[1]Commitments - Salaries,Benefits'!$B$107:$K$107</definedName>
    <definedName name="CS_CBR_WriteOff">'[1]Summary Control Sheet'!$E$47:$J$47</definedName>
    <definedName name="CS_CSS_WriteOff">'[1]Summary Control Sheet'!$E$48:$J$48</definedName>
    <definedName name="CS_EVCPBlockGrant">'[1]Summary Control Sheet'!$E$31:$J$31</definedName>
    <definedName name="CS_FacultyRecruit">'[1]Summary Control Sheet'!$E$41:$J$41</definedName>
    <definedName name="CS_FinancialAid">'[1]Summary Control Sheet'!$E$28:$J$28</definedName>
    <definedName name="CS_FTEchange_Faculty">'[1]Summary Control Sheet'!$E$19:$J$19</definedName>
    <definedName name="CS_FTEchange_OthAcad">'[1]Summary Control Sheet'!$E$23:$J$23</definedName>
    <definedName name="CS_FTEchange_Staff">'[1]Summary Control Sheet'!$E$27:$J$27</definedName>
    <definedName name="CS_Fundraising">'[1]Summary Control Sheet'!$E$38:$J$38</definedName>
    <definedName name="CS_Gift_Fee_To_Center">'[1]Summary Control Sheet'!$E$35:$J$35</definedName>
    <definedName name="CS_Giftfee">'[1]Summary Control Sheet'!$D$35</definedName>
    <definedName name="CS_GlobalCampus">'[1]Summary Control Sheet'!$E$39:$J$39</definedName>
    <definedName name="CS_ICR">'[1]Summary Control Sheet'!$E$34:$J$34</definedName>
    <definedName name="CS_MeritFunding_Faculty">'[1]Summary Control Sheet'!$E$17:$J$17</definedName>
    <definedName name="CS_MeritFunding_OthAcad">'[1]Summary Control Sheet'!$E$21:$J$21</definedName>
    <definedName name="CS_MeritFunding_Staff">'[1]Summary Control Sheet'!$E$25:$J$25</definedName>
    <definedName name="CS_MeritPerc_Faculty">'[1]Summary Control Sheet'!$E$16:$J$16</definedName>
    <definedName name="CS_MeritPerc_OthAcad">'[1]Summary Control Sheet'!$E$20:$J$20</definedName>
    <definedName name="CS_MeritPerc_Staff">'[1]Summary Control Sheet'!$E$24:$J$24</definedName>
    <definedName name="CS_NRPop_Perc">'[1]Summary Control Sheet'!$E$9:$J$9</definedName>
    <definedName name="CS_NRT_GrRate">'[1]Summary Control Sheet'!$E$7:$J$7</definedName>
    <definedName name="CS_Permbudg_Red">'[1]Summary Control Sheet'!$E$15:$J$15</definedName>
    <definedName name="CS_PrivateGifts">'[1]Summary Control Sheet'!$E$11:$J$11</definedName>
    <definedName name="CS_PrivateGifts_GrRate">'[1]Summary Control Sheet'!$D$11</definedName>
    <definedName name="CS_RegentsPayout">'[1]Summary Control Sheet'!$E$33:$J$33</definedName>
    <definedName name="CS_SIS">'[1]Summary Control Sheet'!$E$37:$J$37</definedName>
    <definedName name="CS_State_GrRate">'[1]Summary Control Sheet'!$E$5:$J$5</definedName>
    <definedName name="CS_StudentPop_GrRate">'[1]Summary Control Sheet'!$E$8:$J$8</definedName>
    <definedName name="CS_TAS">'[1]Summary Control Sheet'!$E$29:$J$29</definedName>
    <definedName name="CS_TRIPWithdrawal">'[1]Summary Control Sheet'!$E$10:$J$10</definedName>
    <definedName name="CS_Tuition_GrRate">'[1]Summary Control Sheet'!$E$6:$J$6</definedName>
    <definedName name="CS_UCOPAsmnt">'[1]Summary Control Sheet'!$E$32:$J$32</definedName>
    <definedName name="CS_UCPATH">'[1]Summary Control Sheet'!$E$36:$J$36</definedName>
    <definedName name="CS_UGradinitiative">'[1]Summary Control Sheet'!$E$40:$J$40</definedName>
    <definedName name="CSS_Unfunded">'[1]Transfers&amp;Capital - Initiatives'!$B$26:$J$26</definedName>
    <definedName name="CSS_Writeoff_True">'[1]Summary Control Sheet'!$D$48</definedName>
    <definedName name="CurrentFiscalYear">'1. SRECNA'!$E$115</definedName>
    <definedName name="Default_GrRate">'[2]Central Model - Commitments Tab'!$B$156</definedName>
    <definedName name="Diagnostics_Account">#REF!</definedName>
    <definedName name="Diagnostics_Forecast">#REF!</definedName>
    <definedName name="Discount_Factor">[1]Revenue!$E$79:$J$79</definedName>
    <definedName name="Endowed_gifts">Endowment!$I$49</definedName>
    <definedName name="enr_Grad_Acad">Tuition!$A$65:$AI$65</definedName>
    <definedName name="enr_Grad_Acad_NR">Tuition!$A$63:$AI$63</definedName>
    <definedName name="enr_Grad_Prof">Tuition!$A$98:$AI$98</definedName>
    <definedName name="enr_Grad_Prof_NR">Tuition!$A$97:$AI$97</definedName>
    <definedName name="enr_NR_GrossHC">Tuition!$R$172:$AI$172</definedName>
    <definedName name="enr_UG_instate">Tuition!$A$57:$AI$57</definedName>
    <definedName name="enr_UG_NR">Tuition!$A$58:$AI$58</definedName>
    <definedName name="enr_UG_total">Tuition!$A$59:$AI$59</definedName>
    <definedName name="EVCP_GrRate">'[1]Summary Control Sheet'!$D$31</definedName>
    <definedName name="exp_Benefits">'1. SRECNA'!$A$45:$AI$45</definedName>
    <definedName name="exp_Capital_Lease">'Debt Schedule'!$A$14:$AH$14</definedName>
    <definedName name="exp_Debt_Service">'Debt Schedule'!$A$16:$AH$16</definedName>
    <definedName name="exp_Depr_buildings">'Debt Schedule'!$A$18:$AH$18</definedName>
    <definedName name="exp_Depreciation">'1. SRECNA'!$A$50:$AI$50</definedName>
    <definedName name="exp_OE_Savings" localSheetId="3">Simplified_Cash_Flow!#REF!</definedName>
    <definedName name="exp_OE_Savings" localSheetId="2">Simplified_Income_Statement!#REF!</definedName>
    <definedName name="exp_OE_Savings">'2. MD&amp;A'!$A$58:$AI$58</definedName>
    <definedName name="exp_Other_OpEx">'1. SRECNA'!$A$51:$AI$51</definedName>
    <definedName name="exp_Salaries">'1. SRECNA'!$A$44:$AI$44</definedName>
    <definedName name="exp_Scholarship">'1. SRECNA'!$A$47:$AI$47</definedName>
    <definedName name="exp_Supplies">'1. SRECNA'!$A$49:$AI$49</definedName>
    <definedName name="exp_Utilities">'1. SRECNA'!$A$48:$AI$48</definedName>
    <definedName name="Fac_BenefitsPerc">'[1]Commitments - Salaries,Benefits'!$K$62</definedName>
    <definedName name="FacRec_True">'[1]Summary Control Sheet'!$D$41</definedName>
    <definedName name="Faculty_MeritImpact">'[1]Commitments - Salaries,Benefits'!$K$8</definedName>
    <definedName name="FacultyRecruit">'[1]Transfers&amp;Capital - Initiatives'!$B$19:$J$19</definedName>
    <definedName name="fee_Discount_Factor">Tuition!$A$114:$AI$114</definedName>
    <definedName name="fee_NR_discount_factor">Tuition!$A$122:$AI$122</definedName>
    <definedName name="fee_NRT_Grad_Acad">Tuition!$A$18:$AI$18</definedName>
    <definedName name="fee_NRT_Grad_Prof">Tuition!$A$19:$AI$19</definedName>
    <definedName name="fee_NRT_UG">Tuition!$A$17:$AI$17</definedName>
    <definedName name="fee_SSF">Tuition!$A$14:$AI$14</definedName>
    <definedName name="fee_Tuition">Tuition!$A$12:$AI$12</definedName>
    <definedName name="FinRanks">'[3]New Initiatives - Finance+'!$AL$3:$AM$65</definedName>
    <definedName name="foundation_endowment_payout">Endowment!$A$18:$AI$18</definedName>
    <definedName name="Foundation_payout_rate">Endowment!$I$47</definedName>
    <definedName name="Foundation_prct">Endowment!$I$50</definedName>
    <definedName name="FundRaise_True">'[1]Summary Control Sheet'!$D$38</definedName>
    <definedName name="Fundraising">'[1]Transfers&amp;Capital - Initiatives'!$B$20:$J$20</definedName>
    <definedName name="FY12_budget_cut">'1. SRECNA'!$G$171</definedName>
    <definedName name="Gift_Fee_Rev_Center">'[1]Transfers - Gift fee'!$B$17:$J$17</definedName>
    <definedName name="GlobalCampus">'[1]Transfers&amp;Capital - Initiatives'!$B$21:$J$21</definedName>
    <definedName name="GlobalCampus_True">'[1]Summary Control Sheet'!$D$39</definedName>
    <definedName name="gr_Auxiliary_Enterprises">'1. SRECNA'!$A$133:$AI$133</definedName>
    <definedName name="gr_Capital_Gifts">'1. SRECNA'!$A$166:$AI$166</definedName>
    <definedName name="gr_Depreciation">'1. SRECNA'!$A$142:$AI$142</definedName>
    <definedName name="gr_Disability">[4]Benefits!$A$45:$V$45</definedName>
    <definedName name="gr_Educational_Activities">'1. SRECNA'!$A$132:$AI$132</definedName>
    <definedName name="gr_endowment" localSheetId="3">Simplified_Cash_Flow!#REF!</definedName>
    <definedName name="gr_endowment" localSheetId="2">Simplified_Income_Statement!#REF!</definedName>
    <definedName name="gr_endowment">'2. MD&amp;A'!$A$52:$AI$52</definedName>
    <definedName name="gr_Federal" localSheetId="3">Simplified_Cash_Flow!#REF!</definedName>
    <definedName name="gr_Federal" localSheetId="2">Simplified_Income_Statement!#REF!</definedName>
    <definedName name="gr_Federal">'2. MD&amp;A'!$D$49:$AI$49</definedName>
    <definedName name="gr_Gifts">'2. MD&amp;A'!$A$51:$AI$51</definedName>
    <definedName name="gr_Grants" localSheetId="3">Simplified_Cash_Flow!#REF!</definedName>
    <definedName name="gr_Grants" localSheetId="2">Simplified_Income_Statement!#REF!</definedName>
    <definedName name="gr_Grants">'2. MD&amp;A'!$A$48:$AI$48</definedName>
    <definedName name="gr_Health_insurance">[4]Benefits!$A$43:$V$43</definedName>
    <definedName name="gr_Inflation">'1. SRECNA'!$A$119:$AI$119</definedName>
    <definedName name="gr_interest_expense">'1. SRECNA'!$A$160:$AI$160</definedName>
    <definedName name="gr_Life_insurance">[4]Benefits!$A$44:$V$44</definedName>
    <definedName name="gr_NRST_Grad">Tuition!$R$171:$AI$171</definedName>
    <definedName name="gr_NRT" localSheetId="3">Simplified_Cash_Flow!#REF!</definedName>
    <definedName name="gr_NRT" localSheetId="2">Simplified_Income_Statement!#REF!</definedName>
    <definedName name="gr_NRT">'2. MD&amp;A'!$E$46:$AI$46</definedName>
    <definedName name="gr_Other_benefits">[4]Benefits!$A$48:$V$48</definedName>
    <definedName name="gr_Other_OpEx" localSheetId="3">Simplified_Cash_Flow!#REF!</definedName>
    <definedName name="gr_Other_OpEx" localSheetId="2">Simplified_Income_Statement!#REF!</definedName>
    <definedName name="gr_Other_OpEx">'2. MD&amp;A'!$A$59:$AI$59</definedName>
    <definedName name="gr_Other_Revenues">'1. SRECNA'!$A$134:$AI$134</definedName>
    <definedName name="gr_Pell_Grant">'1. SRECNA'!$A$154:$AI$154</definedName>
    <definedName name="gr_Reg_Fee">'1. SRECNA'!$A$124:$AI$124</definedName>
    <definedName name="gr_Retiree_health_care">[4]Benefits!$A$46:$V$46</definedName>
    <definedName name="gr_Salaries" localSheetId="3">Simplified_Cash_Flow!#REF!</definedName>
    <definedName name="gr_Salaries" localSheetId="2">Simplified_Income_Statement!#REF!</definedName>
    <definedName name="gr_Salaries">'2. MD&amp;A'!$A$56:$AI$56</definedName>
    <definedName name="gr_Scholarship">'1. SRECNA'!$A$139:$AI$139</definedName>
    <definedName name="gr_Self_Supporting_Fees">Tuition!$A$170:$AI$170</definedName>
    <definedName name="gr_State_Capital_Approp">'1. SRECNA'!$A$165:$AI$165</definedName>
    <definedName name="gr_State_Educational_Approp" localSheetId="3">Simplified_Cash_Flow!#REF!</definedName>
    <definedName name="gr_State_Educational_Approp" localSheetId="2">Simplified_Income_Statement!#REF!</definedName>
    <definedName name="gr_State_Educational_Approp">'2. MD&amp;A'!$A$47:$AI$47</definedName>
    <definedName name="gr_STIP">'1. SRECNA'!$A$158:$AI$158</definedName>
    <definedName name="gr_Supplies">'1. SRECNA'!$A$141:$AI$141</definedName>
    <definedName name="gr_TRIP">'1. SRECNA'!$A$159:$AI$159</definedName>
    <definedName name="gr_Tuition" localSheetId="3">Simplified_Cash_Flow!#REF!</definedName>
    <definedName name="gr_Tuition" localSheetId="2">Simplified_Income_Statement!#REF!</definedName>
    <definedName name="gr_Tuition">'2. MD&amp;A'!$A$45:$AI$45</definedName>
    <definedName name="gr_UG_Enrollment">Tuition!$A$173:$AI$173</definedName>
    <definedName name="gr_Utilities">'1. SRECNA'!$A$140:$AI$140</definedName>
    <definedName name="ICR_GrRate">'[1]Summary Control Sheet'!$D$34</definedName>
    <definedName name="IdeasData" localSheetId="3">#REF!</definedName>
    <definedName name="IdeasData" localSheetId="2">#REF!</definedName>
    <definedName name="IdeasData">#REF!</definedName>
    <definedName name="MacroDrivers" localSheetId="3">#REF!</definedName>
    <definedName name="MacroDrivers" localSheetId="2">#REF!</definedName>
    <definedName name="MacroDrivers">#REF!</definedName>
    <definedName name="Min_FundBalance">'[1]Summary Control Sheet'!$C$53</definedName>
    <definedName name="OCC_NoNew">'[1]Summary Control Sheet'!$D$42</definedName>
    <definedName name="oe" localSheetId="3">Simplified_Cash_Flow!#REF!</definedName>
    <definedName name="oe" localSheetId="2">Simplified_Income_Statement!#REF!</definedName>
    <definedName name="oe">'2. MD&amp;A'!$B$58:$B$59</definedName>
    <definedName name="OrigList" localSheetId="3">#REF!</definedName>
    <definedName name="OrigList" localSheetId="2">#REF!</definedName>
    <definedName name="OrigList">#REF!</definedName>
    <definedName name="OrigRanks" localSheetId="3">#REF!</definedName>
    <definedName name="OrigRanks" localSheetId="2">#REF!</definedName>
    <definedName name="OrigRanks">#REF!</definedName>
    <definedName name="oth" localSheetId="3">#REF!</definedName>
    <definedName name="oth" localSheetId="2">#REF!</definedName>
    <definedName name="oth">#REF!</definedName>
    <definedName name="OthAcad_BenefitsPerc">'[1]Commitments - Salaries,Benefits'!$K$68</definedName>
    <definedName name="OthAcad_MeritImpact">'[1]Commitments - Salaries,Benefits'!$K$16</definedName>
    <definedName name="other" localSheetId="3">#REF!</definedName>
    <definedName name="other" localSheetId="2">#REF!</definedName>
    <definedName name="other">#REF!</definedName>
    <definedName name="pct_Benefits" localSheetId="3">Simplified_Cash_Flow!#REF!</definedName>
    <definedName name="pct_Benefits" localSheetId="2">Simplified_Income_Statement!#REF!</definedName>
    <definedName name="pct_Benefits">'2. MD&amp;A'!$A$57:$AI$57</definedName>
    <definedName name="pct_Benefits_calculated">[4]Benefits!$A$29:$V$29</definedName>
    <definedName name="pct_Gift_Fee">Endowment!$I$51</definedName>
    <definedName name="pct_NonResident" localSheetId="3">Simplified_Cash_Flow!#REF!</definedName>
    <definedName name="pct_NonResident" localSheetId="2">Simplified_Income_Statement!#REF!</definedName>
    <definedName name="pct_NonResident">'2. MD&amp;A'!$A$50:$AI$50</definedName>
    <definedName name="pct_NR_gross_enrollment">Tuition!$A$172:$AI$172</definedName>
    <definedName name="PDST_Fee_Growth">Tuition!$A$169:$AI$169</definedName>
    <definedName name="_xlnm.Print_Area" localSheetId="0">'1. SRECNA'!$E$3:$AB$109</definedName>
    <definedName name="_xlnm.Print_Area" localSheetId="1">'2. MD&amp;A'!$A$1:$X$59</definedName>
    <definedName name="_xlnm.Print_Area" localSheetId="6">Benefits!$D$3:$X$53</definedName>
    <definedName name="_xlnm.Print_Area" localSheetId="7">'Debt Schedule'!$E$4:$V$17</definedName>
    <definedName name="_xlnm.Print_Area" localSheetId="8">Endowment!$D$3:$Z$50</definedName>
    <definedName name="_xlnm.Print_Area" localSheetId="3">Simplified_Cash_Flow!$A$1:$Y$130</definedName>
    <definedName name="_xlnm.Print_Area" localSheetId="2">Simplified_Income_Statement!$A$1:$X$46</definedName>
    <definedName name="_xlnm.Print_Area" localSheetId="5">Tuition!$E$3:$X$173</definedName>
    <definedName name="Prior_Year">INDIRECT(ADDRESS(ROW(),COLUMN()-1))</definedName>
    <definedName name="Probability_Options">#REF!</definedName>
    <definedName name="regent_endowment_payout">Endowment!$A$20:$AI$20</definedName>
    <definedName name="Regents_GrRate">'[1]Summary Control Sheet'!$D$33</definedName>
    <definedName name="Regents_payout_rate">Endowment!$I$48</definedName>
    <definedName name="Return_to_Aid">Tuition!$A$165:$AI$165</definedName>
    <definedName name="Return_To_Aid_Increment">Tuition!$A$164:$AI$164</definedName>
    <definedName name="rev_Auxiliary_Enterprises">'1. SRECNA'!$A$30:$AI$30</definedName>
    <definedName name="rev_Educational_Activities">'1. SRECNA'!$A$29:$AI$29</definedName>
    <definedName name="rev_Endowment_net">'1. SRECNA'!$A$77:$AI$77</definedName>
    <definedName name="rev_Federal_Pell_Grants">'1. SRECNA'!$A$74:$AI$74</definedName>
    <definedName name="rev_Graduate_Professional_Fees">Tuition!$A$145:$AI$145</definedName>
    <definedName name="rev_Grants_and_Contracts_net">'1. SRECNA'!$A$22:$AI$22</definedName>
    <definedName name="rev_grants_federal">'1. SRECNA'!$D$24:$AI$24</definedName>
    <definedName name="rev_grants_local">'1. SRECNA'!$D$27:$AI$27</definedName>
    <definedName name="rev_grants_private">'1. SRECNA'!$D$26:$AI$26</definedName>
    <definedName name="rev_grants_State">'1. SRECNA'!$D$25:$AI$25</definedName>
    <definedName name="rev_Health_Ins_Fees" localSheetId="3">[5]Tuition!#REF!</definedName>
    <definedName name="rev_Health_Ins_Fees" localSheetId="2">[5]Tuition!#REF!</definedName>
    <definedName name="rev_Health_Ins_Fees">[5]Tuition!#REF!</definedName>
    <definedName name="rev_NRT">Tuition!$A$128:$AI$128</definedName>
    <definedName name="rev_Other_Operating">'1. SRECNA'!$A$38:$AI$38</definedName>
    <definedName name="rev_Other_ST_Fees">Tuition!$A$159:$AI$159</definedName>
    <definedName name="rev_Private_Gifts">'1. SRECNA'!$A$75:$AI$75</definedName>
    <definedName name="rev_Self_Supporting">Tuition!$A$157:$AI$157</definedName>
    <definedName name="rev_state_augmentation">'1. SRECNA'!$P$150:$AI$150</definedName>
    <definedName name="rev_State_General_Support">'1. SRECNA'!$A$70:$AI$70</definedName>
    <definedName name="rev_State_reductions">'1. SRECNA'!$P$149:$AI$149</definedName>
    <definedName name="rev_State_UCRP">'1. SRECNA'!$A$148:$AI$148</definedName>
    <definedName name="rev_STIP">'1. SRECNA'!$A$78:$AI$78</definedName>
    <definedName name="rev_Student_Services_Fee">Tuition!$A$120:$AI$120</definedName>
    <definedName name="rev_Student_tuition_fees_net">'1. SRECNA'!$A$13:$AI$13</definedName>
    <definedName name="rev_TRIP">'1. SRECNA'!$A$79:$AI$79</definedName>
    <definedName name="rev_Tuition">Tuition!$A$118:$AI$118</definedName>
    <definedName name="sal" localSheetId="3">#REF!</definedName>
    <definedName name="sal" localSheetId="2">#REF!</definedName>
    <definedName name="sal">#REF!</definedName>
    <definedName name="salary" localSheetId="3">#REF!</definedName>
    <definedName name="salary" localSheetId="2">#REF!</definedName>
    <definedName name="salary">#REF!</definedName>
    <definedName name="Scenario_AFC">[1]Revenue!$B$63:$J$63</definedName>
    <definedName name="Scenario_AppFee_GrRate">[1]Revenue!$C$69:$J$69</definedName>
    <definedName name="Scenario_Benefits_NewFTE">'[1]Commitments - Salaries,Benefits'!$B$85:$IJ$85</definedName>
    <definedName name="Scenario_BenefitsSupport">'[1]Commitments - Salaries,Benefits'!$B$84:$J$84</definedName>
    <definedName name="Scenario_Ending_Balance">[1]SRECNA!$B$85:$J$85</definedName>
    <definedName name="Scenario_InvIncome">[1]Revenue!$B$58:$J$58</definedName>
    <definedName name="Scenario_MeritPrgm_Faculty">'[1]Commitments - Salaries,Benefits'!$B$37:$J$37</definedName>
    <definedName name="Scenario_MeritPrgm_OthAcad">'[1]Commitments - Salaries,Benefits'!$B$44:$J$44</definedName>
    <definedName name="Scenario_MeritPrgm_Staff">'[1]Commitments - Salaries,Benefits'!$B$51:$J$51</definedName>
    <definedName name="Scenario_MeritPrgmFunded_Faculty">'[1]Commitments - Salaries,Benefits'!$B$36:$J$36</definedName>
    <definedName name="Scenario_MeritPrgmFunded_OthAcad">'[1]Commitments - Salaries,Benefits'!$B$43:$J$43</definedName>
    <definedName name="Scenario_MeritPrgmFunded_Staff">'[1]Commitments - Salaries,Benefits'!$B$50:$J$50</definedName>
    <definedName name="Scenario_NonOperRev">[1]Revenue!$B$65:$J$65</definedName>
    <definedName name="Scenario_OtherChanges_Faculty">'[1]Commitments - Salaries,Benefits'!$B$38:$J$38</definedName>
    <definedName name="Scenario_OtherChanges_OthAcad">'[1]Commitments - Salaries,Benefits'!$B$45:$J$45</definedName>
    <definedName name="Scenario_OtherChanges_Staff">'[1]Commitments - Salaries,Benefits'!$B$52:$J$52</definedName>
    <definedName name="Scenario_OtherChanges_Total">'[1]Commitments - Salaries,Benefits'!$B$33:$J$33</definedName>
    <definedName name="Scenario_OtherStudFees_GrRate">[1]Revenue!$C$72:$J$72</definedName>
    <definedName name="Scenario_PDST_GrRate">[1]Revenue!$E$70:$J$70</definedName>
    <definedName name="Scenario_Permbudg">'[1]Transfers - General Allocation'!$B$21:$K$21</definedName>
    <definedName name="Scenario_PrivateGifts">[1]Revenue!$B$56:$J$56</definedName>
    <definedName name="Scenario_SalesandServ">[1]Revenue!$B$62:$J$62</definedName>
    <definedName name="Scenario_SalesServices_GrRate">[1]Revenue!$C$76:$J$76</definedName>
    <definedName name="Scenario_SSDP_GrRate">[1]Revenue!$E$71:$J$71</definedName>
    <definedName name="Scenario_SSF_GrRate">[1]Revenue!$E$68:$J$68</definedName>
    <definedName name="Scenario_StateSupport">[1]Revenue!$B$44:$J$44</definedName>
    <definedName name="Scenario_STIP_GrRate">[1]Revenue!$C$74:$J$74</definedName>
    <definedName name="Scenario_Transfers_Total">[1]SRECNA!$B$54:$J$54</definedName>
    <definedName name="Scenario_TRIP_GrRate">[1]Revenue!$C$75:$J$75</definedName>
    <definedName name="Scenario_Tuition">[1]Revenue!$B$47:$J$47</definedName>
    <definedName name="Scenario_UCOPRecharge">[1]SRECNA!$B$67:$J$67</definedName>
    <definedName name="Scenario_UCOPSystemwide">[1]SRECNA!$B$66:$J$66</definedName>
    <definedName name="schol" localSheetId="3">#REF!</definedName>
    <definedName name="schol" localSheetId="2">#REF!</definedName>
    <definedName name="schol">#REF!</definedName>
    <definedName name="SIS">'[1]Transfers&amp;Capital - Initiatives'!$B$18:$J$18</definedName>
    <definedName name="SIS_True">'[1]Summary Control Sheet'!$D$37</definedName>
    <definedName name="Snapshot_Options">#REF!</definedName>
    <definedName name="solver_adj" localSheetId="1" hidden="1">'2. MD&amp;A'!$T$56:$X$56</definedName>
    <definedName name="solver_adj" localSheetId="3" hidden="1">Simplified_Cash_Flow!#REF!</definedName>
    <definedName name="solver_adj" localSheetId="2" hidden="1">Simplified_Income_Statement!#REF!</definedName>
    <definedName name="Solver_Constraints">#REF!</definedName>
    <definedName name="solver_cvg" localSheetId="1" hidden="1">0.0001</definedName>
    <definedName name="solver_cvg" localSheetId="4" hidden="1">0.05</definedName>
    <definedName name="solver_cvg" localSheetId="3" hidden="1">0.0001</definedName>
    <definedName name="solver_cvg" localSheetId="2" hidden="1">0.0001</definedName>
    <definedName name="solver_drv" localSheetId="1" hidden="1">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4" hidden="1">2</definedName>
    <definedName name="solver_eng" localSheetId="3" hidden="1">1</definedName>
    <definedName name="solver_eng" localSheetId="2" hidden="1">1</definedName>
    <definedName name="solver_est" localSheetId="1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Input">#REF!</definedName>
    <definedName name="solver_itr" localSheetId="1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lhs1" localSheetId="1" hidden="1">'2. MD&amp;A'!$T$56:$X$56</definedName>
    <definedName name="solver_lhs1" localSheetId="4" hidden="1">Scenarios!$K$43:$P$43</definedName>
    <definedName name="solver_lhs1" localSheetId="3" hidden="1">Simplified_Cash_Flow!#REF!</definedName>
    <definedName name="solver_lhs1" localSheetId="2" hidden="1">Simplified_Income_Statement!#REF!</definedName>
    <definedName name="solver_lhs2" localSheetId="1" hidden="1">'2. MD&amp;A'!$S$49:$X$49</definedName>
    <definedName name="solver_lhs2" localSheetId="4" hidden="1">Scenarios!$K$52:$P$54</definedName>
    <definedName name="solver_lhs2" localSheetId="3" hidden="1">Simplified_Cash_Flow!#REF!</definedName>
    <definedName name="solver_lhs2" localSheetId="2" hidden="1">Simplified_Income_Statement!#REF!</definedName>
    <definedName name="solver_lhs3" localSheetId="1" hidden="1">'2. MD&amp;A'!$S$51:$X$51</definedName>
    <definedName name="solver_lhs3" localSheetId="4" hidden="1">Scenarios!$K$57:$P$57</definedName>
    <definedName name="solver_lhs3" localSheetId="3" hidden="1">Simplified_Cash_Flow!#REF!</definedName>
    <definedName name="solver_lhs3" localSheetId="2" hidden="1">Simplified_Income_Statement!#REF!</definedName>
    <definedName name="solver_lhs4" localSheetId="1" hidden="1">'2. MD&amp;A'!$R$66:$X$67</definedName>
    <definedName name="solver_lhs4" localSheetId="3" hidden="1">Simplified_Cash_Flow!$S$134:$Y$135</definedName>
    <definedName name="solver_lhs4" localSheetId="2" hidden="1">Simplified_Income_Statement!#REF!</definedName>
    <definedName name="solver_lhs5" localSheetId="1" hidden="1">'2. MD&amp;A'!$R$66:$X$67</definedName>
    <definedName name="solver_lhs5" localSheetId="3" hidden="1">Simplified_Cash_Flow!$S$134:$Y$135</definedName>
    <definedName name="solver_lhs5" localSheetId="2" hidden="1">Simplified_Income_Statement!#REF!</definedName>
    <definedName name="solver_mip" localSheetId="1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ni" localSheetId="1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rt" localSheetId="1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sl" localSheetId="1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neg" localSheetId="0" hidden="1">1</definedName>
    <definedName name="solver_neg" localSheetId="1" hidden="1">2</definedName>
    <definedName name="solver_neg" localSheetId="4" hidden="1">2</definedName>
    <definedName name="solver_neg" localSheetId="3" hidden="1">2</definedName>
    <definedName name="solver_neg" localSheetId="2" hidden="1">2</definedName>
    <definedName name="solver_nod" localSheetId="1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um" localSheetId="0" hidden="1">0</definedName>
    <definedName name="solver_num" localSheetId="1" hidden="1">0</definedName>
    <definedName name="solver_num" localSheetId="4" hidden="1">0</definedName>
    <definedName name="solver_num" localSheetId="3" hidden="1">1</definedName>
    <definedName name="solver_num" localSheetId="2" hidden="1">1</definedName>
    <definedName name="solver_nwt" localSheetId="1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opt" localSheetId="1" hidden="1">'2. MD&amp;A'!$X$39</definedName>
    <definedName name="solver_opt" localSheetId="3" hidden="1">Simplified_Cash_Flow!#REF!</definedName>
    <definedName name="solver_opt" localSheetId="2" hidden="1">Simplified_Income_Statement!$Q$45</definedName>
    <definedName name="solver_pre" localSheetId="0" hidden="1">0.01</definedName>
    <definedName name="solver_pre" localSheetId="1" hidden="1">0.01</definedName>
    <definedName name="solver_pre" localSheetId="4" hidden="1">0.01</definedName>
    <definedName name="solver_pre" localSheetId="3" hidden="1">0.01</definedName>
    <definedName name="solver_pre" localSheetId="2" hidden="1">0.01</definedName>
    <definedName name="solver_rbv" localSheetId="1" hidden="1">2</definedName>
    <definedName name="solver_rbv" localSheetId="4" hidden="1">1</definedName>
    <definedName name="solver_rbv" localSheetId="3" hidden="1">2</definedName>
    <definedName name="solver_rbv" localSheetId="2" hidden="1">2</definedName>
    <definedName name="solver_rel1" localSheetId="1" hidden="1">3</definedName>
    <definedName name="solver_rel1" localSheetId="4" hidden="1">1</definedName>
    <definedName name="solver_rel1" localSheetId="3" hidden="1">1</definedName>
    <definedName name="solver_rel1" localSheetId="2" hidden="1">1</definedName>
    <definedName name="solver_rel2" localSheetId="1" hidden="1">3</definedName>
    <definedName name="solver_rel2" localSheetId="4" hidden="1">1</definedName>
    <definedName name="solver_rel2" localSheetId="3" hidden="1">3</definedName>
    <definedName name="solver_rel2" localSheetId="2" hidden="1">3</definedName>
    <definedName name="solver_rel3" localSheetId="1" hidden="1">3</definedName>
    <definedName name="solver_rel3" localSheetId="4" hidden="1">3</definedName>
    <definedName name="solver_rel3" localSheetId="3" hidden="1">3</definedName>
    <definedName name="solver_rel3" localSheetId="2" hidden="1">3</definedName>
    <definedName name="solver_rel4" localSheetId="1" hidden="1">3</definedName>
    <definedName name="solver_rel4" localSheetId="3" hidden="1">3</definedName>
    <definedName name="solver_rel4" localSheetId="2" hidden="1">3</definedName>
    <definedName name="solver_rel5" localSheetId="1" hidden="1">3</definedName>
    <definedName name="solver_rel5" localSheetId="3" hidden="1">3</definedName>
    <definedName name="solver_rel5" localSheetId="2" hidden="1">3</definedName>
    <definedName name="solver_rhs1" localSheetId="1" hidden="1">0</definedName>
    <definedName name="solver_rhs1" localSheetId="4" hidden="1">3%</definedName>
    <definedName name="solver_rhs1" localSheetId="3" hidden="1">0.1</definedName>
    <definedName name="solver_rhs1" localSheetId="2" hidden="1">0.1</definedName>
    <definedName name="solver_rhs2" localSheetId="1" hidden="1">0</definedName>
    <definedName name="solver_rhs2" localSheetId="4" hidden="1">5%</definedName>
    <definedName name="solver_rhs2" localSheetId="3" hidden="1">0</definedName>
    <definedName name="solver_rhs2" localSheetId="2" hidden="1">0</definedName>
    <definedName name="solver_rhs3" localSheetId="1" hidden="1">0</definedName>
    <definedName name="solver_rhs3" localSheetId="4" hidden="1">0%</definedName>
    <definedName name="solver_rhs3" localSheetId="3" hidden="1">0</definedName>
    <definedName name="solver_rhs3" localSheetId="2" hidden="1">0</definedName>
    <definedName name="solver_rhs4" localSheetId="1" hidden="1">0%</definedName>
    <definedName name="solver_rhs4" localSheetId="3" hidden="1">0%</definedName>
    <definedName name="solver_rhs4" localSheetId="2" hidden="1">0%</definedName>
    <definedName name="solver_rhs5" localSheetId="1" hidden="1">0%</definedName>
    <definedName name="solver_rhs5" localSheetId="3" hidden="1">0%</definedName>
    <definedName name="solver_rhs5" localSheetId="2" hidden="1">0%</definedName>
    <definedName name="solver_rlx" localSheetId="1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sd" localSheetId="1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scl" localSheetId="1" hidden="1">2</definedName>
    <definedName name="solver_scl" localSheetId="4" hidden="1">1</definedName>
    <definedName name="solver_scl" localSheetId="3" hidden="1">2</definedName>
    <definedName name="solver_scl" localSheetId="2" hidden="1">2</definedName>
    <definedName name="solver_sho" localSheetId="1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sz" localSheetId="1" hidden="1">0</definedName>
    <definedName name="solver_ssz" localSheetId="4" hidden="1">100</definedName>
    <definedName name="solver_ssz" localSheetId="3" hidden="1">0</definedName>
    <definedName name="solver_ssz" localSheetId="2" hidden="1">0</definedName>
    <definedName name="solver_tim" localSheetId="0" hidden="1">60</definedName>
    <definedName name="solver_tim" localSheetId="1" hidden="1">60</definedName>
    <definedName name="solver_tim" localSheetId="4" hidden="1">60</definedName>
    <definedName name="solver_tim" localSheetId="3" hidden="1">60</definedName>
    <definedName name="solver_tim" localSheetId="2" hidden="1">60</definedName>
    <definedName name="solver_tol" localSheetId="1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yp" localSheetId="0" hidden="1">1</definedName>
    <definedName name="solver_typ" localSheetId="1" hidden="1">3</definedName>
    <definedName name="solver_typ" localSheetId="4" hidden="1">1</definedName>
    <definedName name="solver_typ" localSheetId="3" hidden="1">3</definedName>
    <definedName name="solver_typ" localSheetId="2" hidden="1">3</definedName>
    <definedName name="solver_val" localSheetId="0" hidden="1">0</definedName>
    <definedName name="solver_val" localSheetId="1" hidden="1">38000</definedName>
    <definedName name="solver_val" localSheetId="4" hidden="1">0</definedName>
    <definedName name="solver_val" localSheetId="3" hidden="1">300000</definedName>
    <definedName name="solver_val" localSheetId="2" hidden="1">300000</definedName>
    <definedName name="solver_ver" localSheetId="0" hidden="1">3</definedName>
    <definedName name="solver_ver" localSheetId="1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rtOrig" localSheetId="3">#REF!</definedName>
    <definedName name="SortOrig" localSheetId="2">#REF!</definedName>
    <definedName name="SortOrig">#REF!</definedName>
    <definedName name="Staff_BenefitsPerc">'[1]Commitments - Salaries,Benefits'!$K$74</definedName>
    <definedName name="Staff_MeritImpact">'[1]Commitments - Salaries,Benefits'!$K$24</definedName>
    <definedName name="StratRanks">'[3]New Initiatives - Strategy+'!$AL$3:$AM$65</definedName>
    <definedName name="sup" localSheetId="3">#REF!</definedName>
    <definedName name="sup" localSheetId="2">#REF!</definedName>
    <definedName name="sup">#REF!</definedName>
    <definedName name="supply" localSheetId="3">#REF!</definedName>
    <definedName name="supply" localSheetId="2">#REF!</definedName>
    <definedName name="supply">#REF!</definedName>
    <definedName name="TAS_GrRate">'[1]Summary Control Sheet'!$D$29</definedName>
    <definedName name="To_endowment">Endowment!$I$49</definedName>
    <definedName name="UCOP_Asmnt_GrRate">'[1]Summary Control Sheet'!$D$32</definedName>
    <definedName name="UCPATH">'[1]Transfers&amp;Capital - Initiatives'!$B$12:$J$12</definedName>
    <definedName name="UGradInitiative">'[1]Transfers&amp;Capital - Initiatives'!$B$22:$J$22</definedName>
    <definedName name="UGradInt_True">'[1]Summary Control Sheet'!$D$40</definedName>
    <definedName name="Uncertainty_Category">#REF!</definedName>
    <definedName name="Uncertainty_Option">#REF!</definedName>
    <definedName name="Uncertainty_Options">#REF!</definedName>
    <definedName name="Uncertainty_Percent">#REF!</definedName>
    <definedName name="util" localSheetId="3">#REF!</definedName>
    <definedName name="util" localSheetId="2">#REF!</definedName>
    <definedName name="util">#REF!</definedName>
    <definedName name="Valuations">[6]Valuations!$A$3:$B$14</definedName>
  </definedNames>
  <calcPr calcId="145621" concurrentCalc="0"/>
</workbook>
</file>

<file path=xl/calcChain.xml><?xml version="1.0" encoding="utf-8"?>
<calcChain xmlns="http://schemas.openxmlformats.org/spreadsheetml/2006/main">
  <c r="T44" i="51" l="1"/>
  <c r="T28" i="300"/>
  <c r="T13" i="300"/>
  <c r="T14" i="300"/>
  <c r="T15" i="300"/>
  <c r="T16" i="300"/>
  <c r="T26" i="300"/>
  <c r="T31" i="300"/>
  <c r="U44" i="51"/>
  <c r="U28" i="300"/>
  <c r="U13" i="300"/>
  <c r="U14" i="300"/>
  <c r="U15" i="300"/>
  <c r="U16" i="300"/>
  <c r="U26" i="300"/>
  <c r="U31" i="300"/>
  <c r="V44" i="51"/>
  <c r="V28" i="300"/>
  <c r="V13" i="300"/>
  <c r="V14" i="300"/>
  <c r="V15" i="300"/>
  <c r="V16" i="300"/>
  <c r="V26" i="300"/>
  <c r="V31" i="300"/>
  <c r="W44" i="51"/>
  <c r="W28" i="300"/>
  <c r="W13" i="300"/>
  <c r="W14" i="300"/>
  <c r="W15" i="300"/>
  <c r="W16" i="300"/>
  <c r="W26" i="300"/>
  <c r="W31" i="300"/>
  <c r="X44" i="51"/>
  <c r="X28" i="300"/>
  <c r="X13" i="300"/>
  <c r="X14" i="300"/>
  <c r="X15" i="300"/>
  <c r="X16" i="300"/>
  <c r="X26" i="300"/>
  <c r="X31" i="300"/>
  <c r="T44" i="53"/>
  <c r="T149" i="53"/>
  <c r="T46" i="53"/>
  <c r="T151" i="53"/>
  <c r="T47" i="53"/>
  <c r="T152" i="53"/>
  <c r="T48" i="53"/>
  <c r="T153" i="53"/>
  <c r="T51" i="53"/>
  <c r="T156" i="53"/>
  <c r="K157" i="53"/>
  <c r="U101" i="53"/>
  <c r="U148" i="53"/>
  <c r="U170" i="53"/>
  <c r="U44" i="53"/>
  <c r="U102" i="53"/>
  <c r="U149" i="53"/>
  <c r="U45" i="53"/>
  <c r="U103" i="53"/>
  <c r="U150" i="53"/>
  <c r="U46" i="53"/>
  <c r="U104" i="53"/>
  <c r="U151" i="53"/>
  <c r="U105" i="53"/>
  <c r="U47" i="53"/>
  <c r="U152" i="53"/>
  <c r="U48" i="53"/>
  <c r="U153" i="53"/>
  <c r="U49" i="53"/>
  <c r="U107" i="53"/>
  <c r="U154" i="53"/>
  <c r="U50" i="53"/>
  <c r="U108" i="53"/>
  <c r="U155" i="53"/>
  <c r="U51" i="53"/>
  <c r="U109" i="53"/>
  <c r="U156" i="53"/>
  <c r="L157" i="53"/>
  <c r="V101" i="53"/>
  <c r="V148" i="53"/>
  <c r="V44" i="53"/>
  <c r="V102" i="53"/>
  <c r="V149" i="53"/>
  <c r="V45" i="53"/>
  <c r="V103" i="53"/>
  <c r="V150" i="53"/>
  <c r="V46" i="53"/>
  <c r="V104" i="53"/>
  <c r="V151" i="53"/>
  <c r="V105" i="53"/>
  <c r="V47" i="53"/>
  <c r="V152" i="53"/>
  <c r="V48" i="53"/>
  <c r="V153" i="53"/>
  <c r="V49" i="53"/>
  <c r="V107" i="53"/>
  <c r="V154" i="53"/>
  <c r="V50" i="53"/>
  <c r="V108" i="53"/>
  <c r="V155" i="53"/>
  <c r="V51" i="53"/>
  <c r="V109" i="53"/>
  <c r="V156" i="53"/>
  <c r="M157" i="53"/>
  <c r="W101" i="53"/>
  <c r="W148" i="53"/>
  <c r="W170" i="53"/>
  <c r="W44" i="53"/>
  <c r="W102" i="53"/>
  <c r="W149" i="53"/>
  <c r="W45" i="53"/>
  <c r="W103" i="53"/>
  <c r="W150" i="53"/>
  <c r="W46" i="53"/>
  <c r="W104" i="53"/>
  <c r="W151" i="53"/>
  <c r="W105" i="53"/>
  <c r="W47" i="53"/>
  <c r="W152" i="53"/>
  <c r="W48" i="53"/>
  <c r="W153" i="53"/>
  <c r="W49" i="53"/>
  <c r="W107" i="53"/>
  <c r="W154" i="53"/>
  <c r="W50" i="53"/>
  <c r="W108" i="53"/>
  <c r="W155" i="53"/>
  <c r="W51" i="53"/>
  <c r="W109" i="53"/>
  <c r="W156" i="53"/>
  <c r="N157" i="53"/>
  <c r="X101" i="53"/>
  <c r="X148" i="53"/>
  <c r="X170" i="53"/>
  <c r="X44" i="53"/>
  <c r="X102" i="53"/>
  <c r="X149" i="53"/>
  <c r="X45" i="53"/>
  <c r="X103" i="53"/>
  <c r="X150" i="53"/>
  <c r="X46" i="53"/>
  <c r="X104" i="53"/>
  <c r="X151" i="53"/>
  <c r="X105" i="53"/>
  <c r="X47" i="53"/>
  <c r="X152" i="53"/>
  <c r="X48" i="53"/>
  <c r="X153" i="53"/>
  <c r="X49" i="53"/>
  <c r="X107" i="53"/>
  <c r="X154" i="53"/>
  <c r="X50" i="53"/>
  <c r="X108" i="53"/>
  <c r="X155" i="53"/>
  <c r="X51" i="53"/>
  <c r="X109" i="53"/>
  <c r="X156" i="53"/>
  <c r="O157" i="53"/>
  <c r="Y101" i="53"/>
  <c r="Y148" i="53"/>
  <c r="Y170" i="53"/>
  <c r="Y44" i="53"/>
  <c r="Y102" i="53"/>
  <c r="Y149" i="53"/>
  <c r="Y45" i="53"/>
  <c r="Y103" i="53"/>
  <c r="Y150" i="53"/>
  <c r="Y46" i="53"/>
  <c r="Y104" i="53"/>
  <c r="Y151" i="53"/>
  <c r="Y105" i="53"/>
  <c r="Y47" i="53"/>
  <c r="Y152" i="53"/>
  <c r="Y48" i="53"/>
  <c r="Y153" i="53"/>
  <c r="Y49" i="53"/>
  <c r="Y107" i="53"/>
  <c r="Y154" i="53"/>
  <c r="Y50" i="53"/>
  <c r="Y108" i="53"/>
  <c r="Y155" i="53"/>
  <c r="Y51" i="53"/>
  <c r="Y109" i="53"/>
  <c r="Y156" i="53"/>
  <c r="P157" i="53"/>
  <c r="Z101" i="53"/>
  <c r="Z148" i="53"/>
  <c r="Z170" i="53"/>
  <c r="Z44" i="53"/>
  <c r="Z102" i="53"/>
  <c r="Z149" i="53"/>
  <c r="Z45" i="53"/>
  <c r="Z103" i="53"/>
  <c r="Z150" i="53"/>
  <c r="Z46" i="53"/>
  <c r="Z104" i="53"/>
  <c r="Z151" i="53"/>
  <c r="Z105" i="53"/>
  <c r="Z47" i="53"/>
  <c r="Z152" i="53"/>
  <c r="Z48" i="53"/>
  <c r="Z153" i="53"/>
  <c r="Z49" i="53"/>
  <c r="Z107" i="53"/>
  <c r="Z154" i="53"/>
  <c r="Z50" i="53"/>
  <c r="Z108" i="53"/>
  <c r="Z155" i="53"/>
  <c r="Z51" i="53"/>
  <c r="Z109" i="53"/>
  <c r="Z156" i="53"/>
  <c r="Q157" i="53"/>
  <c r="AA101" i="53"/>
  <c r="AA148" i="53"/>
  <c r="AA170" i="53"/>
  <c r="AA44" i="53"/>
  <c r="AA102" i="53"/>
  <c r="AA149" i="53"/>
  <c r="AA45" i="53"/>
  <c r="AA103" i="53"/>
  <c r="AA150" i="53"/>
  <c r="AA46" i="53"/>
  <c r="AA104" i="53"/>
  <c r="AA151" i="53"/>
  <c r="AA105" i="53"/>
  <c r="AA47" i="53"/>
  <c r="AA152" i="53"/>
  <c r="AA48" i="53"/>
  <c r="AA153" i="53"/>
  <c r="AA49" i="53"/>
  <c r="AA107" i="53"/>
  <c r="AA154" i="53"/>
  <c r="AA50" i="53"/>
  <c r="AA108" i="53"/>
  <c r="AA155" i="53"/>
  <c r="AA51" i="53"/>
  <c r="AA109" i="53"/>
  <c r="AA156" i="53"/>
  <c r="R157" i="53"/>
  <c r="J157" i="53"/>
  <c r="S157" i="53"/>
  <c r="T22" i="53"/>
  <c r="U22" i="53"/>
  <c r="V22" i="53"/>
  <c r="W22" i="53"/>
  <c r="X22" i="53"/>
  <c r="Y22" i="53"/>
  <c r="Z22" i="53"/>
  <c r="Z131" i="53"/>
  <c r="T23" i="53"/>
  <c r="U23" i="53"/>
  <c r="V23" i="53"/>
  <c r="W23" i="53"/>
  <c r="X23" i="53"/>
  <c r="Y23" i="53"/>
  <c r="Z23" i="53"/>
  <c r="Z132" i="53"/>
  <c r="T24" i="53"/>
  <c r="U24" i="53"/>
  <c r="V24" i="53"/>
  <c r="W24" i="53"/>
  <c r="X24" i="53"/>
  <c r="Y24" i="53"/>
  <c r="Z24" i="53"/>
  <c r="Z133" i="53"/>
  <c r="T25" i="53"/>
  <c r="U25" i="53"/>
  <c r="V25" i="53"/>
  <c r="W25" i="53"/>
  <c r="X25" i="53"/>
  <c r="Y25" i="53"/>
  <c r="Z25" i="53"/>
  <c r="Z134" i="53"/>
  <c r="T26" i="53"/>
  <c r="U26" i="53"/>
  <c r="V26" i="53"/>
  <c r="W26" i="53"/>
  <c r="X26" i="53"/>
  <c r="Y26" i="53"/>
  <c r="Z26" i="53"/>
  <c r="Z135" i="53"/>
  <c r="T27" i="53"/>
  <c r="U27" i="53"/>
  <c r="V27" i="53"/>
  <c r="W27" i="53"/>
  <c r="X27" i="53"/>
  <c r="Y27" i="53"/>
  <c r="Z27" i="53"/>
  <c r="Z136" i="53"/>
  <c r="T28" i="53"/>
  <c r="U28" i="53"/>
  <c r="V28" i="53"/>
  <c r="W28" i="53"/>
  <c r="X28" i="53"/>
  <c r="Y28" i="53"/>
  <c r="Z28" i="53"/>
  <c r="Z137" i="53"/>
  <c r="T29" i="53"/>
  <c r="U29" i="53"/>
  <c r="V29" i="53"/>
  <c r="W29" i="53"/>
  <c r="X29" i="53"/>
  <c r="Y29" i="53"/>
  <c r="Z29" i="53"/>
  <c r="Z138" i="53"/>
  <c r="T30" i="53"/>
  <c r="U30" i="53"/>
  <c r="V30" i="53"/>
  <c r="W30" i="53"/>
  <c r="X30" i="53"/>
  <c r="Y30" i="53"/>
  <c r="Z30" i="53"/>
  <c r="Z139" i="53"/>
  <c r="T31" i="53"/>
  <c r="U31" i="53"/>
  <c r="V31" i="53"/>
  <c r="W31" i="53"/>
  <c r="X31" i="53"/>
  <c r="Y31" i="53"/>
  <c r="Z31" i="53"/>
  <c r="T32" i="53"/>
  <c r="U32" i="53"/>
  <c r="V32" i="53"/>
  <c r="W32" i="53"/>
  <c r="X32" i="53"/>
  <c r="Y32" i="53"/>
  <c r="Z32" i="53"/>
  <c r="Z140" i="53"/>
  <c r="T33" i="53"/>
  <c r="U33" i="53"/>
  <c r="V33" i="53"/>
  <c r="W33" i="53"/>
  <c r="X33" i="53"/>
  <c r="Y33" i="53"/>
  <c r="Z33" i="53"/>
  <c r="T34" i="53"/>
  <c r="U34" i="53"/>
  <c r="V34" i="53"/>
  <c r="W34" i="53"/>
  <c r="X34" i="53"/>
  <c r="Y34" i="53"/>
  <c r="Z34" i="53"/>
  <c r="Z141" i="53"/>
  <c r="T35" i="53"/>
  <c r="U35" i="53"/>
  <c r="V35" i="53"/>
  <c r="W35" i="53"/>
  <c r="X35" i="53"/>
  <c r="Y35" i="53"/>
  <c r="Z35" i="53"/>
  <c r="T36" i="53"/>
  <c r="U36" i="53"/>
  <c r="V36" i="53"/>
  <c r="W36" i="53"/>
  <c r="X36" i="53"/>
  <c r="Y36" i="53"/>
  <c r="Z36" i="53"/>
  <c r="Z142" i="53"/>
  <c r="T37" i="53"/>
  <c r="U37" i="53"/>
  <c r="V37" i="53"/>
  <c r="W37" i="53"/>
  <c r="X37" i="53"/>
  <c r="Y37" i="53"/>
  <c r="Z37" i="53"/>
  <c r="T38" i="53"/>
  <c r="U38" i="53"/>
  <c r="V38" i="53"/>
  <c r="W38" i="53"/>
  <c r="X38" i="53"/>
  <c r="Y38" i="53"/>
  <c r="Z38" i="53"/>
  <c r="Z143" i="53"/>
  <c r="T39" i="53"/>
  <c r="U39" i="53"/>
  <c r="V39" i="53"/>
  <c r="W39" i="53"/>
  <c r="X39" i="53"/>
  <c r="Y39" i="53"/>
  <c r="Z39" i="53"/>
  <c r="T40" i="53"/>
  <c r="U40" i="53"/>
  <c r="V40" i="53"/>
  <c r="W40" i="53"/>
  <c r="X40" i="53"/>
  <c r="Y40" i="53"/>
  <c r="Z40" i="53"/>
  <c r="Z144" i="53"/>
  <c r="Q145" i="53"/>
  <c r="AA22" i="53"/>
  <c r="AA131" i="53"/>
  <c r="AA23" i="53"/>
  <c r="AA132" i="53"/>
  <c r="AA24" i="53"/>
  <c r="AA133" i="53"/>
  <c r="AA25" i="53"/>
  <c r="AA134" i="53"/>
  <c r="AA26" i="53"/>
  <c r="AA135" i="53"/>
  <c r="AA27" i="53"/>
  <c r="AA136" i="53"/>
  <c r="AA28" i="53"/>
  <c r="AA137" i="53"/>
  <c r="AA29" i="53"/>
  <c r="AA138" i="53"/>
  <c r="AA30" i="53"/>
  <c r="AA139" i="53"/>
  <c r="AA31" i="53"/>
  <c r="AA32" i="53"/>
  <c r="AA140" i="53"/>
  <c r="AA33" i="53"/>
  <c r="AA34" i="53"/>
  <c r="AA141" i="53"/>
  <c r="AA35" i="53"/>
  <c r="AA36" i="53"/>
  <c r="AA142" i="53"/>
  <c r="AA37" i="53"/>
  <c r="AA38" i="53"/>
  <c r="AA143" i="53"/>
  <c r="AA39" i="53"/>
  <c r="AA40" i="53"/>
  <c r="AA144" i="53"/>
  <c r="R145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K145" i="53"/>
  <c r="U131" i="53"/>
  <c r="U132" i="53"/>
  <c r="U133" i="53"/>
  <c r="U134" i="53"/>
  <c r="U135" i="53"/>
  <c r="U136" i="53"/>
  <c r="U137" i="53"/>
  <c r="U138" i="53"/>
  <c r="U139" i="53"/>
  <c r="U140" i="53"/>
  <c r="U141" i="53"/>
  <c r="U142" i="53"/>
  <c r="U143" i="53"/>
  <c r="U144" i="53"/>
  <c r="L145" i="53"/>
  <c r="V131" i="53"/>
  <c r="V132" i="53"/>
  <c r="V133" i="53"/>
  <c r="V134" i="53"/>
  <c r="V135" i="53"/>
  <c r="V136" i="53"/>
  <c r="V137" i="53"/>
  <c r="V138" i="53"/>
  <c r="V139" i="53"/>
  <c r="V140" i="53"/>
  <c r="V141" i="53"/>
  <c r="V142" i="53"/>
  <c r="V143" i="53"/>
  <c r="V144" i="53"/>
  <c r="M145" i="53"/>
  <c r="W131" i="53"/>
  <c r="W132" i="53"/>
  <c r="W133" i="53"/>
  <c r="W134" i="53"/>
  <c r="W135" i="53"/>
  <c r="W136" i="53"/>
  <c r="W137" i="53"/>
  <c r="W138" i="53"/>
  <c r="W139" i="53"/>
  <c r="W140" i="53"/>
  <c r="W141" i="53"/>
  <c r="W142" i="53"/>
  <c r="W143" i="53"/>
  <c r="W144" i="53"/>
  <c r="N145" i="53"/>
  <c r="X131" i="53"/>
  <c r="X132" i="53"/>
  <c r="X133" i="53"/>
  <c r="X134" i="53"/>
  <c r="X135" i="53"/>
  <c r="X136" i="53"/>
  <c r="X137" i="53"/>
  <c r="X138" i="53"/>
  <c r="X139" i="53"/>
  <c r="X140" i="53"/>
  <c r="X141" i="53"/>
  <c r="X142" i="53"/>
  <c r="X143" i="53"/>
  <c r="X144" i="53"/>
  <c r="O145" i="53"/>
  <c r="Y131" i="53"/>
  <c r="Y132" i="53"/>
  <c r="Y133" i="53"/>
  <c r="Y134" i="53"/>
  <c r="Y135" i="53"/>
  <c r="Y136" i="53"/>
  <c r="Y137" i="53"/>
  <c r="Y138" i="53"/>
  <c r="Y139" i="53"/>
  <c r="Y140" i="53"/>
  <c r="Y141" i="53"/>
  <c r="Y142" i="53"/>
  <c r="Y143" i="53"/>
  <c r="Y144" i="53"/>
  <c r="P145" i="53"/>
  <c r="J145" i="53"/>
  <c r="S145" i="53"/>
  <c r="R128" i="53"/>
  <c r="Q128" i="53"/>
  <c r="P128" i="53"/>
  <c r="O128" i="53"/>
  <c r="N128" i="53"/>
  <c r="M128" i="53"/>
  <c r="L128" i="53"/>
  <c r="K128" i="53"/>
  <c r="J128" i="53"/>
  <c r="J8" i="53"/>
  <c r="K9" i="53"/>
  <c r="K8" i="53"/>
  <c r="L9" i="53"/>
  <c r="L8" i="53"/>
  <c r="M9" i="53"/>
  <c r="M8" i="53"/>
  <c r="N9" i="53"/>
  <c r="N8" i="53"/>
  <c r="O9" i="53"/>
  <c r="O8" i="53"/>
  <c r="P9" i="53"/>
  <c r="P8" i="53"/>
  <c r="Q9" i="53"/>
  <c r="Q8" i="53"/>
  <c r="R9" i="53"/>
  <c r="R8" i="53"/>
  <c r="S9" i="53"/>
  <c r="S8" i="53"/>
  <c r="T9" i="53"/>
  <c r="T8" i="53"/>
  <c r="U9" i="53"/>
  <c r="U8" i="53"/>
  <c r="V9" i="53"/>
  <c r="V8" i="53"/>
  <c r="W9" i="53"/>
  <c r="W8" i="53"/>
  <c r="X9" i="53"/>
  <c r="X8" i="53"/>
  <c r="Y9" i="53"/>
  <c r="Y8" i="53"/>
  <c r="Z9" i="53"/>
  <c r="Z8" i="53"/>
  <c r="AA9" i="53"/>
  <c r="AA8" i="53"/>
  <c r="AB9" i="53"/>
  <c r="AB8" i="53"/>
  <c r="AC9" i="53"/>
  <c r="AC8" i="53"/>
  <c r="AD9" i="53"/>
  <c r="AD8" i="53"/>
  <c r="AE9" i="53"/>
  <c r="AE8" i="53"/>
  <c r="AF9" i="53"/>
  <c r="AF8" i="53"/>
  <c r="AG9" i="53"/>
  <c r="AG8" i="53"/>
  <c r="AH9" i="53"/>
  <c r="AH8" i="53"/>
  <c r="T12" i="53"/>
  <c r="U12" i="53"/>
  <c r="V12" i="53"/>
  <c r="W12" i="53"/>
  <c r="X12" i="53"/>
  <c r="Y12" i="53"/>
  <c r="Z12" i="53"/>
  <c r="AA12" i="53"/>
  <c r="AB12" i="53"/>
  <c r="AC12" i="53"/>
  <c r="AD12" i="53"/>
  <c r="AE12" i="53"/>
  <c r="AF12" i="53"/>
  <c r="AG12" i="53"/>
  <c r="AH12" i="53"/>
  <c r="U14" i="53"/>
  <c r="V14" i="53"/>
  <c r="W14" i="53"/>
  <c r="X14" i="53"/>
  <c r="Y14" i="53"/>
  <c r="Z14" i="53"/>
  <c r="AA14" i="53"/>
  <c r="AB14" i="53"/>
  <c r="AC14" i="53"/>
  <c r="AD14" i="53"/>
  <c r="AE14" i="53"/>
  <c r="AF14" i="53"/>
  <c r="AG14" i="53"/>
  <c r="AH14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T19" i="53"/>
  <c r="U19" i="53"/>
  <c r="V19" i="53"/>
  <c r="W19" i="53"/>
  <c r="X19" i="53"/>
  <c r="Y19" i="53"/>
  <c r="Z19" i="53"/>
  <c r="AA19" i="53"/>
  <c r="AB19" i="53"/>
  <c r="AC19" i="53"/>
  <c r="AD19" i="53"/>
  <c r="AE19" i="53"/>
  <c r="AF19" i="53"/>
  <c r="AG19" i="53"/>
  <c r="AH19" i="53"/>
  <c r="AB22" i="53"/>
  <c r="AC22" i="53"/>
  <c r="AD22" i="53"/>
  <c r="AE22" i="53"/>
  <c r="AF22" i="53"/>
  <c r="AG22" i="53"/>
  <c r="AH22" i="53"/>
  <c r="AB23" i="53"/>
  <c r="AC23" i="53"/>
  <c r="AD23" i="53"/>
  <c r="AE23" i="53"/>
  <c r="AF23" i="53"/>
  <c r="AG23" i="53"/>
  <c r="AH23" i="53"/>
  <c r="AB24" i="53"/>
  <c r="AC24" i="53"/>
  <c r="AD24" i="53"/>
  <c r="AE24" i="53"/>
  <c r="AF24" i="53"/>
  <c r="AG24" i="53"/>
  <c r="AH24" i="53"/>
  <c r="AB25" i="53"/>
  <c r="AC25" i="53"/>
  <c r="AD25" i="53"/>
  <c r="AE25" i="53"/>
  <c r="AF25" i="53"/>
  <c r="AG25" i="53"/>
  <c r="AH25" i="53"/>
  <c r="AB26" i="53"/>
  <c r="AC26" i="53"/>
  <c r="AD26" i="53"/>
  <c r="AE26" i="53"/>
  <c r="AF26" i="53"/>
  <c r="AG26" i="53"/>
  <c r="AH26" i="53"/>
  <c r="AB27" i="53"/>
  <c r="AC27" i="53"/>
  <c r="AD27" i="53"/>
  <c r="AE27" i="53"/>
  <c r="AF27" i="53"/>
  <c r="AG27" i="53"/>
  <c r="AH27" i="53"/>
  <c r="AB28" i="53"/>
  <c r="AC28" i="53"/>
  <c r="AD28" i="53"/>
  <c r="AE28" i="53"/>
  <c r="AF28" i="53"/>
  <c r="AG28" i="53"/>
  <c r="AH28" i="53"/>
  <c r="AB29" i="53"/>
  <c r="AC29" i="53"/>
  <c r="AD29" i="53"/>
  <c r="AE29" i="53"/>
  <c r="AF29" i="53"/>
  <c r="AG29" i="53"/>
  <c r="AH29" i="53"/>
  <c r="AB30" i="53"/>
  <c r="AC30" i="53"/>
  <c r="AD30" i="53"/>
  <c r="AE30" i="53"/>
  <c r="AF30" i="53"/>
  <c r="AG30" i="53"/>
  <c r="AH30" i="53"/>
  <c r="AB31" i="53"/>
  <c r="AC31" i="53"/>
  <c r="AD31" i="53"/>
  <c r="AE31" i="53"/>
  <c r="AF31" i="53"/>
  <c r="AG31" i="53"/>
  <c r="AH31" i="53"/>
  <c r="AB32" i="53"/>
  <c r="AC32" i="53"/>
  <c r="AD32" i="53"/>
  <c r="AE32" i="53"/>
  <c r="AF32" i="53"/>
  <c r="AG32" i="53"/>
  <c r="AH32" i="53"/>
  <c r="AB33" i="53"/>
  <c r="AC33" i="53"/>
  <c r="AD33" i="53"/>
  <c r="AE33" i="53"/>
  <c r="AF33" i="53"/>
  <c r="AG33" i="53"/>
  <c r="AH33" i="53"/>
  <c r="AB34" i="53"/>
  <c r="AC34" i="53"/>
  <c r="AD34" i="53"/>
  <c r="AE34" i="53"/>
  <c r="AF34" i="53"/>
  <c r="AG34" i="53"/>
  <c r="AH34" i="53"/>
  <c r="AB35" i="53"/>
  <c r="AC35" i="53"/>
  <c r="AD35" i="53"/>
  <c r="AE35" i="53"/>
  <c r="AF35" i="53"/>
  <c r="AG35" i="53"/>
  <c r="AH35" i="53"/>
  <c r="AB36" i="53"/>
  <c r="AC36" i="53"/>
  <c r="AD36" i="53"/>
  <c r="AE36" i="53"/>
  <c r="AF36" i="53"/>
  <c r="AG36" i="53"/>
  <c r="AH36" i="53"/>
  <c r="AB37" i="53"/>
  <c r="AC37" i="53"/>
  <c r="AD37" i="53"/>
  <c r="AE37" i="53"/>
  <c r="AF37" i="53"/>
  <c r="AG37" i="53"/>
  <c r="AH37" i="53"/>
  <c r="AB38" i="53"/>
  <c r="AC38" i="53"/>
  <c r="AD38" i="53"/>
  <c r="AE38" i="53"/>
  <c r="AF38" i="53"/>
  <c r="AG38" i="53"/>
  <c r="AH38" i="53"/>
  <c r="AB39" i="53"/>
  <c r="AC39" i="53"/>
  <c r="AD39" i="53"/>
  <c r="AE39" i="53"/>
  <c r="AF39" i="53"/>
  <c r="AG39" i="53"/>
  <c r="AH39" i="53"/>
  <c r="AB40" i="53"/>
  <c r="AC40" i="53"/>
  <c r="AD40" i="53"/>
  <c r="AE40" i="53"/>
  <c r="AF40" i="53"/>
  <c r="AG40" i="53"/>
  <c r="AH40" i="53"/>
  <c r="AB170" i="53"/>
  <c r="AB44" i="53"/>
  <c r="AC170" i="53"/>
  <c r="AC44" i="53"/>
  <c r="AD170" i="53"/>
  <c r="AD44" i="53"/>
  <c r="AE170" i="53"/>
  <c r="AE44" i="53"/>
  <c r="AF170" i="53"/>
  <c r="AF44" i="53"/>
  <c r="AG170" i="53"/>
  <c r="AG44" i="53"/>
  <c r="AH170" i="53"/>
  <c r="AH44" i="53"/>
  <c r="AB45" i="53"/>
  <c r="AC45" i="53"/>
  <c r="AD45" i="53"/>
  <c r="AE45" i="53"/>
  <c r="AF45" i="53"/>
  <c r="AG45" i="53"/>
  <c r="AH45" i="53"/>
  <c r="AB46" i="53"/>
  <c r="AC46" i="53"/>
  <c r="AD46" i="53"/>
  <c r="AE46" i="53"/>
  <c r="AF46" i="53"/>
  <c r="AG46" i="53"/>
  <c r="AH46" i="53"/>
  <c r="AB47" i="53"/>
  <c r="AC47" i="53"/>
  <c r="AD47" i="53"/>
  <c r="AE47" i="53"/>
  <c r="AF47" i="53"/>
  <c r="AG47" i="53"/>
  <c r="AH47" i="53"/>
  <c r="AB48" i="53"/>
  <c r="AC48" i="53"/>
  <c r="AD48" i="53"/>
  <c r="AE48" i="53"/>
  <c r="AF48" i="53"/>
  <c r="AG48" i="53"/>
  <c r="AH48" i="53"/>
  <c r="AB49" i="53"/>
  <c r="AC49" i="53"/>
  <c r="AD49" i="53"/>
  <c r="AE49" i="53"/>
  <c r="AF49" i="53"/>
  <c r="AG49" i="53"/>
  <c r="AH49" i="53"/>
  <c r="AB50" i="53"/>
  <c r="AC50" i="53"/>
  <c r="AD50" i="53"/>
  <c r="AE50" i="53"/>
  <c r="AF50" i="53"/>
  <c r="AG50" i="53"/>
  <c r="AH50" i="53"/>
  <c r="AB51" i="53"/>
  <c r="AC51" i="53"/>
  <c r="AD51" i="53"/>
  <c r="AE51" i="53"/>
  <c r="AF51" i="53"/>
  <c r="AG51" i="53"/>
  <c r="AH51" i="53"/>
  <c r="S58" i="53"/>
  <c r="T58" i="53"/>
  <c r="U58" i="53"/>
  <c r="V58" i="53"/>
  <c r="W58" i="53"/>
  <c r="X58" i="53"/>
  <c r="Y58" i="53"/>
  <c r="Z58" i="53"/>
  <c r="AA58" i="53"/>
  <c r="AB58" i="53"/>
  <c r="AC58" i="53"/>
  <c r="AD58" i="53"/>
  <c r="AE58" i="53"/>
  <c r="AF58" i="53"/>
  <c r="AG58" i="53"/>
  <c r="AH58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AA59" i="53"/>
  <c r="AB59" i="53"/>
  <c r="AC59" i="53"/>
  <c r="AD59" i="53"/>
  <c r="AE59" i="53"/>
  <c r="AF59" i="53"/>
  <c r="AG59" i="53"/>
  <c r="AH59" i="53"/>
  <c r="O110" i="53"/>
  <c r="O98" i="53"/>
  <c r="O65" i="53"/>
  <c r="O63" i="53"/>
  <c r="O62" i="53"/>
  <c r="P96" i="53"/>
  <c r="P97" i="53"/>
  <c r="P98" i="53"/>
  <c r="P110" i="53"/>
  <c r="P65" i="53"/>
  <c r="P63" i="53"/>
  <c r="P62" i="53"/>
  <c r="Q96" i="53"/>
  <c r="Q97" i="53"/>
  <c r="Q98" i="53"/>
  <c r="Q110" i="53"/>
  <c r="Q65" i="53"/>
  <c r="Q63" i="53"/>
  <c r="Q62" i="53"/>
  <c r="U62" i="53"/>
  <c r="V62" i="53"/>
  <c r="W62" i="53"/>
  <c r="X62" i="53"/>
  <c r="Y62" i="53"/>
  <c r="Z62" i="53"/>
  <c r="AA62" i="53"/>
  <c r="AB62" i="53"/>
  <c r="AC62" i="53"/>
  <c r="AD62" i="53"/>
  <c r="AE62" i="53"/>
  <c r="AF62" i="53"/>
  <c r="AG62" i="53"/>
  <c r="AH62" i="53"/>
  <c r="V63" i="53"/>
  <c r="W63" i="53"/>
  <c r="X63" i="53"/>
  <c r="Y63" i="53"/>
  <c r="Z63" i="53"/>
  <c r="AA63" i="53"/>
  <c r="AB63" i="53"/>
  <c r="AC63" i="53"/>
  <c r="AD63" i="53"/>
  <c r="AE63" i="53"/>
  <c r="AF63" i="53"/>
  <c r="AG63" i="53"/>
  <c r="AH63" i="53"/>
  <c r="U64" i="53"/>
  <c r="V64" i="53"/>
  <c r="W64" i="53"/>
  <c r="X64" i="53"/>
  <c r="Y64" i="53"/>
  <c r="Z64" i="53"/>
  <c r="AA64" i="53"/>
  <c r="AB64" i="53"/>
  <c r="AC64" i="53"/>
  <c r="AD64" i="53"/>
  <c r="AE64" i="53"/>
  <c r="AF64" i="53"/>
  <c r="AG64" i="53"/>
  <c r="AH64" i="53"/>
  <c r="R96" i="53"/>
  <c r="R97" i="53"/>
  <c r="R98" i="53"/>
  <c r="R65" i="53"/>
  <c r="S65" i="53"/>
  <c r="T65" i="53"/>
  <c r="U65" i="53"/>
  <c r="V65" i="53"/>
  <c r="W65" i="53"/>
  <c r="X65" i="53"/>
  <c r="Y65" i="53"/>
  <c r="Z65" i="53"/>
  <c r="AA65" i="53"/>
  <c r="AB65" i="53"/>
  <c r="AC65" i="53"/>
  <c r="AD65" i="53"/>
  <c r="AE65" i="53"/>
  <c r="AF65" i="53"/>
  <c r="AG65" i="53"/>
  <c r="AH65" i="53"/>
  <c r="O96" i="53"/>
  <c r="S96" i="53"/>
  <c r="T96" i="53"/>
  <c r="U96" i="53"/>
  <c r="V96" i="53"/>
  <c r="W96" i="53"/>
  <c r="X96" i="53"/>
  <c r="Y96" i="53"/>
  <c r="Z96" i="53"/>
  <c r="AA96" i="53"/>
  <c r="AB96" i="53"/>
  <c r="AC96" i="53"/>
  <c r="AD96" i="53"/>
  <c r="AE96" i="53"/>
  <c r="AF96" i="53"/>
  <c r="AG96" i="53"/>
  <c r="AH96" i="53"/>
  <c r="O97" i="53"/>
  <c r="S97" i="53"/>
  <c r="T97" i="53"/>
  <c r="U97" i="53"/>
  <c r="V97" i="53"/>
  <c r="W97" i="53"/>
  <c r="X97" i="53"/>
  <c r="Y97" i="53"/>
  <c r="Z97" i="53"/>
  <c r="AA97" i="53"/>
  <c r="AB97" i="53"/>
  <c r="AC97" i="53"/>
  <c r="AD97" i="53"/>
  <c r="AE97" i="53"/>
  <c r="AF97" i="53"/>
  <c r="AG97" i="53"/>
  <c r="AH97" i="53"/>
  <c r="S98" i="53"/>
  <c r="T98" i="53"/>
  <c r="U98" i="53"/>
  <c r="V98" i="53"/>
  <c r="W98" i="53"/>
  <c r="X98" i="53"/>
  <c r="Y98" i="53"/>
  <c r="Z98" i="53"/>
  <c r="AA98" i="53"/>
  <c r="AB98" i="53"/>
  <c r="AC98" i="53"/>
  <c r="AD98" i="53"/>
  <c r="AE98" i="53"/>
  <c r="AF98" i="53"/>
  <c r="AG98" i="53"/>
  <c r="AH98" i="53"/>
  <c r="AB101" i="53"/>
  <c r="AC101" i="53"/>
  <c r="AD101" i="53"/>
  <c r="AE101" i="53"/>
  <c r="AF101" i="53"/>
  <c r="AG101" i="53"/>
  <c r="AH101" i="53"/>
  <c r="AB102" i="53"/>
  <c r="AC102" i="53"/>
  <c r="AD102" i="53"/>
  <c r="AE102" i="53"/>
  <c r="AF102" i="53"/>
  <c r="AG102" i="53"/>
  <c r="AH102" i="53"/>
  <c r="AB103" i="53"/>
  <c r="AC103" i="53"/>
  <c r="AD103" i="53"/>
  <c r="AE103" i="53"/>
  <c r="AF103" i="53"/>
  <c r="AG103" i="53"/>
  <c r="AH103" i="53"/>
  <c r="AB104" i="53"/>
  <c r="AC104" i="53"/>
  <c r="AD104" i="53"/>
  <c r="AE104" i="53"/>
  <c r="AF104" i="53"/>
  <c r="AG104" i="53"/>
  <c r="AH104" i="53"/>
  <c r="AB105" i="53"/>
  <c r="AC105" i="53"/>
  <c r="AD105" i="53"/>
  <c r="AE105" i="53"/>
  <c r="AF105" i="53"/>
  <c r="AG105" i="53"/>
  <c r="AH105" i="53"/>
  <c r="AB107" i="53"/>
  <c r="AC107" i="53"/>
  <c r="AD107" i="53"/>
  <c r="AE107" i="53"/>
  <c r="AF107" i="53"/>
  <c r="AG107" i="53"/>
  <c r="AH107" i="53"/>
  <c r="AB108" i="53"/>
  <c r="AC108" i="53"/>
  <c r="AD108" i="53"/>
  <c r="AE108" i="53"/>
  <c r="AF108" i="53"/>
  <c r="AG108" i="53"/>
  <c r="AH108" i="53"/>
  <c r="AB109" i="53"/>
  <c r="AC109" i="53"/>
  <c r="AD109" i="53"/>
  <c r="AE109" i="53"/>
  <c r="AF109" i="53"/>
  <c r="AG109" i="53"/>
  <c r="AH109" i="53"/>
  <c r="J110" i="53"/>
  <c r="K110" i="53"/>
  <c r="L110" i="53"/>
  <c r="M110" i="53"/>
  <c r="N110" i="53"/>
  <c r="R110" i="53"/>
  <c r="S110" i="53"/>
  <c r="T110" i="53"/>
  <c r="U110" i="53"/>
  <c r="V110" i="53"/>
  <c r="W110" i="53"/>
  <c r="X110" i="53"/>
  <c r="Y110" i="53"/>
  <c r="Z110" i="53"/>
  <c r="AA110" i="53"/>
  <c r="AB110" i="53"/>
  <c r="AC110" i="53"/>
  <c r="AD110" i="53"/>
  <c r="AE110" i="53"/>
  <c r="AF110" i="53"/>
  <c r="AG110" i="53"/>
  <c r="AH110" i="53"/>
  <c r="P113" i="53"/>
  <c r="Q113" i="53"/>
  <c r="R113" i="53"/>
  <c r="S113" i="53"/>
  <c r="T113" i="53"/>
  <c r="U113" i="53"/>
  <c r="V113" i="53"/>
  <c r="W113" i="53"/>
  <c r="X113" i="53"/>
  <c r="Y113" i="53"/>
  <c r="Z113" i="53"/>
  <c r="AA113" i="53"/>
  <c r="AB113" i="53"/>
  <c r="AC113" i="53"/>
  <c r="AD113" i="53"/>
  <c r="AE113" i="53"/>
  <c r="AF113" i="53"/>
  <c r="AG113" i="53"/>
  <c r="AH113" i="53"/>
  <c r="R117" i="53"/>
  <c r="R114" i="53"/>
  <c r="Q115" i="53"/>
  <c r="R115" i="53"/>
  <c r="S115" i="53"/>
  <c r="T115" i="53"/>
  <c r="U115" i="53"/>
  <c r="V115" i="53"/>
  <c r="W115" i="53"/>
  <c r="X115" i="53"/>
  <c r="Y115" i="53"/>
  <c r="Z115" i="53"/>
  <c r="AA115" i="53"/>
  <c r="AB115" i="53"/>
  <c r="AC115" i="53"/>
  <c r="AD115" i="53"/>
  <c r="AE115" i="53"/>
  <c r="AF115" i="53"/>
  <c r="AG115" i="53"/>
  <c r="AH115" i="53"/>
  <c r="Q116" i="53"/>
  <c r="R116" i="53"/>
  <c r="S116" i="53"/>
  <c r="T116" i="53"/>
  <c r="U116" i="53"/>
  <c r="V116" i="53"/>
  <c r="W116" i="53"/>
  <c r="X116" i="53"/>
  <c r="Y116" i="53"/>
  <c r="Z116" i="53"/>
  <c r="AA116" i="53"/>
  <c r="AB116" i="53"/>
  <c r="AC116" i="53"/>
  <c r="AD116" i="53"/>
  <c r="AE116" i="53"/>
  <c r="AF116" i="53"/>
  <c r="AG116" i="53"/>
  <c r="AH116" i="53"/>
  <c r="Q117" i="53"/>
  <c r="S117" i="53"/>
  <c r="T117" i="53"/>
  <c r="U117" i="53"/>
  <c r="V117" i="53"/>
  <c r="W117" i="53"/>
  <c r="X117" i="53"/>
  <c r="Y117" i="53"/>
  <c r="Z117" i="53"/>
  <c r="AA117" i="53"/>
  <c r="AB117" i="53"/>
  <c r="AC117" i="53"/>
  <c r="AD117" i="53"/>
  <c r="AE117" i="53"/>
  <c r="AF117" i="53"/>
  <c r="AG117" i="53"/>
  <c r="AH117" i="53"/>
  <c r="S118" i="53"/>
  <c r="T118" i="53"/>
  <c r="U118" i="53"/>
  <c r="V118" i="53"/>
  <c r="W118" i="53"/>
  <c r="X118" i="53"/>
  <c r="Y118" i="53"/>
  <c r="Z118" i="53"/>
  <c r="AA118" i="53"/>
  <c r="AB118" i="53"/>
  <c r="AC118" i="53"/>
  <c r="AD118" i="53"/>
  <c r="AE118" i="53"/>
  <c r="AF118" i="53"/>
  <c r="AG118" i="53"/>
  <c r="AH118" i="53"/>
  <c r="T120" i="53"/>
  <c r="U120" i="53"/>
  <c r="V120" i="53"/>
  <c r="W120" i="53"/>
  <c r="X120" i="53"/>
  <c r="Y120" i="53"/>
  <c r="Z120" i="53"/>
  <c r="AA120" i="53"/>
  <c r="AB120" i="53"/>
  <c r="AC120" i="53"/>
  <c r="AD120" i="53"/>
  <c r="AE120" i="53"/>
  <c r="AF120" i="53"/>
  <c r="AG120" i="53"/>
  <c r="AH120" i="53"/>
  <c r="P124" i="53"/>
  <c r="P125" i="53"/>
  <c r="P126" i="53"/>
  <c r="P122" i="53"/>
  <c r="Q124" i="53"/>
  <c r="Q125" i="53"/>
  <c r="Q126" i="53"/>
  <c r="Q122" i="53"/>
  <c r="R124" i="53"/>
  <c r="R125" i="53"/>
  <c r="R126" i="53"/>
  <c r="R122" i="53"/>
  <c r="T122" i="53"/>
  <c r="U122" i="53"/>
  <c r="V122" i="53"/>
  <c r="W122" i="53"/>
  <c r="X122" i="53"/>
  <c r="Y122" i="53"/>
  <c r="Z122" i="53"/>
  <c r="AA122" i="53"/>
  <c r="AB122" i="53"/>
  <c r="AC122" i="53"/>
  <c r="AD122" i="53"/>
  <c r="AE122" i="53"/>
  <c r="AF122" i="53"/>
  <c r="AG122" i="53"/>
  <c r="AH122" i="53"/>
  <c r="S124" i="53"/>
  <c r="T124" i="53"/>
  <c r="U124" i="53"/>
  <c r="V124" i="53"/>
  <c r="W124" i="53"/>
  <c r="X124" i="53"/>
  <c r="Y124" i="53"/>
  <c r="Z124" i="53"/>
  <c r="AA124" i="53"/>
  <c r="AB124" i="53"/>
  <c r="AC124" i="53"/>
  <c r="AD124" i="53"/>
  <c r="AE124" i="53"/>
  <c r="AF124" i="53"/>
  <c r="AG124" i="53"/>
  <c r="AH124" i="53"/>
  <c r="S125" i="53"/>
  <c r="T125" i="53"/>
  <c r="U125" i="53"/>
  <c r="V125" i="53"/>
  <c r="W125" i="53"/>
  <c r="X125" i="53"/>
  <c r="Y125" i="53"/>
  <c r="Z125" i="53"/>
  <c r="AA125" i="53"/>
  <c r="AB125" i="53"/>
  <c r="AC125" i="53"/>
  <c r="AD125" i="53"/>
  <c r="AE125" i="53"/>
  <c r="AF125" i="53"/>
  <c r="AG125" i="53"/>
  <c r="AH125" i="53"/>
  <c r="S126" i="53"/>
  <c r="T126" i="53"/>
  <c r="U126" i="53"/>
  <c r="V126" i="53"/>
  <c r="W126" i="53"/>
  <c r="X126" i="53"/>
  <c r="Y126" i="53"/>
  <c r="Z126" i="53"/>
  <c r="AA126" i="53"/>
  <c r="AB126" i="53"/>
  <c r="AC126" i="53"/>
  <c r="AD126" i="53"/>
  <c r="AE126" i="53"/>
  <c r="AF126" i="53"/>
  <c r="AG126" i="53"/>
  <c r="AH126" i="53"/>
  <c r="S127" i="53"/>
  <c r="T127" i="53"/>
  <c r="U127" i="53"/>
  <c r="V127" i="53"/>
  <c r="W127" i="53"/>
  <c r="X127" i="53"/>
  <c r="Y127" i="53"/>
  <c r="Z127" i="53"/>
  <c r="AA127" i="53"/>
  <c r="AB127" i="53"/>
  <c r="AC127" i="53"/>
  <c r="AD127" i="53"/>
  <c r="AE127" i="53"/>
  <c r="AF127" i="53"/>
  <c r="AG127" i="53"/>
  <c r="AH127" i="53"/>
  <c r="S128" i="53"/>
  <c r="T128" i="53"/>
  <c r="U128" i="53"/>
  <c r="V128" i="53"/>
  <c r="W128" i="53"/>
  <c r="X128" i="53"/>
  <c r="Y128" i="53"/>
  <c r="Z128" i="53"/>
  <c r="AA128" i="53"/>
  <c r="AB128" i="53"/>
  <c r="AC128" i="53"/>
  <c r="AD128" i="53"/>
  <c r="AE128" i="53"/>
  <c r="AF128" i="53"/>
  <c r="AG128" i="53"/>
  <c r="AH128" i="53"/>
  <c r="P131" i="53"/>
  <c r="Q131" i="53"/>
  <c r="R131" i="53"/>
  <c r="S131" i="53"/>
  <c r="AB131" i="53"/>
  <c r="AC131" i="53"/>
  <c r="AD131" i="53"/>
  <c r="AE131" i="53"/>
  <c r="AF131" i="53"/>
  <c r="AG131" i="53"/>
  <c r="AH131" i="53"/>
  <c r="P132" i="53"/>
  <c r="Q132" i="53"/>
  <c r="R132" i="53"/>
  <c r="S132" i="53"/>
  <c r="AB132" i="53"/>
  <c r="AC132" i="53"/>
  <c r="AD132" i="53"/>
  <c r="AE132" i="53"/>
  <c r="AF132" i="53"/>
  <c r="AG132" i="53"/>
  <c r="AH132" i="53"/>
  <c r="P133" i="53"/>
  <c r="Q133" i="53"/>
  <c r="R133" i="53"/>
  <c r="S133" i="53"/>
  <c r="AB133" i="53"/>
  <c r="AC133" i="53"/>
  <c r="AD133" i="53"/>
  <c r="AE133" i="53"/>
  <c r="AF133" i="53"/>
  <c r="AG133" i="53"/>
  <c r="AH133" i="53"/>
  <c r="P134" i="53"/>
  <c r="Q134" i="53"/>
  <c r="R134" i="53"/>
  <c r="S134" i="53"/>
  <c r="AB134" i="53"/>
  <c r="AC134" i="53"/>
  <c r="AD134" i="53"/>
  <c r="AE134" i="53"/>
  <c r="AF134" i="53"/>
  <c r="AG134" i="53"/>
  <c r="AH134" i="53"/>
  <c r="P135" i="53"/>
  <c r="Q135" i="53"/>
  <c r="R135" i="53"/>
  <c r="S135" i="53"/>
  <c r="AB135" i="53"/>
  <c r="AC135" i="53"/>
  <c r="AD135" i="53"/>
  <c r="AE135" i="53"/>
  <c r="AF135" i="53"/>
  <c r="AG135" i="53"/>
  <c r="AH135" i="53"/>
  <c r="P136" i="53"/>
  <c r="Q136" i="53"/>
  <c r="R136" i="53"/>
  <c r="S136" i="53"/>
  <c r="AB136" i="53"/>
  <c r="AC136" i="53"/>
  <c r="AD136" i="53"/>
  <c r="AE136" i="53"/>
  <c r="AF136" i="53"/>
  <c r="AG136" i="53"/>
  <c r="AH136" i="53"/>
  <c r="P137" i="53"/>
  <c r="Q137" i="53"/>
  <c r="R137" i="53"/>
  <c r="S137" i="53"/>
  <c r="AB137" i="53"/>
  <c r="AC137" i="53"/>
  <c r="AD137" i="53"/>
  <c r="AE137" i="53"/>
  <c r="AF137" i="53"/>
  <c r="AG137" i="53"/>
  <c r="AH137" i="53"/>
  <c r="P138" i="53"/>
  <c r="Q138" i="53"/>
  <c r="R138" i="53"/>
  <c r="S138" i="53"/>
  <c r="AB138" i="53"/>
  <c r="AC138" i="53"/>
  <c r="AD138" i="53"/>
  <c r="AE138" i="53"/>
  <c r="AF138" i="53"/>
  <c r="AG138" i="53"/>
  <c r="AH138" i="53"/>
  <c r="P139" i="53"/>
  <c r="Q139" i="53"/>
  <c r="R139" i="53"/>
  <c r="S139" i="53"/>
  <c r="AB139" i="53"/>
  <c r="AC139" i="53"/>
  <c r="AD139" i="53"/>
  <c r="AE139" i="53"/>
  <c r="AF139" i="53"/>
  <c r="AG139" i="53"/>
  <c r="AH139" i="53"/>
  <c r="P140" i="53"/>
  <c r="Q140" i="53"/>
  <c r="R140" i="53"/>
  <c r="S140" i="53"/>
  <c r="AB140" i="53"/>
  <c r="AC140" i="53"/>
  <c r="AD140" i="53"/>
  <c r="AE140" i="53"/>
  <c r="AF140" i="53"/>
  <c r="AG140" i="53"/>
  <c r="AH140" i="53"/>
  <c r="P141" i="53"/>
  <c r="Q141" i="53"/>
  <c r="R141" i="53"/>
  <c r="S141" i="53"/>
  <c r="AB141" i="53"/>
  <c r="AC141" i="53"/>
  <c r="AD141" i="53"/>
  <c r="AE141" i="53"/>
  <c r="AF141" i="53"/>
  <c r="AG141" i="53"/>
  <c r="AH141" i="53"/>
  <c r="P142" i="53"/>
  <c r="Q142" i="53"/>
  <c r="R142" i="53"/>
  <c r="S142" i="53"/>
  <c r="AB142" i="53"/>
  <c r="AC142" i="53"/>
  <c r="AD142" i="53"/>
  <c r="AE142" i="53"/>
  <c r="AF142" i="53"/>
  <c r="AG142" i="53"/>
  <c r="AH142" i="53"/>
  <c r="R143" i="53"/>
  <c r="S143" i="53"/>
  <c r="AB143" i="53"/>
  <c r="AC143" i="53"/>
  <c r="AD143" i="53"/>
  <c r="AE143" i="53"/>
  <c r="AF143" i="53"/>
  <c r="AG143" i="53"/>
  <c r="AH143" i="53"/>
  <c r="P144" i="53"/>
  <c r="Q144" i="53"/>
  <c r="R144" i="53"/>
  <c r="S144" i="53"/>
  <c r="AB144" i="53"/>
  <c r="AC144" i="53"/>
  <c r="AD144" i="53"/>
  <c r="AE144" i="53"/>
  <c r="AF144" i="53"/>
  <c r="AG144" i="53"/>
  <c r="AH144" i="53"/>
  <c r="T145" i="53"/>
  <c r="U145" i="53"/>
  <c r="V145" i="53"/>
  <c r="W145" i="53"/>
  <c r="X145" i="53"/>
  <c r="Y145" i="53"/>
  <c r="Z145" i="53"/>
  <c r="AA145" i="53"/>
  <c r="AB145" i="53"/>
  <c r="AC145" i="53"/>
  <c r="AD145" i="53"/>
  <c r="AE145" i="53"/>
  <c r="AF145" i="53"/>
  <c r="AG145" i="53"/>
  <c r="AH145" i="53"/>
  <c r="P148" i="53"/>
  <c r="Q148" i="53"/>
  <c r="R148" i="53"/>
  <c r="S148" i="53"/>
  <c r="T148" i="53"/>
  <c r="AB148" i="53"/>
  <c r="AC148" i="53"/>
  <c r="AD148" i="53"/>
  <c r="AE148" i="53"/>
  <c r="AF148" i="53"/>
  <c r="AG148" i="53"/>
  <c r="AH148" i="53"/>
  <c r="P149" i="53"/>
  <c r="Q149" i="53"/>
  <c r="R149" i="53"/>
  <c r="S149" i="53"/>
  <c r="AB149" i="53"/>
  <c r="AC149" i="53"/>
  <c r="AD149" i="53"/>
  <c r="AE149" i="53"/>
  <c r="AF149" i="53"/>
  <c r="AG149" i="53"/>
  <c r="AH149" i="53"/>
  <c r="P150" i="53"/>
  <c r="Q150" i="53"/>
  <c r="R150" i="53"/>
  <c r="S150" i="53"/>
  <c r="T150" i="53"/>
  <c r="AB150" i="53"/>
  <c r="AC150" i="53"/>
  <c r="AD150" i="53"/>
  <c r="AE150" i="53"/>
  <c r="AF150" i="53"/>
  <c r="AG150" i="53"/>
  <c r="AH150" i="53"/>
  <c r="P151" i="53"/>
  <c r="Q151" i="53"/>
  <c r="R151" i="53"/>
  <c r="S151" i="53"/>
  <c r="AB151" i="53"/>
  <c r="AC151" i="53"/>
  <c r="AD151" i="53"/>
  <c r="AE151" i="53"/>
  <c r="AF151" i="53"/>
  <c r="AG151" i="53"/>
  <c r="AH151" i="53"/>
  <c r="R152" i="53"/>
  <c r="S152" i="53"/>
  <c r="AB152" i="53"/>
  <c r="AC152" i="53"/>
  <c r="AD152" i="53"/>
  <c r="AE152" i="53"/>
  <c r="AF152" i="53"/>
  <c r="AG152" i="53"/>
  <c r="AH152" i="53"/>
  <c r="R153" i="53"/>
  <c r="S153" i="53"/>
  <c r="AB153" i="53"/>
  <c r="AC153" i="53"/>
  <c r="AD153" i="53"/>
  <c r="AE153" i="53"/>
  <c r="AF153" i="53"/>
  <c r="AG153" i="53"/>
  <c r="AH153" i="53"/>
  <c r="P154" i="53"/>
  <c r="Q154" i="53"/>
  <c r="R154" i="53"/>
  <c r="S154" i="53"/>
  <c r="T154" i="53"/>
  <c r="AB154" i="53"/>
  <c r="AC154" i="53"/>
  <c r="AD154" i="53"/>
  <c r="AE154" i="53"/>
  <c r="AF154" i="53"/>
  <c r="AG154" i="53"/>
  <c r="AH154" i="53"/>
  <c r="R155" i="53"/>
  <c r="S155" i="53"/>
  <c r="T155" i="53"/>
  <c r="AB155" i="53"/>
  <c r="AC155" i="53"/>
  <c r="AD155" i="53"/>
  <c r="AE155" i="53"/>
  <c r="AF155" i="53"/>
  <c r="AG155" i="53"/>
  <c r="AH155" i="53"/>
  <c r="P156" i="53"/>
  <c r="Q156" i="53"/>
  <c r="R156" i="53"/>
  <c r="S156" i="53"/>
  <c r="AB156" i="53"/>
  <c r="AC156" i="53"/>
  <c r="AD156" i="53"/>
  <c r="AE156" i="53"/>
  <c r="AF156" i="53"/>
  <c r="AG156" i="53"/>
  <c r="AH156" i="53"/>
  <c r="T157" i="53"/>
  <c r="U157" i="53"/>
  <c r="V157" i="53"/>
  <c r="W157" i="53"/>
  <c r="X157" i="53"/>
  <c r="Y157" i="53"/>
  <c r="Z157" i="53"/>
  <c r="AA157" i="53"/>
  <c r="AB157" i="53"/>
  <c r="AC157" i="53"/>
  <c r="AD157" i="53"/>
  <c r="AE157" i="53"/>
  <c r="AF157" i="53"/>
  <c r="AG157" i="53"/>
  <c r="AH157" i="53"/>
  <c r="U160" i="53"/>
  <c r="U159" i="53"/>
  <c r="V160" i="53"/>
  <c r="V159" i="53"/>
  <c r="W160" i="53"/>
  <c r="W159" i="53"/>
  <c r="X160" i="53"/>
  <c r="X159" i="53"/>
  <c r="Y160" i="53"/>
  <c r="Y159" i="53"/>
  <c r="Z160" i="53"/>
  <c r="Z159" i="53"/>
  <c r="AA160" i="53"/>
  <c r="AA159" i="53"/>
  <c r="AB160" i="53"/>
  <c r="AB159" i="53"/>
  <c r="AC160" i="53"/>
  <c r="AC159" i="53"/>
  <c r="AD160" i="53"/>
  <c r="AD159" i="53"/>
  <c r="AE160" i="53"/>
  <c r="AE159" i="53"/>
  <c r="AF160" i="53"/>
  <c r="AF159" i="53"/>
  <c r="AG160" i="53"/>
  <c r="AG159" i="53"/>
  <c r="AH160" i="53"/>
  <c r="AH159" i="53"/>
  <c r="K160" i="53"/>
  <c r="L160" i="53"/>
  <c r="M160" i="53"/>
  <c r="N160" i="53"/>
  <c r="O160" i="53"/>
  <c r="P160" i="53"/>
  <c r="Q160" i="53"/>
  <c r="R160" i="53"/>
  <c r="S160" i="53"/>
  <c r="S161" i="53"/>
  <c r="T161" i="53"/>
  <c r="U161" i="53"/>
  <c r="V161" i="53"/>
  <c r="W161" i="53"/>
  <c r="X161" i="53"/>
  <c r="Y161" i="53"/>
  <c r="Z161" i="53"/>
  <c r="AA161" i="53"/>
  <c r="AB161" i="53"/>
  <c r="AC161" i="53"/>
  <c r="AD161" i="53"/>
  <c r="AE161" i="53"/>
  <c r="AF161" i="53"/>
  <c r="AG161" i="53"/>
  <c r="AH161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AA164" i="53"/>
  <c r="AB164" i="53"/>
  <c r="AC164" i="53"/>
  <c r="AD164" i="53"/>
  <c r="AE164" i="53"/>
  <c r="AF164" i="53"/>
  <c r="AG164" i="53"/>
  <c r="AH164" i="53"/>
  <c r="T165" i="53"/>
  <c r="U165" i="53"/>
  <c r="V165" i="53"/>
  <c r="W165" i="53"/>
  <c r="X165" i="53"/>
  <c r="Y165" i="53"/>
  <c r="Z165" i="53"/>
  <c r="AA165" i="53"/>
  <c r="AB165" i="53"/>
  <c r="AC165" i="53"/>
  <c r="AD165" i="53"/>
  <c r="AE165" i="53"/>
  <c r="AF165" i="53"/>
  <c r="AG165" i="53"/>
  <c r="AH165" i="53"/>
  <c r="Q167" i="53"/>
  <c r="R167" i="53"/>
  <c r="S167" i="53"/>
  <c r="T167" i="53"/>
  <c r="U167" i="53"/>
  <c r="V167" i="53"/>
  <c r="W167" i="53"/>
  <c r="X167" i="53"/>
  <c r="Y167" i="53"/>
  <c r="Z167" i="53"/>
  <c r="AA167" i="53"/>
  <c r="AB167" i="53"/>
  <c r="AC167" i="53"/>
  <c r="AD167" i="53"/>
  <c r="AE167" i="53"/>
  <c r="AF167" i="53"/>
  <c r="AG167" i="53"/>
  <c r="AH167" i="53"/>
  <c r="Q169" i="53"/>
  <c r="R169" i="53"/>
  <c r="S169" i="53"/>
  <c r="Q170" i="53"/>
  <c r="R170" i="53"/>
  <c r="S170" i="53"/>
  <c r="P172" i="53"/>
  <c r="Q172" i="53"/>
  <c r="R172" i="53"/>
  <c r="S172" i="53"/>
  <c r="U172" i="53"/>
  <c r="V172" i="53"/>
  <c r="W172" i="53"/>
  <c r="X172" i="53"/>
  <c r="Y172" i="53"/>
  <c r="Z172" i="53"/>
  <c r="AA172" i="53"/>
  <c r="AB172" i="53"/>
  <c r="AC172" i="53"/>
  <c r="AD172" i="53"/>
  <c r="AE172" i="53"/>
  <c r="AF172" i="53"/>
  <c r="AG172" i="53"/>
  <c r="AH172" i="53"/>
  <c r="P173" i="53"/>
  <c r="Q173" i="53"/>
  <c r="R173" i="53"/>
  <c r="S173" i="53"/>
  <c r="T173" i="53"/>
  <c r="U173" i="53"/>
  <c r="V173" i="53"/>
  <c r="W173" i="53"/>
  <c r="X173" i="53"/>
  <c r="Y173" i="53"/>
  <c r="Z173" i="53"/>
  <c r="AA173" i="53"/>
  <c r="AB173" i="53"/>
  <c r="AC173" i="53"/>
  <c r="AD173" i="53"/>
  <c r="AE173" i="53"/>
  <c r="AF173" i="53"/>
  <c r="AG173" i="53"/>
  <c r="AH173" i="53"/>
  <c r="T27" i="67"/>
  <c r="M38" i="67"/>
  <c r="N38" i="67"/>
  <c r="O38" i="67"/>
  <c r="P38" i="67"/>
  <c r="Q38" i="67"/>
  <c r="R38" i="67"/>
  <c r="S38" i="67"/>
  <c r="M31" i="67"/>
  <c r="N31" i="67"/>
  <c r="O31" i="67"/>
  <c r="P31" i="67"/>
  <c r="Q31" i="67"/>
  <c r="R31" i="67"/>
  <c r="S31" i="67"/>
  <c r="L38" i="67"/>
  <c r="L31" i="67"/>
  <c r="L27" i="67"/>
  <c r="L18" i="63"/>
  <c r="L33" i="280"/>
  <c r="K18" i="63"/>
  <c r="S14" i="63"/>
  <c r="T14" i="63"/>
  <c r="U14" i="63"/>
  <c r="V14" i="63"/>
  <c r="W14" i="63"/>
  <c r="X14" i="63"/>
  <c r="Y14" i="63"/>
  <c r="Z14" i="63"/>
  <c r="AA14" i="63"/>
  <c r="AB14" i="63"/>
  <c r="AC14" i="63"/>
  <c r="AD14" i="63"/>
  <c r="AE14" i="63"/>
  <c r="AF14" i="63"/>
  <c r="AG14" i="63"/>
  <c r="AH14" i="63"/>
  <c r="R14" i="63"/>
  <c r="R13" i="63"/>
  <c r="S13" i="63"/>
  <c r="T13" i="63"/>
  <c r="U13" i="63"/>
  <c r="V13" i="63"/>
  <c r="W13" i="63"/>
  <c r="X13" i="63"/>
  <c r="Y13" i="63"/>
  <c r="Z13" i="63"/>
  <c r="AA13" i="63"/>
  <c r="AB13" i="63"/>
  <c r="AC13" i="63"/>
  <c r="AD13" i="63"/>
  <c r="AE13" i="63"/>
  <c r="AF13" i="63"/>
  <c r="AG13" i="63"/>
  <c r="AH13" i="63"/>
  <c r="M14" i="63"/>
  <c r="N14" i="63"/>
  <c r="O14" i="63"/>
  <c r="P14" i="63"/>
  <c r="Q14" i="63"/>
  <c r="L14" i="63"/>
  <c r="L13" i="63"/>
  <c r="M13" i="63"/>
  <c r="N13" i="63"/>
  <c r="O13" i="63"/>
  <c r="P13" i="63"/>
  <c r="Q13" i="63"/>
  <c r="L16" i="63"/>
  <c r="L34" i="280"/>
  <c r="K14" i="63"/>
  <c r="K13" i="63"/>
  <c r="J16" i="63"/>
  <c r="N21" i="280"/>
  <c r="M21" i="280"/>
  <c r="L21" i="280"/>
  <c r="K21" i="280"/>
  <c r="J21" i="280"/>
  <c r="N20" i="280"/>
  <c r="M20" i="280"/>
  <c r="L20" i="280"/>
  <c r="K20" i="280"/>
  <c r="J20" i="280"/>
  <c r="N19" i="280"/>
  <c r="M19" i="280"/>
  <c r="L19" i="280"/>
  <c r="K19" i="280"/>
  <c r="J19" i="280"/>
  <c r="N18" i="280"/>
  <c r="M18" i="280"/>
  <c r="L18" i="280"/>
  <c r="K18" i="280"/>
  <c r="J18" i="280"/>
  <c r="N17" i="280"/>
  <c r="M17" i="280"/>
  <c r="L17" i="280"/>
  <c r="K17" i="280"/>
  <c r="J17" i="280"/>
  <c r="N16" i="280"/>
  <c r="M16" i="280"/>
  <c r="L16" i="280"/>
  <c r="K16" i="280"/>
  <c r="J16" i="280"/>
  <c r="N15" i="280"/>
  <c r="M15" i="280"/>
  <c r="L15" i="280"/>
  <c r="K15" i="280"/>
  <c r="J15" i="280"/>
  <c r="N14" i="280"/>
  <c r="M14" i="280"/>
  <c r="L14" i="280"/>
  <c r="K14" i="280"/>
  <c r="J14" i="280"/>
  <c r="N13" i="280"/>
  <c r="M13" i="280"/>
  <c r="L13" i="280"/>
  <c r="K13" i="280"/>
  <c r="J13" i="280"/>
  <c r="P35" i="280"/>
  <c r="O35" i="280"/>
  <c r="N35" i="280"/>
  <c r="M35" i="280"/>
  <c r="L35" i="280"/>
  <c r="K35" i="280"/>
  <c r="J35" i="280"/>
  <c r="J34" i="280"/>
  <c r="K33" i="280"/>
  <c r="J33" i="280"/>
  <c r="P32" i="280"/>
  <c r="O32" i="280"/>
  <c r="N32" i="280"/>
  <c r="M32" i="280"/>
  <c r="L32" i="280"/>
  <c r="K32" i="280"/>
  <c r="J32" i="280"/>
  <c r="P31" i="280"/>
  <c r="O31" i="280"/>
  <c r="N31" i="280"/>
  <c r="M31" i="280"/>
  <c r="L31" i="280"/>
  <c r="K31" i="280"/>
  <c r="J31" i="280"/>
  <c r="P30" i="280"/>
  <c r="O30" i="280"/>
  <c r="N30" i="280"/>
  <c r="M30" i="280"/>
  <c r="L30" i="280"/>
  <c r="K30" i="280"/>
  <c r="J30" i="280"/>
  <c r="P29" i="280"/>
  <c r="O29" i="280"/>
  <c r="N29" i="280"/>
  <c r="M29" i="280"/>
  <c r="L29" i="280"/>
  <c r="K29" i="280"/>
  <c r="J29" i="280"/>
  <c r="P28" i="280"/>
  <c r="O28" i="280"/>
  <c r="N28" i="280"/>
  <c r="M28" i="280"/>
  <c r="L28" i="280"/>
  <c r="K28" i="280"/>
  <c r="J28" i="280"/>
  <c r="P27" i="280"/>
  <c r="O27" i="280"/>
  <c r="N27" i="280"/>
  <c r="M27" i="280"/>
  <c r="L27" i="280"/>
  <c r="K27" i="280"/>
  <c r="J27" i="280"/>
  <c r="K108" i="51"/>
  <c r="J109" i="51"/>
  <c r="L11" i="1105"/>
  <c r="L77" i="51"/>
  <c r="K77" i="51"/>
  <c r="J77" i="51"/>
  <c r="S77" i="51"/>
  <c r="R77" i="51"/>
  <c r="Q77" i="51"/>
  <c r="P77" i="51"/>
  <c r="O77" i="51"/>
  <c r="N77" i="51"/>
  <c r="T83" i="51"/>
  <c r="U83" i="51"/>
  <c r="V83" i="51"/>
  <c r="W83" i="51"/>
  <c r="X83" i="51"/>
  <c r="T82" i="51"/>
  <c r="T81" i="51"/>
  <c r="U81" i="51"/>
  <c r="U82" i="51"/>
  <c r="V82" i="51"/>
  <c r="W82" i="51"/>
  <c r="X82" i="51"/>
  <c r="V81" i="51"/>
  <c r="W81" i="51"/>
  <c r="X81" i="51"/>
  <c r="T80" i="51"/>
  <c r="U80" i="51"/>
  <c r="V80" i="51"/>
  <c r="W80" i="51"/>
  <c r="X80" i="51"/>
  <c r="T58" i="51"/>
  <c r="T59" i="51"/>
  <c r="T60" i="51"/>
  <c r="M18" i="63"/>
  <c r="K16" i="63"/>
  <c r="K34" i="280"/>
  <c r="S51" i="51"/>
  <c r="R51" i="51"/>
  <c r="Q51" i="51"/>
  <c r="P51" i="51"/>
  <c r="O51" i="51"/>
  <c r="N51" i="51"/>
  <c r="M51" i="51"/>
  <c r="L51" i="51"/>
  <c r="K51" i="51"/>
  <c r="J51" i="51"/>
  <c r="N18" i="63"/>
  <c r="M33" i="280"/>
  <c r="M16" i="63"/>
  <c r="M34" i="280"/>
  <c r="Q22" i="51"/>
  <c r="P22" i="51"/>
  <c r="O22" i="51"/>
  <c r="N22" i="51"/>
  <c r="M22" i="51"/>
  <c r="L22" i="51"/>
  <c r="K22" i="51"/>
  <c r="J22" i="51"/>
  <c r="O18" i="63"/>
  <c r="N33" i="280"/>
  <c r="N16" i="63"/>
  <c r="N34" i="280"/>
  <c r="K13" i="51"/>
  <c r="J13" i="51"/>
  <c r="O33" i="280"/>
  <c r="P18" i="63"/>
  <c r="O16" i="63"/>
  <c r="O34" i="280"/>
  <c r="L13" i="51"/>
  <c r="L40" i="51"/>
  <c r="I59" i="313"/>
  <c r="T52" i="300"/>
  <c r="T23" i="300"/>
  <c r="U52" i="300"/>
  <c r="U23" i="300"/>
  <c r="V23" i="300"/>
  <c r="W23" i="300"/>
  <c r="X23" i="300"/>
  <c r="Y23" i="300"/>
  <c r="Z23" i="300"/>
  <c r="AA23" i="300"/>
  <c r="AB23" i="300"/>
  <c r="AC23" i="300"/>
  <c r="AD23" i="300"/>
  <c r="AE23" i="300"/>
  <c r="AF23" i="300"/>
  <c r="AG23" i="300"/>
  <c r="AH23" i="300"/>
  <c r="V52" i="300"/>
  <c r="W52" i="300"/>
  <c r="X52" i="300"/>
  <c r="T58" i="280"/>
  <c r="S58" i="280"/>
  <c r="R58" i="280"/>
  <c r="Q58" i="280"/>
  <c r="R53" i="280"/>
  <c r="R36" i="67"/>
  <c r="K72" i="313"/>
  <c r="N61" i="1105"/>
  <c r="L72" i="313"/>
  <c r="O61" i="1105"/>
  <c r="M72" i="313"/>
  <c r="P61" i="1105"/>
  <c r="N72" i="313"/>
  <c r="Q61" i="1105"/>
  <c r="O72" i="313"/>
  <c r="R61" i="1105"/>
  <c r="S61" i="1105"/>
  <c r="T61" i="1105"/>
  <c r="U61" i="1105"/>
  <c r="V61" i="1105"/>
  <c r="W61" i="1105"/>
  <c r="X61" i="1105"/>
  <c r="Y61" i="1105"/>
  <c r="Z61" i="1105"/>
  <c r="AA61" i="1105"/>
  <c r="AB61" i="1105"/>
  <c r="A33" i="729"/>
  <c r="A32" i="729"/>
  <c r="A31" i="729"/>
  <c r="A30" i="729"/>
  <c r="A29" i="729"/>
  <c r="A28" i="729"/>
  <c r="Q43" i="1114"/>
  <c r="X173" i="51"/>
  <c r="P43" i="1114"/>
  <c r="W173" i="51"/>
  <c r="O43" i="1114"/>
  <c r="V173" i="51"/>
  <c r="N43" i="1114"/>
  <c r="U173" i="51"/>
  <c r="M43" i="1114"/>
  <c r="A16" i="729"/>
  <c r="A15" i="729"/>
  <c r="A14" i="729"/>
  <c r="A13" i="729"/>
  <c r="A12" i="729"/>
  <c r="A11" i="729"/>
  <c r="K28" i="313"/>
  <c r="B51" i="863"/>
  <c r="B50" i="863"/>
  <c r="B49" i="863"/>
  <c r="B48" i="863"/>
  <c r="B47" i="863"/>
  <c r="B46" i="863"/>
  <c r="B45" i="863"/>
  <c r="B44" i="863"/>
  <c r="B43" i="863"/>
  <c r="E42" i="863"/>
  <c r="D42" i="863"/>
  <c r="C42" i="863"/>
  <c r="B42" i="863"/>
  <c r="G41" i="863"/>
  <c r="F41" i="863"/>
  <c r="E41" i="863"/>
  <c r="D41" i="863"/>
  <c r="C41" i="863"/>
  <c r="N40" i="863"/>
  <c r="M40" i="863"/>
  <c r="L40" i="863"/>
  <c r="K40" i="863"/>
  <c r="J40" i="863"/>
  <c r="I40" i="863"/>
  <c r="H40" i="863"/>
  <c r="G40" i="863"/>
  <c r="F40" i="863"/>
  <c r="E40" i="863"/>
  <c r="D40" i="863"/>
  <c r="C40" i="863"/>
  <c r="B38" i="863"/>
  <c r="G35" i="863"/>
  <c r="F35" i="863"/>
  <c r="E35" i="863"/>
  <c r="D35" i="863"/>
  <c r="C35" i="863"/>
  <c r="G34" i="863"/>
  <c r="F34" i="863"/>
  <c r="E34" i="863"/>
  <c r="D34" i="863"/>
  <c r="C34" i="863"/>
  <c r="G33" i="863"/>
  <c r="F33" i="863"/>
  <c r="E33" i="863"/>
  <c r="D33" i="863"/>
  <c r="C33" i="863"/>
  <c r="G32" i="863"/>
  <c r="F32" i="863"/>
  <c r="E32" i="863"/>
  <c r="D32" i="863"/>
  <c r="C32" i="863"/>
  <c r="G31" i="863"/>
  <c r="F31" i="863"/>
  <c r="E31" i="863"/>
  <c r="D31" i="863"/>
  <c r="C31" i="863"/>
  <c r="G29" i="863"/>
  <c r="F29" i="863"/>
  <c r="E29" i="863"/>
  <c r="D29" i="863"/>
  <c r="C29" i="863"/>
  <c r="G28" i="863"/>
  <c r="F28" i="863"/>
  <c r="E28" i="863"/>
  <c r="D28" i="863"/>
  <c r="C28" i="863"/>
  <c r="G27" i="863"/>
  <c r="F27" i="863"/>
  <c r="E27" i="863"/>
  <c r="D27" i="863"/>
  <c r="C27" i="863"/>
  <c r="G26" i="863"/>
  <c r="F26" i="863"/>
  <c r="E26" i="863"/>
  <c r="D26" i="863"/>
  <c r="C26" i="863"/>
  <c r="G25" i="863"/>
  <c r="F25" i="863"/>
  <c r="E25" i="863"/>
  <c r="D25" i="863"/>
  <c r="C25" i="863"/>
  <c r="N24" i="863"/>
  <c r="M24" i="863"/>
  <c r="L24" i="863"/>
  <c r="K24" i="863"/>
  <c r="J24" i="863"/>
  <c r="I24" i="863"/>
  <c r="H24" i="863"/>
  <c r="G24" i="863"/>
  <c r="F24" i="863"/>
  <c r="E24" i="863"/>
  <c r="D24" i="863"/>
  <c r="C24" i="863"/>
  <c r="I22" i="863"/>
  <c r="H22" i="863"/>
  <c r="G22" i="863"/>
  <c r="F22" i="863"/>
  <c r="E22" i="863"/>
  <c r="D22" i="863"/>
  <c r="C22" i="863"/>
  <c r="I21" i="863"/>
  <c r="H21" i="863"/>
  <c r="G21" i="863"/>
  <c r="F21" i="863"/>
  <c r="E21" i="863"/>
  <c r="D21" i="863"/>
  <c r="C21" i="863"/>
  <c r="I20" i="863"/>
  <c r="H20" i="863"/>
  <c r="G20" i="863"/>
  <c r="F20" i="863"/>
  <c r="E20" i="863"/>
  <c r="D20" i="863"/>
  <c r="C20" i="863"/>
  <c r="I19" i="863"/>
  <c r="H19" i="863"/>
  <c r="G19" i="863"/>
  <c r="F19" i="863"/>
  <c r="E19" i="863"/>
  <c r="D19" i="863"/>
  <c r="C19" i="863"/>
  <c r="I18" i="863"/>
  <c r="H18" i="863"/>
  <c r="G18" i="863"/>
  <c r="F18" i="863"/>
  <c r="E18" i="863"/>
  <c r="D18" i="863"/>
  <c r="C18" i="863"/>
  <c r="AH45" i="67"/>
  <c r="AG45" i="67"/>
  <c r="AF45" i="67"/>
  <c r="AE45" i="67"/>
  <c r="AD45" i="67"/>
  <c r="AC45" i="67"/>
  <c r="AB45" i="67"/>
  <c r="AA45" i="67"/>
  <c r="Z45" i="67"/>
  <c r="Y45" i="67"/>
  <c r="X45" i="67"/>
  <c r="W45" i="67"/>
  <c r="V45" i="67"/>
  <c r="U45" i="67"/>
  <c r="T45" i="67"/>
  <c r="S45" i="67"/>
  <c r="R45" i="67"/>
  <c r="Q45" i="67"/>
  <c r="P45" i="67"/>
  <c r="O45" i="67"/>
  <c r="M45" i="67"/>
  <c r="E45" i="67"/>
  <c r="K42" i="67"/>
  <c r="J42" i="67"/>
  <c r="E42" i="67"/>
  <c r="S37" i="67"/>
  <c r="R37" i="67"/>
  <c r="Q37" i="67"/>
  <c r="P37" i="67"/>
  <c r="O37" i="67"/>
  <c r="N37" i="67"/>
  <c r="M37" i="67"/>
  <c r="L37" i="67"/>
  <c r="Q34" i="67"/>
  <c r="Q36" i="67"/>
  <c r="P34" i="67"/>
  <c r="P36" i="67"/>
  <c r="O36" i="67"/>
  <c r="N36" i="67"/>
  <c r="M36" i="67"/>
  <c r="L36" i="67"/>
  <c r="Q35" i="67"/>
  <c r="P35" i="67"/>
  <c r="O34" i="67"/>
  <c r="O35" i="67"/>
  <c r="N34" i="67"/>
  <c r="N35" i="67"/>
  <c r="M34" i="67"/>
  <c r="M35" i="67"/>
  <c r="L34" i="67"/>
  <c r="L35" i="67"/>
  <c r="R34" i="67"/>
  <c r="S30" i="67"/>
  <c r="R30" i="67"/>
  <c r="Q30" i="67"/>
  <c r="P30" i="67"/>
  <c r="O30" i="67"/>
  <c r="N30" i="67"/>
  <c r="M30" i="67"/>
  <c r="L30" i="67"/>
  <c r="Q29" i="67"/>
  <c r="L29" i="67"/>
  <c r="S22" i="67"/>
  <c r="R22" i="67"/>
  <c r="Q22" i="67"/>
  <c r="P22" i="67"/>
  <c r="O22" i="67"/>
  <c r="N22" i="67"/>
  <c r="M22" i="67"/>
  <c r="L22" i="67"/>
  <c r="K22" i="67"/>
  <c r="J22" i="67"/>
  <c r="E16" i="67"/>
  <c r="N12" i="67"/>
  <c r="N14" i="67"/>
  <c r="M12" i="67"/>
  <c r="M14" i="67"/>
  <c r="L12" i="67"/>
  <c r="L14" i="67"/>
  <c r="Q12" i="67"/>
  <c r="Q14" i="67"/>
  <c r="P12" i="67"/>
  <c r="P14" i="67"/>
  <c r="O12" i="67"/>
  <c r="O14" i="67"/>
  <c r="K12" i="67"/>
  <c r="AH9" i="67"/>
  <c r="AG9" i="67"/>
  <c r="AF9" i="67"/>
  <c r="AE9" i="67"/>
  <c r="AD9" i="67"/>
  <c r="AC9" i="67"/>
  <c r="AB9" i="67"/>
  <c r="AA9" i="67"/>
  <c r="Z9" i="67"/>
  <c r="Y9" i="67"/>
  <c r="X9" i="67"/>
  <c r="W9" i="67"/>
  <c r="V9" i="67"/>
  <c r="U9" i="67"/>
  <c r="T9" i="67"/>
  <c r="S9" i="67"/>
  <c r="R9" i="67"/>
  <c r="Q9" i="67"/>
  <c r="P9" i="67"/>
  <c r="O9" i="67"/>
  <c r="N9" i="67"/>
  <c r="M9" i="67"/>
  <c r="L9" i="67"/>
  <c r="K9" i="67"/>
  <c r="AH8" i="67"/>
  <c r="AG8" i="67"/>
  <c r="AF8" i="67"/>
  <c r="AE8" i="67"/>
  <c r="AD8" i="67"/>
  <c r="AC8" i="67"/>
  <c r="AB8" i="67"/>
  <c r="AA8" i="67"/>
  <c r="Z8" i="67"/>
  <c r="Y8" i="67"/>
  <c r="X8" i="67"/>
  <c r="W8" i="67"/>
  <c r="V8" i="67"/>
  <c r="U8" i="67"/>
  <c r="T8" i="67"/>
  <c r="S8" i="67"/>
  <c r="R8" i="67"/>
  <c r="Q8" i="67"/>
  <c r="P8" i="67"/>
  <c r="O8" i="67"/>
  <c r="N8" i="67"/>
  <c r="M8" i="67"/>
  <c r="L8" i="67"/>
  <c r="K8" i="67"/>
  <c r="J8" i="67"/>
  <c r="AQ3" i="67"/>
  <c r="AP3" i="67"/>
  <c r="AO3" i="67"/>
  <c r="AN3" i="67"/>
  <c r="AM3" i="67"/>
  <c r="AL3" i="67"/>
  <c r="AK3" i="67"/>
  <c r="AJ3" i="67"/>
  <c r="AI3" i="67"/>
  <c r="AH3" i="67"/>
  <c r="AG3" i="67"/>
  <c r="AF3" i="67"/>
  <c r="AE3" i="67"/>
  <c r="AD3" i="67"/>
  <c r="AC3" i="67"/>
  <c r="AB3" i="67"/>
  <c r="AA3" i="67"/>
  <c r="Z3" i="67"/>
  <c r="Y3" i="67"/>
  <c r="X3" i="67"/>
  <c r="W3" i="67"/>
  <c r="V3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AH16" i="63"/>
  <c r="AH34" i="280"/>
  <c r="AG16" i="63"/>
  <c r="AF16" i="63"/>
  <c r="AF34" i="280"/>
  <c r="AE16" i="63"/>
  <c r="AE34" i="280"/>
  <c r="AD16" i="63"/>
  <c r="AD34" i="280"/>
  <c r="AC16" i="63"/>
  <c r="AB16" i="63"/>
  <c r="AA16" i="63"/>
  <c r="AA34" i="280"/>
  <c r="Z16" i="63"/>
  <c r="Z95" i="51"/>
  <c r="Y16" i="63"/>
  <c r="X16" i="63"/>
  <c r="X34" i="280"/>
  <c r="W16" i="63"/>
  <c r="W34" i="280"/>
  <c r="V16" i="63"/>
  <c r="V34" i="280"/>
  <c r="U16" i="63"/>
  <c r="T16" i="63"/>
  <c r="S16" i="63"/>
  <c r="S34" i="280"/>
  <c r="R16" i="63"/>
  <c r="R34" i="280"/>
  <c r="P16" i="63"/>
  <c r="P34" i="280"/>
  <c r="AH9" i="63"/>
  <c r="AG9" i="63"/>
  <c r="AF9" i="63"/>
  <c r="AE9" i="63"/>
  <c r="AD9" i="63"/>
  <c r="AC9" i="63"/>
  <c r="AB9" i="63"/>
  <c r="AA9" i="63"/>
  <c r="Z9" i="63"/>
  <c r="Y9" i="63"/>
  <c r="X9" i="63"/>
  <c r="W9" i="63"/>
  <c r="V9" i="63"/>
  <c r="U9" i="63"/>
  <c r="T9" i="63"/>
  <c r="S9" i="63"/>
  <c r="R9" i="63"/>
  <c r="Q9" i="63"/>
  <c r="P9" i="63"/>
  <c r="O9" i="63"/>
  <c r="N9" i="63"/>
  <c r="M9" i="63"/>
  <c r="L9" i="63"/>
  <c r="K9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S53" i="300"/>
  <c r="R53" i="300"/>
  <c r="Q53" i="300"/>
  <c r="P53" i="300"/>
  <c r="AH52" i="300"/>
  <c r="AG52" i="300"/>
  <c r="AF52" i="300"/>
  <c r="AE52" i="300"/>
  <c r="AD52" i="300"/>
  <c r="AC52" i="300"/>
  <c r="AB52" i="300"/>
  <c r="AA52" i="300"/>
  <c r="Z52" i="300"/>
  <c r="Y52" i="300"/>
  <c r="S52" i="300"/>
  <c r="R52" i="300"/>
  <c r="Q52" i="300"/>
  <c r="P52" i="300"/>
  <c r="O52" i="300"/>
  <c r="S51" i="300"/>
  <c r="R51" i="300"/>
  <c r="Q51" i="300"/>
  <c r="P51" i="300"/>
  <c r="S50" i="300"/>
  <c r="R50" i="300"/>
  <c r="Q50" i="300"/>
  <c r="P50" i="300"/>
  <c r="S49" i="300"/>
  <c r="R49" i="300"/>
  <c r="Q49" i="300"/>
  <c r="P49" i="300"/>
  <c r="AH48" i="300"/>
  <c r="AG48" i="300"/>
  <c r="AF48" i="300"/>
  <c r="AE48" i="300"/>
  <c r="AD48" i="300"/>
  <c r="AC48" i="300"/>
  <c r="AB48" i="300"/>
  <c r="AA48" i="300"/>
  <c r="Z48" i="300"/>
  <c r="Y48" i="300"/>
  <c r="X48" i="300"/>
  <c r="W48" i="300"/>
  <c r="V48" i="300"/>
  <c r="U48" i="300"/>
  <c r="S48" i="300"/>
  <c r="R48" i="300"/>
  <c r="Q48" i="300"/>
  <c r="R46" i="300"/>
  <c r="U36" i="300"/>
  <c r="T36" i="300"/>
  <c r="S36" i="300"/>
  <c r="R36" i="300"/>
  <c r="Q36" i="300"/>
  <c r="P36" i="300"/>
  <c r="O36" i="300"/>
  <c r="N36" i="300"/>
  <c r="M36" i="300"/>
  <c r="E36" i="300"/>
  <c r="M35" i="300"/>
  <c r="N29" i="300"/>
  <c r="M29" i="300"/>
  <c r="S28" i="300"/>
  <c r="R28" i="300"/>
  <c r="R40" i="300"/>
  <c r="Q28" i="300"/>
  <c r="P28" i="300"/>
  <c r="O28" i="300"/>
  <c r="S26" i="300"/>
  <c r="R26" i="300"/>
  <c r="Q26" i="300"/>
  <c r="P26" i="300"/>
  <c r="O26" i="300"/>
  <c r="N26" i="300"/>
  <c r="M26" i="300"/>
  <c r="AH24" i="300"/>
  <c r="AG24" i="300"/>
  <c r="AF24" i="300"/>
  <c r="AE24" i="300"/>
  <c r="AD24" i="300"/>
  <c r="AC24" i="300"/>
  <c r="AB24" i="300"/>
  <c r="AA24" i="300"/>
  <c r="Z24" i="300"/>
  <c r="Y24" i="300"/>
  <c r="X24" i="300"/>
  <c r="W24" i="300"/>
  <c r="V24" i="300"/>
  <c r="U24" i="300"/>
  <c r="T24" i="300"/>
  <c r="N23" i="300"/>
  <c r="AH22" i="300"/>
  <c r="AG22" i="300"/>
  <c r="AF22" i="300"/>
  <c r="AE22" i="300"/>
  <c r="AD22" i="300"/>
  <c r="AC22" i="300"/>
  <c r="AB22" i="300"/>
  <c r="AA22" i="300"/>
  <c r="Z22" i="300"/>
  <c r="Y22" i="300"/>
  <c r="X22" i="300"/>
  <c r="W22" i="300"/>
  <c r="V22" i="300"/>
  <c r="U22" i="300"/>
  <c r="T22" i="300"/>
  <c r="N22" i="300"/>
  <c r="AH21" i="300"/>
  <c r="AG21" i="300"/>
  <c r="AF21" i="300"/>
  <c r="AE21" i="300"/>
  <c r="AD21" i="300"/>
  <c r="AC21" i="300"/>
  <c r="AB21" i="300"/>
  <c r="AA21" i="300"/>
  <c r="Z21" i="300"/>
  <c r="Y21" i="300"/>
  <c r="X21" i="300"/>
  <c r="W21" i="300"/>
  <c r="V21" i="300"/>
  <c r="U21" i="300"/>
  <c r="T21" i="300"/>
  <c r="N21" i="300"/>
  <c r="AH20" i="300"/>
  <c r="AG20" i="300"/>
  <c r="AF20" i="300"/>
  <c r="AE20" i="300"/>
  <c r="AD20" i="300"/>
  <c r="AC20" i="300"/>
  <c r="AB20" i="300"/>
  <c r="AA20" i="300"/>
  <c r="Z20" i="300"/>
  <c r="Y20" i="300"/>
  <c r="X20" i="300"/>
  <c r="W20" i="300"/>
  <c r="V20" i="300"/>
  <c r="U20" i="300"/>
  <c r="T20" i="300"/>
  <c r="N20" i="300"/>
  <c r="AH19" i="300"/>
  <c r="AG19" i="300"/>
  <c r="AF19" i="300"/>
  <c r="AE19" i="300"/>
  <c r="AD19" i="300"/>
  <c r="AC19" i="300"/>
  <c r="AB19" i="300"/>
  <c r="AA19" i="300"/>
  <c r="Z19" i="300"/>
  <c r="Y19" i="300"/>
  <c r="X19" i="300"/>
  <c r="W19" i="300"/>
  <c r="V19" i="300"/>
  <c r="U19" i="300"/>
  <c r="T19" i="300"/>
  <c r="N19" i="300"/>
  <c r="AH9" i="300"/>
  <c r="AG9" i="300"/>
  <c r="AF9" i="300"/>
  <c r="AE9" i="300"/>
  <c r="AD9" i="300"/>
  <c r="AC9" i="300"/>
  <c r="AB9" i="300"/>
  <c r="AA9" i="300"/>
  <c r="Z9" i="300"/>
  <c r="Y9" i="300"/>
  <c r="X9" i="300"/>
  <c r="W9" i="300"/>
  <c r="V9" i="300"/>
  <c r="U9" i="300"/>
  <c r="T9" i="300"/>
  <c r="S9" i="300"/>
  <c r="R9" i="300"/>
  <c r="Q9" i="300"/>
  <c r="P9" i="300"/>
  <c r="O9" i="300"/>
  <c r="N9" i="300"/>
  <c r="M9" i="300"/>
  <c r="L9" i="300"/>
  <c r="K9" i="300"/>
  <c r="B7" i="300"/>
  <c r="X3" i="300"/>
  <c r="W3" i="300"/>
  <c r="V3" i="300"/>
  <c r="U3" i="300"/>
  <c r="T3" i="300"/>
  <c r="S3" i="300"/>
  <c r="R3" i="300"/>
  <c r="Q3" i="300"/>
  <c r="P3" i="300"/>
  <c r="O3" i="300"/>
  <c r="N3" i="300"/>
  <c r="M3" i="300"/>
  <c r="L3" i="300"/>
  <c r="K3" i="300"/>
  <c r="J3" i="300"/>
  <c r="I3" i="300"/>
  <c r="H3" i="300"/>
  <c r="G3" i="300"/>
  <c r="F3" i="300"/>
  <c r="E3" i="300"/>
  <c r="I72" i="313"/>
  <c r="R39" i="313"/>
  <c r="S60" i="313"/>
  <c r="T59" i="313"/>
  <c r="S58" i="313"/>
  <c r="S57" i="313"/>
  <c r="S54" i="313"/>
  <c r="S53" i="313"/>
  <c r="S52" i="313"/>
  <c r="T51" i="313"/>
  <c r="S51" i="313"/>
  <c r="S50" i="313"/>
  <c r="S48" i="313"/>
  <c r="S47" i="313"/>
  <c r="S46" i="313"/>
  <c r="S45" i="313"/>
  <c r="S44" i="313"/>
  <c r="S43" i="313"/>
  <c r="P41" i="313"/>
  <c r="O41" i="313"/>
  <c r="N41" i="313"/>
  <c r="M41" i="313"/>
  <c r="L41" i="313"/>
  <c r="K41" i="313"/>
  <c r="J41" i="313"/>
  <c r="P39" i="313"/>
  <c r="O39" i="313"/>
  <c r="K33" i="313"/>
  <c r="K34" i="313"/>
  <c r="K35" i="313"/>
  <c r="K36" i="313"/>
  <c r="K37" i="313"/>
  <c r="K38" i="313"/>
  <c r="K32" i="313"/>
  <c r="J38" i="313"/>
  <c r="J37" i="313"/>
  <c r="J36" i="313"/>
  <c r="J35" i="313"/>
  <c r="J34" i="313"/>
  <c r="J33" i="313"/>
  <c r="J32" i="313"/>
  <c r="L28" i="313"/>
  <c r="J5" i="313"/>
  <c r="J4" i="313"/>
  <c r="J3" i="313"/>
  <c r="I1" i="313"/>
  <c r="R139" i="1105"/>
  <c r="Q139" i="1105"/>
  <c r="P139" i="1105"/>
  <c r="O139" i="1105"/>
  <c r="N139" i="1105"/>
  <c r="M139" i="1105"/>
  <c r="L139" i="1105"/>
  <c r="L138" i="1105"/>
  <c r="L137" i="1105"/>
  <c r="L136" i="1105"/>
  <c r="L87" i="1105"/>
  <c r="N80" i="1105"/>
  <c r="M80" i="1105"/>
  <c r="L80" i="1105"/>
  <c r="L78" i="1105"/>
  <c r="K78" i="1105"/>
  <c r="K80" i="1105"/>
  <c r="J78" i="1105"/>
  <c r="J80" i="1105"/>
  <c r="AB75" i="1105"/>
  <c r="AA75" i="1105"/>
  <c r="Z75" i="1105"/>
  <c r="Y75" i="1105"/>
  <c r="X75" i="1105"/>
  <c r="W75" i="1105"/>
  <c r="V75" i="1105"/>
  <c r="U75" i="1105"/>
  <c r="T75" i="1105"/>
  <c r="S75" i="1105"/>
  <c r="R75" i="1105"/>
  <c r="Q75" i="1105"/>
  <c r="P75" i="1105"/>
  <c r="O75" i="1105"/>
  <c r="N75" i="1105"/>
  <c r="L75" i="1105"/>
  <c r="K75" i="1105"/>
  <c r="J75" i="1105"/>
  <c r="M68" i="1105"/>
  <c r="AB67" i="1105"/>
  <c r="AA67" i="1105"/>
  <c r="Z67" i="1105"/>
  <c r="Y67" i="1105"/>
  <c r="X67" i="1105"/>
  <c r="W67" i="1105"/>
  <c r="V67" i="1105"/>
  <c r="U67" i="1105"/>
  <c r="T67" i="1105"/>
  <c r="S67" i="1105"/>
  <c r="R67" i="1105"/>
  <c r="Q67" i="1105"/>
  <c r="P67" i="1105"/>
  <c r="O67" i="1105"/>
  <c r="N67" i="1105"/>
  <c r="M67" i="1105"/>
  <c r="M75" i="1105"/>
  <c r="AB66" i="1105"/>
  <c r="AA66" i="1105"/>
  <c r="Z66" i="1105"/>
  <c r="Y66" i="1105"/>
  <c r="X66" i="1105"/>
  <c r="W66" i="1105"/>
  <c r="V66" i="1105"/>
  <c r="U66" i="1105"/>
  <c r="T66" i="1105"/>
  <c r="S66" i="1105"/>
  <c r="M66" i="1105"/>
  <c r="L66" i="1105"/>
  <c r="K66" i="1105"/>
  <c r="J66" i="1105"/>
  <c r="N57" i="1105"/>
  <c r="M57" i="1105"/>
  <c r="L57" i="1105"/>
  <c r="K57" i="1105"/>
  <c r="J57" i="1105"/>
  <c r="L49" i="1105"/>
  <c r="M43" i="1105"/>
  <c r="L43" i="1105"/>
  <c r="K43" i="1105"/>
  <c r="J43" i="1105"/>
  <c r="L42" i="1105"/>
  <c r="K42" i="1105"/>
  <c r="J42" i="1105"/>
  <c r="L41" i="1105"/>
  <c r="K41" i="1105"/>
  <c r="J41" i="1105"/>
  <c r="L40" i="1105"/>
  <c r="K40" i="1105"/>
  <c r="J40" i="1105"/>
  <c r="L39" i="1105"/>
  <c r="K39" i="1105"/>
  <c r="J39" i="1105"/>
  <c r="L38" i="1105"/>
  <c r="K38" i="1105"/>
  <c r="J38" i="1105"/>
  <c r="L32" i="1105"/>
  <c r="K32" i="1105"/>
  <c r="J32" i="1105"/>
  <c r="M28" i="1105"/>
  <c r="L28" i="1105"/>
  <c r="K28" i="1105"/>
  <c r="J28" i="1105"/>
  <c r="M27" i="1105"/>
  <c r="L27" i="1105"/>
  <c r="K27" i="1105"/>
  <c r="J27" i="1105"/>
  <c r="M26" i="1105"/>
  <c r="L26" i="1105"/>
  <c r="K26" i="1105"/>
  <c r="J26" i="1105"/>
  <c r="M25" i="1105"/>
  <c r="L25" i="1105"/>
  <c r="K25" i="1105"/>
  <c r="J25" i="1105"/>
  <c r="M24" i="1105"/>
  <c r="L24" i="1105"/>
  <c r="K24" i="1105"/>
  <c r="J24" i="1105"/>
  <c r="J23" i="1105"/>
  <c r="M21" i="1105"/>
  <c r="L21" i="1105"/>
  <c r="K21" i="1105"/>
  <c r="J21" i="1105"/>
  <c r="M20" i="1105"/>
  <c r="L20" i="1105"/>
  <c r="K20" i="1105"/>
  <c r="J20" i="1105"/>
  <c r="M19" i="1105"/>
  <c r="L19" i="1105"/>
  <c r="K19" i="1105"/>
  <c r="J19" i="1105"/>
  <c r="M18" i="1105"/>
  <c r="L18" i="1105"/>
  <c r="K18" i="1105"/>
  <c r="J18" i="1105"/>
  <c r="M17" i="1105"/>
  <c r="L17" i="1105"/>
  <c r="K17" i="1105"/>
  <c r="J17" i="1105"/>
  <c r="N16" i="1105"/>
  <c r="M16" i="1105"/>
  <c r="L16" i="1105"/>
  <c r="K16" i="1105"/>
  <c r="J16" i="1105"/>
  <c r="AB9" i="1105"/>
  <c r="AA9" i="1105"/>
  <c r="Z9" i="1105"/>
  <c r="Y9" i="1105"/>
  <c r="X9" i="1105"/>
  <c r="W9" i="1105"/>
  <c r="V9" i="1105"/>
  <c r="U9" i="1105"/>
  <c r="T9" i="1105"/>
  <c r="S9" i="1105"/>
  <c r="R9" i="1105"/>
  <c r="Q9" i="1105"/>
  <c r="P9" i="1105"/>
  <c r="O9" i="1105"/>
  <c r="N9" i="1105"/>
  <c r="M9" i="1105"/>
  <c r="L9" i="1105"/>
  <c r="K9" i="1105"/>
  <c r="AB8" i="1105"/>
  <c r="AA8" i="1105"/>
  <c r="Z8" i="1105"/>
  <c r="Y8" i="1105"/>
  <c r="X8" i="1105"/>
  <c r="W8" i="1105"/>
  <c r="V8" i="1105"/>
  <c r="U8" i="1105"/>
  <c r="T8" i="1105"/>
  <c r="S8" i="1105"/>
  <c r="R8" i="1105"/>
  <c r="Q8" i="1105"/>
  <c r="P8" i="1105"/>
  <c r="O8" i="1105"/>
  <c r="N8" i="1105"/>
  <c r="M8" i="1105"/>
  <c r="L8" i="1105"/>
  <c r="K8" i="1105"/>
  <c r="J8" i="1105"/>
  <c r="E50" i="1114"/>
  <c r="E49" i="1114"/>
  <c r="E48" i="1114"/>
  <c r="Q47" i="1114"/>
  <c r="P47" i="1114"/>
  <c r="O47" i="1114"/>
  <c r="N47" i="1114"/>
  <c r="M47" i="1114"/>
  <c r="L47" i="1114"/>
  <c r="K47" i="1114"/>
  <c r="AA43" i="1114"/>
  <c r="Z43" i="1114"/>
  <c r="Y43" i="1114"/>
  <c r="X43" i="1114"/>
  <c r="W43" i="1114"/>
  <c r="V43" i="1114"/>
  <c r="U43" i="1114"/>
  <c r="T43" i="1114"/>
  <c r="S43" i="1114"/>
  <c r="R43" i="1114"/>
  <c r="L40" i="1114"/>
  <c r="M40" i="1114"/>
  <c r="N40" i="1114"/>
  <c r="O40" i="1114"/>
  <c r="P40" i="1114"/>
  <c r="Q40" i="1114"/>
  <c r="R40" i="1114"/>
  <c r="S40" i="1114"/>
  <c r="T40" i="1114"/>
  <c r="U40" i="1114"/>
  <c r="V40" i="1114"/>
  <c r="W40" i="1114"/>
  <c r="X40" i="1114"/>
  <c r="Y40" i="1114"/>
  <c r="Z40" i="1114"/>
  <c r="AA40" i="1114"/>
  <c r="K40" i="1114"/>
  <c r="J40" i="1114"/>
  <c r="L39" i="1114"/>
  <c r="K39" i="1114"/>
  <c r="J39" i="1114"/>
  <c r="L33" i="1114"/>
  <c r="K33" i="1114"/>
  <c r="J33" i="1114"/>
  <c r="L32" i="1114"/>
  <c r="K32" i="1114"/>
  <c r="J32" i="1114"/>
  <c r="L31" i="1114"/>
  <c r="K31" i="1114"/>
  <c r="J31" i="1114"/>
  <c r="L30" i="1114"/>
  <c r="K30" i="1114"/>
  <c r="J30" i="1114"/>
  <c r="M29" i="1114"/>
  <c r="L29" i="1114"/>
  <c r="K29" i="1114"/>
  <c r="J29" i="1114"/>
  <c r="L28" i="1114"/>
  <c r="K28" i="1114"/>
  <c r="J28" i="1114"/>
  <c r="L27" i="1114"/>
  <c r="K27" i="1114"/>
  <c r="J27" i="1114"/>
  <c r="L21" i="1114"/>
  <c r="J21" i="1114"/>
  <c r="L20" i="1114"/>
  <c r="K20" i="1114"/>
  <c r="J20" i="1114"/>
  <c r="K19" i="1114"/>
  <c r="J19" i="1114"/>
  <c r="J18" i="1114"/>
  <c r="J17" i="1114"/>
  <c r="J16" i="1114"/>
  <c r="J15" i="1114"/>
  <c r="M14" i="1114"/>
  <c r="J14" i="1114"/>
  <c r="AA9" i="1114"/>
  <c r="Z9" i="1114"/>
  <c r="Y9" i="1114"/>
  <c r="X9" i="1114"/>
  <c r="W9" i="1114"/>
  <c r="V9" i="1114"/>
  <c r="U9" i="1114"/>
  <c r="T9" i="1114"/>
  <c r="S9" i="1114"/>
  <c r="R9" i="1114"/>
  <c r="Q9" i="1114"/>
  <c r="P9" i="1114"/>
  <c r="O9" i="1114"/>
  <c r="N9" i="1114"/>
  <c r="M9" i="1114"/>
  <c r="L9" i="1114"/>
  <c r="K9" i="1114"/>
  <c r="AA8" i="1114"/>
  <c r="Z8" i="1114"/>
  <c r="Y8" i="1114"/>
  <c r="X8" i="1114"/>
  <c r="W8" i="1114"/>
  <c r="V8" i="1114"/>
  <c r="U8" i="1114"/>
  <c r="T8" i="1114"/>
  <c r="S8" i="1114"/>
  <c r="R8" i="1114"/>
  <c r="Q8" i="1114"/>
  <c r="P8" i="1114"/>
  <c r="O8" i="1114"/>
  <c r="N8" i="1114"/>
  <c r="M8" i="1114"/>
  <c r="L8" i="1114"/>
  <c r="K8" i="1114"/>
  <c r="J8" i="1114"/>
  <c r="P50" i="280"/>
  <c r="S35" i="280"/>
  <c r="R35" i="280"/>
  <c r="L51" i="1105"/>
  <c r="L44" i="1105"/>
  <c r="Q35" i="280"/>
  <c r="AG34" i="280"/>
  <c r="AC34" i="280"/>
  <c r="AB34" i="280"/>
  <c r="Y34" i="280"/>
  <c r="U34" i="280"/>
  <c r="T34" i="280"/>
  <c r="Q34" i="280"/>
  <c r="S32" i="280"/>
  <c r="R32" i="280"/>
  <c r="Q32" i="280"/>
  <c r="S31" i="280"/>
  <c r="R31" i="280"/>
  <c r="Q31" i="280"/>
  <c r="S30" i="280"/>
  <c r="R30" i="280"/>
  <c r="Q30" i="280"/>
  <c r="T29" i="280"/>
  <c r="S29" i="280"/>
  <c r="R29" i="280"/>
  <c r="Q29" i="280"/>
  <c r="S28" i="280"/>
  <c r="R28" i="280"/>
  <c r="Q28" i="280"/>
  <c r="S27" i="280"/>
  <c r="M38" i="1105"/>
  <c r="R27" i="280"/>
  <c r="Q27" i="280"/>
  <c r="S21" i="280"/>
  <c r="Q21" i="280"/>
  <c r="P21" i="280"/>
  <c r="O21" i="280"/>
  <c r="S20" i="280"/>
  <c r="R20" i="280"/>
  <c r="Q20" i="280"/>
  <c r="P20" i="280"/>
  <c r="S19" i="280"/>
  <c r="L19" i="1114"/>
  <c r="R19" i="280"/>
  <c r="L23" i="1105"/>
  <c r="Q19" i="280"/>
  <c r="K23" i="1105"/>
  <c r="P19" i="280"/>
  <c r="O19" i="280"/>
  <c r="S18" i="280"/>
  <c r="L18" i="1114"/>
  <c r="R18" i="280"/>
  <c r="Q18" i="280"/>
  <c r="P18" i="280"/>
  <c r="O18" i="280"/>
  <c r="S17" i="280"/>
  <c r="R17" i="280"/>
  <c r="Q17" i="280"/>
  <c r="P17" i="280"/>
  <c r="O17" i="280"/>
  <c r="S16" i="280"/>
  <c r="R16" i="280"/>
  <c r="Q16" i="280"/>
  <c r="P16" i="280"/>
  <c r="O16" i="280"/>
  <c r="S15" i="280"/>
  <c r="L15" i="1114"/>
  <c r="R15" i="280"/>
  <c r="K15" i="1114"/>
  <c r="Q15" i="280"/>
  <c r="P15" i="280"/>
  <c r="O15" i="280"/>
  <c r="T14" i="280"/>
  <c r="S14" i="280"/>
  <c r="R14" i="280"/>
  <c r="K14" i="1114"/>
  <c r="Q14" i="280"/>
  <c r="P14" i="280"/>
  <c r="O14" i="280"/>
  <c r="AH9" i="280"/>
  <c r="AG9" i="280"/>
  <c r="AF9" i="280"/>
  <c r="AE9" i="280"/>
  <c r="AD9" i="280"/>
  <c r="AC9" i="280"/>
  <c r="AB9" i="280"/>
  <c r="AA9" i="280"/>
  <c r="Z9" i="280"/>
  <c r="Y9" i="280"/>
  <c r="X9" i="280"/>
  <c r="W9" i="280"/>
  <c r="V9" i="280"/>
  <c r="U9" i="280"/>
  <c r="T9" i="280"/>
  <c r="S9" i="280"/>
  <c r="R9" i="280"/>
  <c r="Q9" i="280"/>
  <c r="P9" i="280"/>
  <c r="O9" i="280"/>
  <c r="N9" i="280"/>
  <c r="M9" i="280"/>
  <c r="L9" i="280"/>
  <c r="K9" i="280"/>
  <c r="AH8" i="280"/>
  <c r="AG8" i="280"/>
  <c r="AF8" i="280"/>
  <c r="AE8" i="280"/>
  <c r="AD8" i="280"/>
  <c r="AC8" i="280"/>
  <c r="AB8" i="280"/>
  <c r="AA8" i="280"/>
  <c r="Z8" i="280"/>
  <c r="Y8" i="280"/>
  <c r="X8" i="280"/>
  <c r="W8" i="280"/>
  <c r="V8" i="280"/>
  <c r="U8" i="280"/>
  <c r="T8" i="280"/>
  <c r="S8" i="280"/>
  <c r="R8" i="280"/>
  <c r="Q8" i="280"/>
  <c r="P8" i="280"/>
  <c r="O8" i="280"/>
  <c r="N8" i="280"/>
  <c r="M8" i="280"/>
  <c r="L8" i="280"/>
  <c r="K8" i="280"/>
  <c r="J8" i="280"/>
  <c r="G171" i="51"/>
  <c r="S150" i="51"/>
  <c r="R150" i="51"/>
  <c r="AH116" i="51"/>
  <c r="AG116" i="51"/>
  <c r="AF116" i="51"/>
  <c r="AE116" i="51"/>
  <c r="AD116" i="51"/>
  <c r="AC116" i="51"/>
  <c r="AB116" i="51"/>
  <c r="AA116" i="51"/>
  <c r="Z116" i="51"/>
  <c r="Y116" i="51"/>
  <c r="X116" i="51"/>
  <c r="W116" i="51"/>
  <c r="V116" i="51"/>
  <c r="U116" i="51"/>
  <c r="T116" i="51"/>
  <c r="S116" i="51"/>
  <c r="R116" i="51"/>
  <c r="Q116" i="51"/>
  <c r="S63" i="51"/>
  <c r="R63" i="51"/>
  <c r="Q63" i="51"/>
  <c r="Q104" i="51"/>
  <c r="P104" i="51"/>
  <c r="O104" i="51"/>
  <c r="N104" i="51"/>
  <c r="M104" i="51"/>
  <c r="L104" i="51"/>
  <c r="K104" i="51"/>
  <c r="J104" i="51"/>
  <c r="M102" i="51"/>
  <c r="AG95" i="51"/>
  <c r="AC95" i="51"/>
  <c r="AB95" i="51"/>
  <c r="Y95" i="51"/>
  <c r="U95" i="51"/>
  <c r="T95" i="51"/>
  <c r="Q95" i="51"/>
  <c r="S85" i="51"/>
  <c r="Q85" i="51"/>
  <c r="P85" i="51"/>
  <c r="L85" i="51"/>
  <c r="K85" i="51"/>
  <c r="J85" i="51"/>
  <c r="K21" i="1114"/>
  <c r="M77" i="51"/>
  <c r="P63" i="51"/>
  <c r="O63" i="51"/>
  <c r="N63" i="51"/>
  <c r="M63" i="51"/>
  <c r="L63" i="51"/>
  <c r="K63" i="51"/>
  <c r="J63" i="51"/>
  <c r="AH46" i="51"/>
  <c r="AG46" i="51"/>
  <c r="AF46" i="51"/>
  <c r="AE46" i="51"/>
  <c r="AD46" i="51"/>
  <c r="AC46" i="51"/>
  <c r="AB46" i="51"/>
  <c r="AA46" i="51"/>
  <c r="Z46" i="51"/>
  <c r="Y46" i="51"/>
  <c r="X46" i="51"/>
  <c r="W46" i="51"/>
  <c r="V46" i="51"/>
  <c r="U46" i="51"/>
  <c r="T46" i="51"/>
  <c r="S46" i="51"/>
  <c r="R46" i="51"/>
  <c r="Q46" i="51"/>
  <c r="K40" i="51"/>
  <c r="J40" i="51"/>
  <c r="S22" i="51"/>
  <c r="R22" i="51"/>
  <c r="R9" i="51"/>
  <c r="S9" i="51"/>
  <c r="K9" i="51"/>
  <c r="L9" i="51"/>
  <c r="R8" i="51"/>
  <c r="Q8" i="51"/>
  <c r="P8" i="51"/>
  <c r="O8" i="51"/>
  <c r="K8" i="51"/>
  <c r="J8" i="51"/>
  <c r="P33" i="280"/>
  <c r="Q18" i="63"/>
  <c r="X95" i="51"/>
  <c r="AF95" i="51"/>
  <c r="AL34" i="280"/>
  <c r="AK34" i="280"/>
  <c r="AJ34" i="280"/>
  <c r="AN34" i="280"/>
  <c r="J25" i="313"/>
  <c r="R95" i="51"/>
  <c r="V95" i="51"/>
  <c r="AD95" i="51"/>
  <c r="AH95" i="51"/>
  <c r="S95" i="51"/>
  <c r="W95" i="51"/>
  <c r="AA95" i="51"/>
  <c r="AE95" i="51"/>
  <c r="Z34" i="280"/>
  <c r="AO34" i="280"/>
  <c r="AI34" i="280"/>
  <c r="AM34" i="280"/>
  <c r="H25" i="313"/>
  <c r="K25" i="313"/>
  <c r="P95" i="51"/>
  <c r="R29" i="300"/>
  <c r="M85" i="51"/>
  <c r="AI29" i="280"/>
  <c r="M9" i="51"/>
  <c r="L8" i="51"/>
  <c r="T9" i="51"/>
  <c r="S8" i="51"/>
  <c r="R85" i="51"/>
  <c r="R34" i="300"/>
  <c r="R38" i="300"/>
  <c r="N85" i="51"/>
  <c r="M39" i="1105"/>
  <c r="M40" i="1105"/>
  <c r="M44" i="1105"/>
  <c r="O31" i="300"/>
  <c r="R21" i="280"/>
  <c r="L14" i="1114"/>
  <c r="J41" i="1114"/>
  <c r="N40" i="1105"/>
  <c r="S44" i="300"/>
  <c r="S46" i="300"/>
  <c r="S31" i="300"/>
  <c r="S39" i="300"/>
  <c r="S35" i="67"/>
  <c r="S12" i="67"/>
  <c r="S14" i="67"/>
  <c r="S28" i="67"/>
  <c r="L17" i="1114"/>
  <c r="M42" i="1105"/>
  <c r="T11" i="67"/>
  <c r="K41" i="1114"/>
  <c r="K49" i="1114"/>
  <c r="L41" i="1114"/>
  <c r="L49" i="1114"/>
  <c r="S34" i="300"/>
  <c r="S40" i="300"/>
  <c r="L23" i="280"/>
  <c r="AI14" i="280"/>
  <c r="O29" i="300"/>
  <c r="R45" i="300"/>
  <c r="R47" i="300"/>
  <c r="R39" i="300"/>
  <c r="S29" i="300"/>
  <c r="S38" i="300"/>
  <c r="S45" i="300"/>
  <c r="S47" i="300"/>
  <c r="R35" i="67"/>
  <c r="R12" i="67"/>
  <c r="R14" i="67"/>
  <c r="R28" i="67"/>
  <c r="L53" i="1105"/>
  <c r="J51" i="1105"/>
  <c r="J44" i="1105"/>
  <c r="J53" i="1105"/>
  <c r="K51" i="1105"/>
  <c r="K44" i="1105"/>
  <c r="K53" i="1105"/>
  <c r="J37" i="280"/>
  <c r="N37" i="280"/>
  <c r="K65" i="51"/>
  <c r="K87" i="51"/>
  <c r="K37" i="280"/>
  <c r="L35" i="1114"/>
  <c r="O37" i="280"/>
  <c r="J35" i="1114"/>
  <c r="M41" i="1105"/>
  <c r="L65" i="51"/>
  <c r="L106" i="51"/>
  <c r="O30" i="300"/>
  <c r="L37" i="280"/>
  <c r="P37" i="280"/>
  <c r="P40" i="300"/>
  <c r="M39" i="300"/>
  <c r="P38" i="300"/>
  <c r="P29" i="300"/>
  <c r="O40" i="300"/>
  <c r="P39" i="300"/>
  <c r="O38" i="300"/>
  <c r="O39" i="300"/>
  <c r="N39" i="300"/>
  <c r="Q39" i="300"/>
  <c r="Q31" i="300"/>
  <c r="P31" i="300"/>
  <c r="Q38" i="300"/>
  <c r="P30" i="300"/>
  <c r="P57" i="280"/>
  <c r="M37" i="280"/>
  <c r="K35" i="1114"/>
  <c r="Q29" i="300"/>
  <c r="Q30" i="300"/>
  <c r="S33" i="300"/>
  <c r="Q40" i="300"/>
  <c r="R30" i="300"/>
  <c r="R32" i="300"/>
  <c r="R56" i="300"/>
  <c r="J65" i="51"/>
  <c r="J106" i="51"/>
  <c r="S30" i="300"/>
  <c r="S32" i="300"/>
  <c r="S56" i="300"/>
  <c r="R31" i="300"/>
  <c r="L16" i="1114"/>
  <c r="K18" i="1114"/>
  <c r="J23" i="280"/>
  <c r="K17" i="1114"/>
  <c r="K23" i="280"/>
  <c r="K16" i="1114"/>
  <c r="M13" i="51"/>
  <c r="I25" i="313"/>
  <c r="T73" i="51"/>
  <c r="T38" i="51"/>
  <c r="T50" i="51"/>
  <c r="T29" i="51"/>
  <c r="U70" i="51"/>
  <c r="T54" i="51"/>
  <c r="T75" i="51"/>
  <c r="T48" i="51"/>
  <c r="T74" i="51"/>
  <c r="T49" i="51"/>
  <c r="U50" i="51"/>
  <c r="T26" i="51"/>
  <c r="T47" i="51"/>
  <c r="T30" i="51"/>
  <c r="U48" i="51"/>
  <c r="U29" i="51"/>
  <c r="T27" i="51"/>
  <c r="T24" i="51"/>
  <c r="V50" i="51"/>
  <c r="T25" i="51"/>
  <c r="U73" i="51"/>
  <c r="T55" i="51"/>
  <c r="T79" i="51"/>
  <c r="U30" i="51"/>
  <c r="U58" i="51"/>
  <c r="V48" i="51"/>
  <c r="U24" i="51"/>
  <c r="T91" i="51"/>
  <c r="V58" i="51"/>
  <c r="W58" i="51"/>
  <c r="V70" i="51"/>
  <c r="W70" i="51"/>
  <c r="X70" i="51"/>
  <c r="W50" i="51"/>
  <c r="T78" i="51"/>
  <c r="U78" i="51"/>
  <c r="V78" i="51"/>
  <c r="U47" i="51"/>
  <c r="V24" i="51"/>
  <c r="W78" i="51"/>
  <c r="U91" i="51"/>
  <c r="V91" i="51"/>
  <c r="U54" i="51"/>
  <c r="U74" i="51"/>
  <c r="V74" i="51"/>
  <c r="R18" i="63"/>
  <c r="Q33" i="280"/>
  <c r="J87" i="51"/>
  <c r="M8" i="51"/>
  <c r="N9" i="51"/>
  <c r="N8" i="51"/>
  <c r="T8" i="51"/>
  <c r="U9" i="51"/>
  <c r="T35" i="67"/>
  <c r="U11" i="67"/>
  <c r="T12" i="67"/>
  <c r="T14" i="67"/>
  <c r="T28" i="67"/>
  <c r="K106" i="51"/>
  <c r="K109" i="51"/>
  <c r="L108" i="51"/>
  <c r="L109" i="51"/>
  <c r="M108" i="51"/>
  <c r="S57" i="300"/>
  <c r="S36" i="67"/>
  <c r="S34" i="67"/>
  <c r="S57" i="280"/>
  <c r="J39" i="280"/>
  <c r="J41" i="280"/>
  <c r="L87" i="51"/>
  <c r="M53" i="1105"/>
  <c r="L39" i="280"/>
  <c r="L41" i="280"/>
  <c r="R57" i="280"/>
  <c r="R33" i="300"/>
  <c r="R57" i="300"/>
  <c r="I58" i="313"/>
  <c r="Q57" i="280"/>
  <c r="K39" i="280"/>
  <c r="K41" i="280"/>
  <c r="R16" i="1105"/>
  <c r="X14" i="280"/>
  <c r="J9" i="313"/>
  <c r="W29" i="280"/>
  <c r="P29" i="1114"/>
  <c r="P17" i="1105"/>
  <c r="V15" i="280"/>
  <c r="T48" i="313"/>
  <c r="W14" i="280"/>
  <c r="Q16" i="1105"/>
  <c r="O29" i="1114"/>
  <c r="V29" i="280"/>
  <c r="P40" i="1105"/>
  <c r="U15" i="280"/>
  <c r="N15" i="1114"/>
  <c r="O17" i="1105"/>
  <c r="P16" i="1105"/>
  <c r="V14" i="280"/>
  <c r="O14" i="1114"/>
  <c r="P18" i="1105"/>
  <c r="V16" i="280"/>
  <c r="V27" i="280"/>
  <c r="P38" i="1105"/>
  <c r="O27" i="1114"/>
  <c r="N30" i="1114"/>
  <c r="U30" i="280"/>
  <c r="O41" i="1105"/>
  <c r="U19" i="51"/>
  <c r="P39" i="1114"/>
  <c r="P41" i="1114"/>
  <c r="P49" i="1114"/>
  <c r="V31" i="280"/>
  <c r="P42" i="1105"/>
  <c r="O31" i="1114"/>
  <c r="T30" i="280"/>
  <c r="M30" i="1114"/>
  <c r="N19" i="1105"/>
  <c r="O39" i="1114"/>
  <c r="O41" i="1114"/>
  <c r="O49" i="1114"/>
  <c r="U29" i="280"/>
  <c r="O40" i="1105"/>
  <c r="N29" i="1114"/>
  <c r="N39" i="1114"/>
  <c r="N41" i="1114"/>
  <c r="N49" i="1114"/>
  <c r="U16" i="280"/>
  <c r="N16" i="1114"/>
  <c r="O18" i="1105"/>
  <c r="T32" i="280"/>
  <c r="M32" i="1114"/>
  <c r="N18" i="1105"/>
  <c r="T22" i="51"/>
  <c r="T16" i="280"/>
  <c r="T19" i="51"/>
  <c r="U27" i="280"/>
  <c r="O38" i="1105"/>
  <c r="N27" i="1114"/>
  <c r="T17" i="280"/>
  <c r="M17" i="1114"/>
  <c r="T53" i="313"/>
  <c r="R53" i="313"/>
  <c r="O20" i="1105"/>
  <c r="U18" i="280"/>
  <c r="T52" i="313"/>
  <c r="R52" i="313"/>
  <c r="T18" i="280"/>
  <c r="N20" i="1105"/>
  <c r="R104" i="51"/>
  <c r="O85" i="51"/>
  <c r="O20" i="280"/>
  <c r="U31" i="280"/>
  <c r="N31" i="1114"/>
  <c r="M39" i="1114"/>
  <c r="M41" i="1114"/>
  <c r="M49" i="1114"/>
  <c r="N17" i="1105"/>
  <c r="T15" i="280"/>
  <c r="M15" i="1114"/>
  <c r="M31" i="1114"/>
  <c r="T31" i="280"/>
  <c r="N42" i="1105"/>
  <c r="T19" i="280"/>
  <c r="M19" i="1114"/>
  <c r="N21" i="1105"/>
  <c r="U14" i="280"/>
  <c r="N14" i="1114"/>
  <c r="O16" i="1105"/>
  <c r="M27" i="1114"/>
  <c r="T27" i="280"/>
  <c r="N28" i="1105"/>
  <c r="T21" i="280"/>
  <c r="AI21" i="280"/>
  <c r="M21" i="1114"/>
  <c r="M23" i="280"/>
  <c r="M40" i="51"/>
  <c r="M65" i="51"/>
  <c r="N13" i="51"/>
  <c r="W74" i="51"/>
  <c r="U79" i="51"/>
  <c r="U75" i="51"/>
  <c r="U38" i="51"/>
  <c r="V38" i="51"/>
  <c r="U49" i="51"/>
  <c r="Y70" i="51"/>
  <c r="W91" i="51"/>
  <c r="T56" i="51"/>
  <c r="X78" i="51"/>
  <c r="Y78" i="51"/>
  <c r="X58" i="51"/>
  <c r="W24" i="51"/>
  <c r="U55" i="51"/>
  <c r="U26" i="51"/>
  <c r="U27" i="51"/>
  <c r="V47" i="51"/>
  <c r="T57" i="51"/>
  <c r="V29" i="51"/>
  <c r="W48" i="51"/>
  <c r="V54" i="51"/>
  <c r="W54" i="51"/>
  <c r="U56" i="51"/>
  <c r="V73" i="51"/>
  <c r="V75" i="51"/>
  <c r="W75" i="51"/>
  <c r="X50" i="51"/>
  <c r="U60" i="51"/>
  <c r="T53" i="51"/>
  <c r="U25" i="51"/>
  <c r="T92" i="51"/>
  <c r="V30" i="51"/>
  <c r="W30" i="51"/>
  <c r="X30" i="51"/>
  <c r="X74" i="51"/>
  <c r="Y74" i="51"/>
  <c r="Z74" i="51"/>
  <c r="V49" i="51"/>
  <c r="W49" i="51"/>
  <c r="X49" i="51"/>
  <c r="Y49" i="51"/>
  <c r="U53" i="51"/>
  <c r="V53" i="51"/>
  <c r="Q37" i="280"/>
  <c r="S18" i="63"/>
  <c r="R33" i="280"/>
  <c r="T51" i="51"/>
  <c r="T20" i="67"/>
  <c r="U8" i="51"/>
  <c r="V9" i="51"/>
  <c r="W9" i="51"/>
  <c r="X9" i="51"/>
  <c r="U12" i="67"/>
  <c r="U14" i="67"/>
  <c r="U28" i="67"/>
  <c r="U35" i="67"/>
  <c r="V11" i="67"/>
  <c r="N43" i="1105"/>
  <c r="Q40" i="1105"/>
  <c r="M18" i="1114"/>
  <c r="AJ18" i="280"/>
  <c r="O42" i="1105"/>
  <c r="T17" i="51"/>
  <c r="AI18" i="280"/>
  <c r="P14" i="1114"/>
  <c r="AK15" i="280"/>
  <c r="O16" i="1114"/>
  <c r="AJ31" i="280"/>
  <c r="N38" i="1105"/>
  <c r="AL29" i="280"/>
  <c r="T57" i="313"/>
  <c r="Q57" i="313"/>
  <c r="O15" i="1114"/>
  <c r="M16" i="1114"/>
  <c r="Q53" i="313"/>
  <c r="AJ16" i="280"/>
  <c r="V44" i="300"/>
  <c r="H9" i="313"/>
  <c r="K9" i="313"/>
  <c r="N41" i="1105"/>
  <c r="AI19" i="280"/>
  <c r="N18" i="1114"/>
  <c r="AI17" i="280"/>
  <c r="AJ30" i="280"/>
  <c r="AJ14" i="280"/>
  <c r="AJ15" i="280"/>
  <c r="AM14" i="280"/>
  <c r="Q14" i="1114"/>
  <c r="AI30" i="280"/>
  <c r="AK27" i="280"/>
  <c r="AI16" i="280"/>
  <c r="V45" i="300"/>
  <c r="AK16" i="280"/>
  <c r="AI27" i="280"/>
  <c r="AL14" i="280"/>
  <c r="AI32" i="280"/>
  <c r="V34" i="300"/>
  <c r="T45" i="313"/>
  <c r="R45" i="313"/>
  <c r="AK14" i="280"/>
  <c r="T45" i="300"/>
  <c r="AI15" i="280"/>
  <c r="U34" i="300"/>
  <c r="Q52" i="313"/>
  <c r="T47" i="313"/>
  <c r="Q47" i="313"/>
  <c r="T34" i="300"/>
  <c r="U44" i="300"/>
  <c r="AI31" i="280"/>
  <c r="AJ27" i="280"/>
  <c r="T44" i="300"/>
  <c r="AJ29" i="280"/>
  <c r="AK31" i="280"/>
  <c r="U45" i="300"/>
  <c r="AK29" i="280"/>
  <c r="T16" i="51"/>
  <c r="R32" i="1114"/>
  <c r="Y32" i="280"/>
  <c r="X32" i="280"/>
  <c r="Q32" i="1114"/>
  <c r="Z15" i="280"/>
  <c r="W19" i="280"/>
  <c r="Q21" i="1105"/>
  <c r="P32" i="1114"/>
  <c r="W32" i="280"/>
  <c r="Y15" i="280"/>
  <c r="O21" i="1114"/>
  <c r="P28" i="1105"/>
  <c r="V21" i="280"/>
  <c r="V19" i="280"/>
  <c r="P21" i="1105"/>
  <c r="V32" i="280"/>
  <c r="O32" i="1114"/>
  <c r="T104" i="51"/>
  <c r="X27" i="280"/>
  <c r="Q27" i="1114"/>
  <c r="R17" i="1105"/>
  <c r="X15" i="280"/>
  <c r="O28" i="1105"/>
  <c r="T54" i="313"/>
  <c r="N21" i="1114"/>
  <c r="U21" i="280"/>
  <c r="O21" i="1105"/>
  <c r="U19" i="280"/>
  <c r="W31" i="280"/>
  <c r="P31" i="1114"/>
  <c r="V18" i="280"/>
  <c r="P20" i="1105"/>
  <c r="Q39" i="1114"/>
  <c r="Q41" i="1114"/>
  <c r="Q49" i="1114"/>
  <c r="Y14" i="280"/>
  <c r="N32" i="1114"/>
  <c r="U32" i="280"/>
  <c r="S104" i="51"/>
  <c r="O19" i="1105"/>
  <c r="U22" i="51"/>
  <c r="V30" i="280"/>
  <c r="O30" i="1114"/>
  <c r="W27" i="280"/>
  <c r="P27" i="1114"/>
  <c r="U17" i="280"/>
  <c r="V19" i="51"/>
  <c r="Q18" i="1105"/>
  <c r="W16" i="280"/>
  <c r="W15" i="280"/>
  <c r="Q17" i="1105"/>
  <c r="X29" i="280"/>
  <c r="Q29" i="1114"/>
  <c r="O13" i="51"/>
  <c r="N40" i="51"/>
  <c r="N65" i="51"/>
  <c r="N23" i="280"/>
  <c r="M39" i="280"/>
  <c r="M41" i="280"/>
  <c r="M106" i="51"/>
  <c r="M109" i="51"/>
  <c r="N108" i="51"/>
  <c r="M87" i="51"/>
  <c r="R48" i="313"/>
  <c r="Q48" i="313"/>
  <c r="V56" i="51"/>
  <c r="V79" i="51"/>
  <c r="V55" i="51"/>
  <c r="X75" i="51"/>
  <c r="W47" i="51"/>
  <c r="W38" i="51"/>
  <c r="X38" i="51"/>
  <c r="Y44" i="51"/>
  <c r="V27" i="51"/>
  <c r="Z78" i="51"/>
  <c r="W53" i="51"/>
  <c r="U59" i="51"/>
  <c r="AA74" i="51"/>
  <c r="U57" i="51"/>
  <c r="X91" i="51"/>
  <c r="V26" i="51"/>
  <c r="X24" i="51"/>
  <c r="U92" i="51"/>
  <c r="V92" i="51"/>
  <c r="X54" i="51"/>
  <c r="W27" i="51"/>
  <c r="V57" i="51"/>
  <c r="Z70" i="51"/>
  <c r="AA70" i="51"/>
  <c r="X48" i="51"/>
  <c r="V25" i="51"/>
  <c r="Y30" i="51"/>
  <c r="Y50" i="51"/>
  <c r="Y54" i="51"/>
  <c r="W92" i="51"/>
  <c r="X92" i="51"/>
  <c r="V60" i="51"/>
  <c r="W60" i="51"/>
  <c r="W29" i="51"/>
  <c r="X29" i="51"/>
  <c r="Z49" i="51"/>
  <c r="W73" i="51"/>
  <c r="X73" i="51"/>
  <c r="Y73" i="51"/>
  <c r="Y58" i="51"/>
  <c r="Y38" i="51"/>
  <c r="Z73" i="51"/>
  <c r="T18" i="63"/>
  <c r="S33" i="280"/>
  <c r="R37" i="280"/>
  <c r="T77" i="51"/>
  <c r="T36" i="67"/>
  <c r="T34" i="67"/>
  <c r="Y9" i="51"/>
  <c r="Z9" i="51"/>
  <c r="AA9" i="51"/>
  <c r="AB9" i="51"/>
  <c r="AC9" i="51"/>
  <c r="AD9" i="51"/>
  <c r="AE9" i="51"/>
  <c r="AF9" i="51"/>
  <c r="AG9" i="51"/>
  <c r="AH9" i="51"/>
  <c r="X8" i="51"/>
  <c r="V35" i="67"/>
  <c r="W11" i="67"/>
  <c r="V12" i="67"/>
  <c r="V14" i="67"/>
  <c r="V28" i="67"/>
  <c r="T37" i="67"/>
  <c r="I9" i="313"/>
  <c r="R57" i="313"/>
  <c r="T18" i="51"/>
  <c r="V30" i="300"/>
  <c r="V32" i="300"/>
  <c r="V46" i="300"/>
  <c r="U46" i="300"/>
  <c r="V47" i="300"/>
  <c r="Q45" i="313"/>
  <c r="U47" i="300"/>
  <c r="R47" i="313"/>
  <c r="U29" i="300"/>
  <c r="U16" i="51"/>
  <c r="U17" i="51"/>
  <c r="T47" i="300"/>
  <c r="T46" i="300"/>
  <c r="W104" i="51"/>
  <c r="S28" i="1105"/>
  <c r="Y21" i="280"/>
  <c r="R21" i="1114"/>
  <c r="V104" i="51"/>
  <c r="R28" i="1105"/>
  <c r="X21" i="280"/>
  <c r="Q21" i="1114"/>
  <c r="AA14" i="280"/>
  <c r="X18" i="280"/>
  <c r="R20" i="1105"/>
  <c r="Y29" i="280"/>
  <c r="R29" i="1114"/>
  <c r="R39" i="1114"/>
  <c r="R41" i="1114"/>
  <c r="U104" i="51"/>
  <c r="X19" i="280"/>
  <c r="R21" i="1105"/>
  <c r="X16" i="280"/>
  <c r="R18" i="1105"/>
  <c r="U51" i="51"/>
  <c r="AA15" i="280"/>
  <c r="S32" i="1114"/>
  <c r="Z32" i="280"/>
  <c r="P19" i="1105"/>
  <c r="V22" i="51"/>
  <c r="X31" i="280"/>
  <c r="Q31" i="1114"/>
  <c r="Q28" i="1105"/>
  <c r="P21" i="1114"/>
  <c r="W21" i="280"/>
  <c r="W19" i="51"/>
  <c r="V17" i="280"/>
  <c r="W30" i="280"/>
  <c r="P30" i="1114"/>
  <c r="Z14" i="280"/>
  <c r="Q20" i="1105"/>
  <c r="W18" i="280"/>
  <c r="Y27" i="280"/>
  <c r="R27" i="1114"/>
  <c r="Y28" i="300"/>
  <c r="W45" i="300"/>
  <c r="W44" i="300"/>
  <c r="W34" i="300"/>
  <c r="N19" i="1114"/>
  <c r="T49" i="313"/>
  <c r="AJ19" i="280"/>
  <c r="Q54" i="313"/>
  <c r="R54" i="313"/>
  <c r="M33" i="1114"/>
  <c r="N44" i="1105"/>
  <c r="T35" i="280"/>
  <c r="AL32" i="280"/>
  <c r="Q43" i="1105"/>
  <c r="AO15" i="280"/>
  <c r="T17" i="1105"/>
  <c r="S15" i="1114"/>
  <c r="N17" i="1114"/>
  <c r="T46" i="313"/>
  <c r="AJ17" i="280"/>
  <c r="AL31" i="280"/>
  <c r="Q42" i="1105"/>
  <c r="R38" i="1105"/>
  <c r="AM27" i="280"/>
  <c r="H18" i="313"/>
  <c r="J18" i="313"/>
  <c r="AL15" i="280"/>
  <c r="P15" i="1114"/>
  <c r="AL16" i="280"/>
  <c r="P16" i="1114"/>
  <c r="P41" i="1105"/>
  <c r="AK30" i="280"/>
  <c r="R14" i="1114"/>
  <c r="AN14" i="280"/>
  <c r="S16" i="1105"/>
  <c r="O18" i="1114"/>
  <c r="AK18" i="280"/>
  <c r="AJ21" i="280"/>
  <c r="Q15" i="1114"/>
  <c r="H10" i="313"/>
  <c r="J10" i="313"/>
  <c r="AM15" i="280"/>
  <c r="AE16" i="300"/>
  <c r="AA16" i="300"/>
  <c r="X34" i="300"/>
  <c r="AD16" i="300"/>
  <c r="Y16" i="300"/>
  <c r="AH16" i="300"/>
  <c r="AC16" i="300"/>
  <c r="X44" i="300"/>
  <c r="AG16" i="300"/>
  <c r="AB16" i="300"/>
  <c r="X45" i="300"/>
  <c r="AF16" i="300"/>
  <c r="Z16" i="300"/>
  <c r="P43" i="1105"/>
  <c r="AK32" i="280"/>
  <c r="AK21" i="280"/>
  <c r="R15" i="1114"/>
  <c r="AN15" i="280"/>
  <c r="S17" i="1105"/>
  <c r="J20" i="313"/>
  <c r="AM29" i="280"/>
  <c r="R40" i="1105"/>
  <c r="H20" i="313"/>
  <c r="AL27" i="280"/>
  <c r="Q38" i="1105"/>
  <c r="O43" i="1105"/>
  <c r="AJ32" i="280"/>
  <c r="O19" i="1114"/>
  <c r="AK19" i="280"/>
  <c r="AL19" i="280"/>
  <c r="P19" i="1114"/>
  <c r="J23" i="313"/>
  <c r="H23" i="313"/>
  <c r="R43" i="1105"/>
  <c r="AM32" i="280"/>
  <c r="S43" i="1105"/>
  <c r="AN32" i="280"/>
  <c r="N39" i="280"/>
  <c r="N41" i="280"/>
  <c r="N87" i="51"/>
  <c r="N106" i="51"/>
  <c r="N109" i="51"/>
  <c r="O108" i="51"/>
  <c r="P13" i="51"/>
  <c r="O40" i="51"/>
  <c r="O65" i="51"/>
  <c r="O87" i="51"/>
  <c r="O106" i="51"/>
  <c r="O13" i="280"/>
  <c r="O23" i="280"/>
  <c r="S13" i="51"/>
  <c r="X104" i="51"/>
  <c r="Y92" i="51"/>
  <c r="Z30" i="51"/>
  <c r="V59" i="51"/>
  <c r="W56" i="51"/>
  <c r="X56" i="51"/>
  <c r="Y75" i="51"/>
  <c r="W55" i="51"/>
  <c r="Y48" i="51"/>
  <c r="AA78" i="51"/>
  <c r="Z50" i="51"/>
  <c r="AB74" i="51"/>
  <c r="Z92" i="51"/>
  <c r="Y56" i="51"/>
  <c r="W57" i="51"/>
  <c r="X57" i="51"/>
  <c r="Y91" i="51"/>
  <c r="X55" i="51"/>
  <c r="Y24" i="51"/>
  <c r="Y29" i="51"/>
  <c r="X53" i="51"/>
  <c r="AC74" i="51"/>
  <c r="X60" i="51"/>
  <c r="Z91" i="51"/>
  <c r="W26" i="51"/>
  <c r="W59" i="51"/>
  <c r="W25" i="51"/>
  <c r="AB70" i="51"/>
  <c r="AA49" i="51"/>
  <c r="X47" i="51"/>
  <c r="Z24" i="51"/>
  <c r="AB78" i="51"/>
  <c r="Z38" i="51"/>
  <c r="AA38" i="51"/>
  <c r="Z58" i="51"/>
  <c r="W79" i="51"/>
  <c r="AA73" i="51"/>
  <c r="AA58" i="51"/>
  <c r="AB49" i="51"/>
  <c r="Z44" i="51"/>
  <c r="AA24" i="51"/>
  <c r="Z54" i="51"/>
  <c r="AA54" i="51"/>
  <c r="X27" i="51"/>
  <c r="AC70" i="51"/>
  <c r="S37" i="280"/>
  <c r="O36" i="313"/>
  <c r="H10" i="863"/>
  <c r="U18" i="63"/>
  <c r="T33" i="280"/>
  <c r="T38" i="67"/>
  <c r="U34" i="67"/>
  <c r="U20" i="67"/>
  <c r="N25" i="1105"/>
  <c r="T85" i="51"/>
  <c r="M20" i="1114"/>
  <c r="T20" i="280"/>
  <c r="W35" i="67"/>
  <c r="W12" i="67"/>
  <c r="W14" i="67"/>
  <c r="W28" i="67"/>
  <c r="X11" i="67"/>
  <c r="Y104" i="51"/>
  <c r="V51" i="51"/>
  <c r="O33" i="1114"/>
  <c r="U30" i="300"/>
  <c r="U32" i="300"/>
  <c r="U56" i="300"/>
  <c r="T15" i="51"/>
  <c r="V56" i="300"/>
  <c r="V29" i="300"/>
  <c r="T44" i="313"/>
  <c r="Q44" i="313"/>
  <c r="T30" i="300"/>
  <c r="T32" i="300"/>
  <c r="T56" i="300"/>
  <c r="T33" i="300"/>
  <c r="T57" i="300"/>
  <c r="T57" i="280"/>
  <c r="T45" i="51"/>
  <c r="T28" i="280"/>
  <c r="T29" i="300"/>
  <c r="W47" i="300"/>
  <c r="U18" i="51"/>
  <c r="T20" i="51"/>
  <c r="V17" i="51"/>
  <c r="V15" i="51"/>
  <c r="AA16" i="280"/>
  <c r="U32" i="1114"/>
  <c r="AB32" i="280"/>
  <c r="V43" i="1105"/>
  <c r="AC14" i="280"/>
  <c r="AC15" i="280"/>
  <c r="Z16" i="280"/>
  <c r="AA29" i="280"/>
  <c r="U40" i="1105"/>
  <c r="T29" i="1114"/>
  <c r="U28" i="1105"/>
  <c r="X30" i="280"/>
  <c r="Q30" i="1114"/>
  <c r="W51" i="51"/>
  <c r="T32" i="1114"/>
  <c r="AA32" i="280"/>
  <c r="U43" i="1105"/>
  <c r="AB14" i="280"/>
  <c r="X19" i="51"/>
  <c r="Y31" i="280"/>
  <c r="R31" i="1114"/>
  <c r="Q19" i="1105"/>
  <c r="W22" i="51"/>
  <c r="Y18" i="280"/>
  <c r="Z27" i="280"/>
  <c r="S27" i="1114"/>
  <c r="Z28" i="300"/>
  <c r="AB15" i="280"/>
  <c r="W17" i="280"/>
  <c r="Y16" i="280"/>
  <c r="S39" i="1114"/>
  <c r="S41" i="1114"/>
  <c r="Y19" i="280"/>
  <c r="Z29" i="280"/>
  <c r="S29" i="1114"/>
  <c r="T28" i="1105"/>
  <c r="Z21" i="280"/>
  <c r="AO21" i="280"/>
  <c r="S21" i="1114"/>
  <c r="O109" i="51"/>
  <c r="P108" i="51"/>
  <c r="I20" i="313"/>
  <c r="K20" i="313"/>
  <c r="AI35" i="280"/>
  <c r="W46" i="300"/>
  <c r="AL18" i="280"/>
  <c r="P18" i="1114"/>
  <c r="AL21" i="280"/>
  <c r="R42" i="1105"/>
  <c r="H22" i="313"/>
  <c r="AM31" i="280"/>
  <c r="J22" i="313"/>
  <c r="N33" i="1114"/>
  <c r="U35" i="280"/>
  <c r="O44" i="1105"/>
  <c r="AM16" i="280"/>
  <c r="H11" i="313"/>
  <c r="J11" i="313"/>
  <c r="Q16" i="1114"/>
  <c r="X47" i="300"/>
  <c r="X46" i="300"/>
  <c r="R46" i="313"/>
  <c r="Q46" i="313"/>
  <c r="S38" i="1105"/>
  <c r="AN27" i="280"/>
  <c r="AO14" i="280"/>
  <c r="T16" i="1105"/>
  <c r="S14" i="1114"/>
  <c r="T15" i="1114"/>
  <c r="U17" i="1105"/>
  <c r="AN21" i="280"/>
  <c r="I23" i="313"/>
  <c r="K23" i="313"/>
  <c r="K10" i="313"/>
  <c r="I10" i="313"/>
  <c r="I18" i="313"/>
  <c r="K18" i="313"/>
  <c r="R49" i="313"/>
  <c r="Q49" i="313"/>
  <c r="O17" i="1114"/>
  <c r="AK17" i="280"/>
  <c r="T43" i="1105"/>
  <c r="AO32" i="280"/>
  <c r="Q19" i="1114"/>
  <c r="J14" i="313"/>
  <c r="AM19" i="280"/>
  <c r="H14" i="313"/>
  <c r="S40" i="1105"/>
  <c r="AN29" i="280"/>
  <c r="H16" i="313"/>
  <c r="AM21" i="280"/>
  <c r="J16" i="313"/>
  <c r="Y14" i="300"/>
  <c r="Y45" i="300"/>
  <c r="Y44" i="300"/>
  <c r="Y34" i="300"/>
  <c r="Y13" i="300"/>
  <c r="Y15" i="300"/>
  <c r="Q41" i="1105"/>
  <c r="AL30" i="280"/>
  <c r="Q18" i="1114"/>
  <c r="AM18" i="280"/>
  <c r="H13" i="313"/>
  <c r="J13" i="313"/>
  <c r="U16" i="1105"/>
  <c r="T14" i="1114"/>
  <c r="O39" i="280"/>
  <c r="O41" i="280"/>
  <c r="Q13" i="51"/>
  <c r="J15" i="1105"/>
  <c r="J34" i="1105"/>
  <c r="J55" i="1105"/>
  <c r="J63" i="1105"/>
  <c r="J82" i="1105"/>
  <c r="J84" i="1105"/>
  <c r="J85" i="1105"/>
  <c r="P13" i="280"/>
  <c r="P23" i="280"/>
  <c r="P40" i="51"/>
  <c r="P65" i="51"/>
  <c r="P87" i="51"/>
  <c r="P106" i="51"/>
  <c r="AA21" i="280"/>
  <c r="T21" i="1114"/>
  <c r="Z104" i="51"/>
  <c r="M15" i="1105"/>
  <c r="S13" i="280"/>
  <c r="S40" i="51"/>
  <c r="S65" i="51"/>
  <c r="S87" i="51"/>
  <c r="S106" i="51"/>
  <c r="X79" i="51"/>
  <c r="AB54" i="51"/>
  <c r="Y27" i="51"/>
  <c r="Y60" i="51"/>
  <c r="Z60" i="51"/>
  <c r="AC49" i="51"/>
  <c r="Z48" i="51"/>
  <c r="AA92" i="51"/>
  <c r="AD70" i="51"/>
  <c r="AB73" i="51"/>
  <c r="AA30" i="51"/>
  <c r="X59" i="51"/>
  <c r="Y55" i="51"/>
  <c r="AD74" i="51"/>
  <c r="Y47" i="51"/>
  <c r="Z29" i="51"/>
  <c r="AA29" i="51"/>
  <c r="AB29" i="51"/>
  <c r="AA44" i="51"/>
  <c r="AB38" i="51"/>
  <c r="AA91" i="51"/>
  <c r="Z75" i="51"/>
  <c r="Z55" i="51"/>
  <c r="Y57" i="51"/>
  <c r="Z56" i="51"/>
  <c r="AA48" i="51"/>
  <c r="Y79" i="51"/>
  <c r="Z79" i="51"/>
  <c r="AB24" i="51"/>
  <c r="AC78" i="51"/>
  <c r="AA79" i="51"/>
  <c r="AB79" i="51"/>
  <c r="X25" i="51"/>
  <c r="Y53" i="51"/>
  <c r="Z53" i="51"/>
  <c r="X26" i="51"/>
  <c r="AB58" i="51"/>
  <c r="AA50" i="51"/>
  <c r="AE70" i="51"/>
  <c r="AF70" i="51"/>
  <c r="AC79" i="51"/>
  <c r="Y59" i="51"/>
  <c r="V18" i="63"/>
  <c r="U33" i="280"/>
  <c r="P36" i="313"/>
  <c r="I10" i="863"/>
  <c r="AI33" i="280"/>
  <c r="U36" i="67"/>
  <c r="X35" i="67"/>
  <c r="Y11" i="67"/>
  <c r="X12" i="67"/>
  <c r="X14" i="67"/>
  <c r="X28" i="67"/>
  <c r="U37" i="67"/>
  <c r="U77" i="51"/>
  <c r="AI20" i="280"/>
  <c r="U38" i="67"/>
  <c r="V35" i="280"/>
  <c r="P44" i="1105"/>
  <c r="V16" i="51"/>
  <c r="X51" i="51"/>
  <c r="Q33" i="1114"/>
  <c r="U57" i="280"/>
  <c r="U45" i="51"/>
  <c r="N28" i="1114"/>
  <c r="T63" i="51"/>
  <c r="M28" i="1114"/>
  <c r="M35" i="1114"/>
  <c r="U33" i="300"/>
  <c r="U59" i="300"/>
  <c r="V33" i="300"/>
  <c r="V57" i="300"/>
  <c r="V57" i="280"/>
  <c r="V45" i="51"/>
  <c r="V63" i="51"/>
  <c r="R44" i="313"/>
  <c r="T59" i="300"/>
  <c r="W29" i="300"/>
  <c r="W30" i="300"/>
  <c r="W32" i="300"/>
  <c r="W56" i="300"/>
  <c r="T13" i="51"/>
  <c r="T13" i="280"/>
  <c r="U15" i="51"/>
  <c r="V18" i="51"/>
  <c r="Y26" i="300"/>
  <c r="Y31" i="300"/>
  <c r="Y33" i="300"/>
  <c r="P109" i="51"/>
  <c r="Q108" i="51"/>
  <c r="AF14" i="280"/>
  <c r="AE14" i="280"/>
  <c r="AA18" i="280"/>
  <c r="AA31" i="280"/>
  <c r="U42" i="1105"/>
  <c r="T31" i="1114"/>
  <c r="T39" i="1114"/>
  <c r="T41" i="1114"/>
  <c r="AB29" i="280"/>
  <c r="V40" i="1105"/>
  <c r="U29" i="1114"/>
  <c r="Z19" i="280"/>
  <c r="V28" i="1105"/>
  <c r="AD14" i="280"/>
  <c r="AB16" i="280"/>
  <c r="X17" i="280"/>
  <c r="AA27" i="280"/>
  <c r="U38" i="1105"/>
  <c r="T27" i="1114"/>
  <c r="AA28" i="300"/>
  <c r="Y51" i="51"/>
  <c r="Y35" i="280"/>
  <c r="Z18" i="280"/>
  <c r="R19" i="1105"/>
  <c r="X22" i="51"/>
  <c r="S31" i="1114"/>
  <c r="Z31" i="280"/>
  <c r="Y19" i="51"/>
  <c r="Y30" i="280"/>
  <c r="R30" i="1114"/>
  <c r="AD15" i="280"/>
  <c r="AC32" i="280"/>
  <c r="W43" i="1105"/>
  <c r="V32" i="1114"/>
  <c r="Y47" i="300"/>
  <c r="K16" i="313"/>
  <c r="I16" i="313"/>
  <c r="X30" i="300"/>
  <c r="X32" i="300"/>
  <c r="X56" i="300"/>
  <c r="X29" i="300"/>
  <c r="S21" i="1105"/>
  <c r="R19" i="1114"/>
  <c r="AN19" i="280"/>
  <c r="W16" i="1105"/>
  <c r="V14" i="1114"/>
  <c r="U18" i="1105"/>
  <c r="T16" i="1114"/>
  <c r="I14" i="313"/>
  <c r="K14" i="313"/>
  <c r="I11" i="313"/>
  <c r="K11" i="313"/>
  <c r="T60" i="313"/>
  <c r="AJ35" i="280"/>
  <c r="I22" i="313"/>
  <c r="K22" i="313"/>
  <c r="T40" i="1105"/>
  <c r="AO29" i="280"/>
  <c r="V17" i="1105"/>
  <c r="U15" i="1114"/>
  <c r="T38" i="1105"/>
  <c r="AO27" i="280"/>
  <c r="V16" i="1105"/>
  <c r="U14" i="1114"/>
  <c r="Q44" i="1105"/>
  <c r="W35" i="280"/>
  <c r="P33" i="1114"/>
  <c r="AN16" i="280"/>
  <c r="S18" i="1105"/>
  <c r="R16" i="1114"/>
  <c r="S20" i="1105"/>
  <c r="AN18" i="280"/>
  <c r="R18" i="1114"/>
  <c r="AN31" i="280"/>
  <c r="S42" i="1105"/>
  <c r="AM30" i="280"/>
  <c r="H21" i="313"/>
  <c r="R41" i="1105"/>
  <c r="J21" i="313"/>
  <c r="W17" i="1105"/>
  <c r="V15" i="1114"/>
  <c r="I13" i="313"/>
  <c r="K13" i="313"/>
  <c r="Y46" i="300"/>
  <c r="W17" i="51"/>
  <c r="P17" i="1114"/>
  <c r="AL17" i="280"/>
  <c r="Z15" i="300"/>
  <c r="Z14" i="300"/>
  <c r="Z34" i="300"/>
  <c r="Z44" i="300"/>
  <c r="Z45" i="300"/>
  <c r="Z13" i="300"/>
  <c r="T18" i="1105"/>
  <c r="S16" i="1114"/>
  <c r="AO16" i="280"/>
  <c r="R13" i="51"/>
  <c r="P39" i="280"/>
  <c r="P41" i="280"/>
  <c r="K15" i="1105"/>
  <c r="K34" i="1105"/>
  <c r="K55" i="1105"/>
  <c r="K63" i="1105"/>
  <c r="K82" i="1105"/>
  <c r="K84" i="1105"/>
  <c r="J13" i="1114"/>
  <c r="J23" i="1114"/>
  <c r="J37" i="1114"/>
  <c r="J45" i="1114"/>
  <c r="Q13" i="280"/>
  <c r="Q40" i="51"/>
  <c r="Q65" i="51"/>
  <c r="Q87" i="51"/>
  <c r="Q106" i="51"/>
  <c r="AA104" i="51"/>
  <c r="AB21" i="280"/>
  <c r="U21" i="1114"/>
  <c r="S23" i="280"/>
  <c r="L13" i="1114"/>
  <c r="N39" i="1105"/>
  <c r="N53" i="1105"/>
  <c r="AI28" i="280"/>
  <c r="T37" i="280"/>
  <c r="M34" i="1105"/>
  <c r="AA53" i="51"/>
  <c r="AA55" i="51"/>
  <c r="AB30" i="51"/>
  <c r="AB44" i="51"/>
  <c r="AD79" i="51"/>
  <c r="AB91" i="51"/>
  <c r="AC91" i="51"/>
  <c r="AB50" i="51"/>
  <c r="AB92" i="51"/>
  <c r="AC38" i="51"/>
  <c r="AC92" i="51"/>
  <c r="AC50" i="51"/>
  <c r="AC73" i="51"/>
  <c r="AB55" i="51"/>
  <c r="AB48" i="51"/>
  <c r="Z57" i="51"/>
  <c r="AA60" i="51"/>
  <c r="AB60" i="51"/>
  <c r="AC60" i="51"/>
  <c r="AC29" i="51"/>
  <c r="Z27" i="51"/>
  <c r="AA56" i="51"/>
  <c r="AA75" i="51"/>
  <c r="Z59" i="51"/>
  <c r="AA57" i="51"/>
  <c r="AC58" i="51"/>
  <c r="AE74" i="51"/>
  <c r="AF74" i="51"/>
  <c r="AC54" i="51"/>
  <c r="AD38" i="51"/>
  <c r="AE38" i="51"/>
  <c r="AF38" i="51"/>
  <c r="AE79" i="51"/>
  <c r="AD49" i="51"/>
  <c r="AD78" i="51"/>
  <c r="AE78" i="51"/>
  <c r="AC44" i="51"/>
  <c r="AD44" i="51"/>
  <c r="AC24" i="51"/>
  <c r="Z47" i="51"/>
  <c r="AG70" i="51"/>
  <c r="AH70" i="51"/>
  <c r="Y26" i="51"/>
  <c r="Z26" i="51"/>
  <c r="Y25" i="51"/>
  <c r="Z25" i="51"/>
  <c r="AA25" i="51"/>
  <c r="AB25" i="51"/>
  <c r="AC25" i="51"/>
  <c r="AC30" i="51"/>
  <c r="AD30" i="51"/>
  <c r="AE30" i="51"/>
  <c r="AJ33" i="280"/>
  <c r="W18" i="63"/>
  <c r="V33" i="280"/>
  <c r="K85" i="1105"/>
  <c r="Y35" i="67"/>
  <c r="Y12" i="67"/>
  <c r="Y14" i="67"/>
  <c r="Y28" i="67"/>
  <c r="Z11" i="67"/>
  <c r="V34" i="67"/>
  <c r="V36" i="67"/>
  <c r="V20" i="67"/>
  <c r="O25" i="1105"/>
  <c r="T50" i="313"/>
  <c r="N20" i="1114"/>
  <c r="U85" i="51"/>
  <c r="U20" i="280"/>
  <c r="AK35" i="280"/>
  <c r="R44" i="1105"/>
  <c r="X35" i="280"/>
  <c r="J26" i="313"/>
  <c r="AB18" i="280"/>
  <c r="V20" i="1105"/>
  <c r="U28" i="280"/>
  <c r="U63" i="51"/>
  <c r="V28" i="280"/>
  <c r="O28" i="1114"/>
  <c r="O35" i="1114"/>
  <c r="U57" i="300"/>
  <c r="V59" i="300"/>
  <c r="Q109" i="51"/>
  <c r="R108" i="51"/>
  <c r="AI13" i="280"/>
  <c r="M13" i="1114"/>
  <c r="M23" i="1114"/>
  <c r="N15" i="1105"/>
  <c r="T40" i="51"/>
  <c r="T65" i="51"/>
  <c r="T87" i="51"/>
  <c r="T106" i="51"/>
  <c r="T23" i="280"/>
  <c r="T39" i="280"/>
  <c r="W57" i="280"/>
  <c r="W45" i="51"/>
  <c r="W33" i="300"/>
  <c r="Y30" i="300"/>
  <c r="Y32" i="300"/>
  <c r="U20" i="51"/>
  <c r="Y29" i="300"/>
  <c r="R33" i="1114"/>
  <c r="Z26" i="300"/>
  <c r="Z30" i="300"/>
  <c r="Z32" i="300"/>
  <c r="Z28" i="1105"/>
  <c r="Y28" i="1105"/>
  <c r="AD27" i="280"/>
  <c r="X38" i="1105"/>
  <c r="W27" i="1114"/>
  <c r="AD28" i="300"/>
  <c r="AF15" i="280"/>
  <c r="X28" i="1105"/>
  <c r="Z22" i="51"/>
  <c r="AH14" i="280"/>
  <c r="AC27" i="280"/>
  <c r="W38" i="1105"/>
  <c r="V27" i="1114"/>
  <c r="AC28" i="300"/>
  <c r="V39" i="1114"/>
  <c r="V41" i="1114"/>
  <c r="AE15" i="280"/>
  <c r="W28" i="1105"/>
  <c r="AC29" i="280"/>
  <c r="W40" i="1105"/>
  <c r="V29" i="1114"/>
  <c r="AB31" i="280"/>
  <c r="V42" i="1105"/>
  <c r="U31" i="1114"/>
  <c r="AD32" i="280"/>
  <c r="X43" i="1105"/>
  <c r="W32" i="1114"/>
  <c r="Y22" i="51"/>
  <c r="Z51" i="51"/>
  <c r="Z35" i="280"/>
  <c r="Y17" i="280"/>
  <c r="Y17" i="51"/>
  <c r="AA19" i="280"/>
  <c r="AG14" i="280"/>
  <c r="Z19" i="51"/>
  <c r="Z17" i="280"/>
  <c r="AC18" i="280"/>
  <c r="Z30" i="280"/>
  <c r="S30" i="1114"/>
  <c r="AB27" i="280"/>
  <c r="V38" i="1105"/>
  <c r="U27" i="1114"/>
  <c r="AB28" i="300"/>
  <c r="AC16" i="280"/>
  <c r="U39" i="1114"/>
  <c r="U41" i="1114"/>
  <c r="I21" i="313"/>
  <c r="K21" i="313"/>
  <c r="AL35" i="280"/>
  <c r="Q60" i="313"/>
  <c r="R60" i="313"/>
  <c r="AB57" i="280"/>
  <c r="AB45" i="51"/>
  <c r="AG57" i="280"/>
  <c r="X33" i="300"/>
  <c r="AH57" i="280"/>
  <c r="AF57" i="280"/>
  <c r="AC57" i="280"/>
  <c r="AC45" i="51"/>
  <c r="AE57" i="280"/>
  <c r="AA57" i="280"/>
  <c r="AA45" i="51"/>
  <c r="Z57" i="280"/>
  <c r="Z45" i="51"/>
  <c r="Y57" i="280"/>
  <c r="Y45" i="51"/>
  <c r="X57" i="280"/>
  <c r="X45" i="51"/>
  <c r="AD57" i="280"/>
  <c r="AD45" i="51"/>
  <c r="AA45" i="300"/>
  <c r="AA14" i="300"/>
  <c r="AA34" i="300"/>
  <c r="AA44" i="300"/>
  <c r="AA15" i="300"/>
  <c r="AA13" i="300"/>
  <c r="X16" i="1105"/>
  <c r="W14" i="1114"/>
  <c r="T21" i="1105"/>
  <c r="S19" i="1114"/>
  <c r="AO19" i="280"/>
  <c r="Z16" i="1105"/>
  <c r="Y14" i="1114"/>
  <c r="W18" i="51"/>
  <c r="U20" i="1105"/>
  <c r="T18" i="1114"/>
  <c r="Z47" i="300"/>
  <c r="W16" i="51"/>
  <c r="AN30" i="280"/>
  <c r="S41" i="1105"/>
  <c r="T20" i="1105"/>
  <c r="AO18" i="280"/>
  <c r="S18" i="1114"/>
  <c r="J12" i="313"/>
  <c r="H12" i="313"/>
  <c r="Q17" i="1114"/>
  <c r="AM17" i="280"/>
  <c r="V18" i="1105"/>
  <c r="U16" i="1114"/>
  <c r="Y16" i="1105"/>
  <c r="X14" i="1114"/>
  <c r="Z46" i="300"/>
  <c r="W15" i="1114"/>
  <c r="X17" i="1105"/>
  <c r="T42" i="1105"/>
  <c r="AO31" i="280"/>
  <c r="X17" i="51"/>
  <c r="Q23" i="280"/>
  <c r="R40" i="51"/>
  <c r="R65" i="51"/>
  <c r="R87" i="51"/>
  <c r="R106" i="51"/>
  <c r="L15" i="1105"/>
  <c r="L34" i="1105"/>
  <c r="L55" i="1105"/>
  <c r="L63" i="1105"/>
  <c r="L82" i="1105"/>
  <c r="R13" i="280"/>
  <c r="AC104" i="51"/>
  <c r="V21" i="1114"/>
  <c r="AC21" i="280"/>
  <c r="AB104" i="51"/>
  <c r="S44" i="1105"/>
  <c r="N35" i="1114"/>
  <c r="S39" i="280"/>
  <c r="I9" i="863"/>
  <c r="I12" i="863"/>
  <c r="P35" i="313"/>
  <c r="J10" i="863"/>
  <c r="J16" i="863"/>
  <c r="Q36" i="313"/>
  <c r="M55" i="1105"/>
  <c r="M63" i="1105"/>
  <c r="M82" i="1105"/>
  <c r="L23" i="1114"/>
  <c r="AF30" i="51"/>
  <c r="AF78" i="51"/>
  <c r="AA59" i="51"/>
  <c r="AB59" i="51"/>
  <c r="AE49" i="51"/>
  <c r="AF49" i="51"/>
  <c r="AF79" i="51"/>
  <c r="AD24" i="51"/>
  <c r="AD60" i="51"/>
  <c r="AC55" i="51"/>
  <c r="AE44" i="51"/>
  <c r="AG38" i="51"/>
  <c r="AD73" i="51"/>
  <c r="AB75" i="51"/>
  <c r="AD25" i="51"/>
  <c r="AC48" i="51"/>
  <c r="AA27" i="51"/>
  <c r="AA26" i="51"/>
  <c r="AB57" i="51"/>
  <c r="AD91" i="51"/>
  <c r="AB56" i="51"/>
  <c r="AB53" i="51"/>
  <c r="AG74" i="51"/>
  <c r="AA47" i="51"/>
  <c r="AD54" i="51"/>
  <c r="AD92" i="51"/>
  <c r="AD50" i="51"/>
  <c r="AD58" i="51"/>
  <c r="AD29" i="51"/>
  <c r="AE58" i="51"/>
  <c r="X18" i="63"/>
  <c r="W33" i="280"/>
  <c r="AK33" i="280"/>
  <c r="R50" i="313"/>
  <c r="Q50" i="313"/>
  <c r="Z12" i="67"/>
  <c r="Z14" i="67"/>
  <c r="Z28" i="67"/>
  <c r="AA11" i="67"/>
  <c r="Z35" i="67"/>
  <c r="AJ20" i="280"/>
  <c r="V77" i="51"/>
  <c r="V37" i="67"/>
  <c r="V38" i="67"/>
  <c r="U18" i="1114"/>
  <c r="V20" i="51"/>
  <c r="V13" i="51"/>
  <c r="V40" i="51"/>
  <c r="V65" i="51"/>
  <c r="O39" i="1105"/>
  <c r="O53" i="1105"/>
  <c r="AN35" i="280"/>
  <c r="U37" i="280"/>
  <c r="T58" i="313"/>
  <c r="R58" i="313"/>
  <c r="AM35" i="280"/>
  <c r="H26" i="313"/>
  <c r="I26" i="313"/>
  <c r="AJ28" i="280"/>
  <c r="AK28" i="280"/>
  <c r="P39" i="1105"/>
  <c r="P53" i="1105"/>
  <c r="J9" i="863"/>
  <c r="J14" i="863"/>
  <c r="V37" i="280"/>
  <c r="S36" i="313"/>
  <c r="U13" i="51"/>
  <c r="T43" i="313"/>
  <c r="Q43" i="313"/>
  <c r="R109" i="51"/>
  <c r="S108" i="51"/>
  <c r="S109" i="51"/>
  <c r="T108" i="51"/>
  <c r="T109" i="51"/>
  <c r="U108" i="51"/>
  <c r="Q35" i="313"/>
  <c r="P28" i="1114"/>
  <c r="P35" i="1114"/>
  <c r="W63" i="51"/>
  <c r="W28" i="280"/>
  <c r="Z17" i="51"/>
  <c r="W57" i="300"/>
  <c r="W59" i="300"/>
  <c r="S33" i="1114"/>
  <c r="Z31" i="300"/>
  <c r="Z33" i="300"/>
  <c r="Z29" i="300"/>
  <c r="X18" i="51"/>
  <c r="Y16" i="51"/>
  <c r="AE29" i="280"/>
  <c r="Y40" i="1105"/>
  <c r="X29" i="1114"/>
  <c r="AF32" i="280"/>
  <c r="Z43" i="1105"/>
  <c r="Y32" i="1114"/>
  <c r="AB19" i="280"/>
  <c r="AD16" i="280"/>
  <c r="AD18" i="280"/>
  <c r="AA17" i="280"/>
  <c r="AA22" i="51"/>
  <c r="AA19" i="51"/>
  <c r="AD29" i="280"/>
  <c r="X40" i="1105"/>
  <c r="W29" i="1114"/>
  <c r="W39" i="1114"/>
  <c r="W41" i="1114"/>
  <c r="AE32" i="280"/>
  <c r="Y43" i="1105"/>
  <c r="X32" i="1114"/>
  <c r="AA28" i="1105"/>
  <c r="AA30" i="280"/>
  <c r="U41" i="1105"/>
  <c r="T30" i="1114"/>
  <c r="AA51" i="51"/>
  <c r="AA35" i="280"/>
  <c r="V31" i="1114"/>
  <c r="AC31" i="280"/>
  <c r="W42" i="1105"/>
  <c r="AG15" i="280"/>
  <c r="X27" i="1114"/>
  <c r="AE27" i="280"/>
  <c r="Y38" i="1105"/>
  <c r="AE28" i="300"/>
  <c r="I12" i="313"/>
  <c r="K12" i="313"/>
  <c r="W15" i="51"/>
  <c r="AA46" i="300"/>
  <c r="AA28" i="280"/>
  <c r="U39" i="1105"/>
  <c r="T28" i="1114"/>
  <c r="U28" i="1114"/>
  <c r="AB28" i="280"/>
  <c r="V39" i="1105"/>
  <c r="V16" i="1114"/>
  <c r="W18" i="1105"/>
  <c r="V18" i="1114"/>
  <c r="W20" i="1105"/>
  <c r="S17" i="1114"/>
  <c r="T19" i="1105"/>
  <c r="AO17" i="280"/>
  <c r="AA16" i="1105"/>
  <c r="Z14" i="1114"/>
  <c r="AD13" i="300"/>
  <c r="AD15" i="300"/>
  <c r="AD14" i="300"/>
  <c r="AD34" i="300"/>
  <c r="AD44" i="300"/>
  <c r="AD45" i="300"/>
  <c r="X16" i="51"/>
  <c r="W28" i="1114"/>
  <c r="AD28" i="280"/>
  <c r="X39" i="1105"/>
  <c r="S19" i="1105"/>
  <c r="R17" i="1114"/>
  <c r="AN17" i="280"/>
  <c r="AA26" i="300"/>
  <c r="X63" i="51"/>
  <c r="Q28" i="1114"/>
  <c r="Q35" i="1114"/>
  <c r="X28" i="280"/>
  <c r="S28" i="1114"/>
  <c r="Z28" i="280"/>
  <c r="AE45" i="51"/>
  <c r="X57" i="300"/>
  <c r="X59" i="300"/>
  <c r="AO30" i="280"/>
  <c r="T41" i="1105"/>
  <c r="Z63" i="51"/>
  <c r="Y17" i="1105"/>
  <c r="X15" i="1114"/>
  <c r="AC15" i="300"/>
  <c r="AC14" i="300"/>
  <c r="AC45" i="300"/>
  <c r="AC44" i="300"/>
  <c r="AC34" i="300"/>
  <c r="AC13" i="300"/>
  <c r="Y15" i="1114"/>
  <c r="Z17" i="1105"/>
  <c r="AA47" i="300"/>
  <c r="R28" i="1114"/>
  <c r="R35" i="1114"/>
  <c r="Y28" i="280"/>
  <c r="Y63" i="51"/>
  <c r="AC28" i="280"/>
  <c r="W39" i="1105"/>
  <c r="V28" i="1114"/>
  <c r="AB14" i="300"/>
  <c r="AB45" i="300"/>
  <c r="AB44" i="300"/>
  <c r="AB13" i="300"/>
  <c r="AB34" i="300"/>
  <c r="AB15" i="300"/>
  <c r="U21" i="1105"/>
  <c r="T19" i="1114"/>
  <c r="AB16" i="1105"/>
  <c r="AA14" i="1114"/>
  <c r="K13" i="1114"/>
  <c r="R23" i="280"/>
  <c r="Q39" i="280"/>
  <c r="D21" i="729"/>
  <c r="AB51" i="51"/>
  <c r="AD21" i="280"/>
  <c r="W21" i="1114"/>
  <c r="AD104" i="51"/>
  <c r="T44" i="1105"/>
  <c r="AO35" i="280"/>
  <c r="B22" i="729"/>
  <c r="S41" i="280"/>
  <c r="B23" i="729"/>
  <c r="T41" i="280"/>
  <c r="M91" i="1105"/>
  <c r="N90" i="1105"/>
  <c r="D22" i="729"/>
  <c r="L37" i="1114"/>
  <c r="M37" i="1114"/>
  <c r="AB26" i="51"/>
  <c r="AE29" i="51"/>
  <c r="AG30" i="51"/>
  <c r="AE25" i="51"/>
  <c r="AF25" i="51"/>
  <c r="AE50" i="51"/>
  <c r="AC75" i="51"/>
  <c r="AD48" i="51"/>
  <c r="AG79" i="51"/>
  <c r="AG49" i="51"/>
  <c r="AC59" i="51"/>
  <c r="AH38" i="51"/>
  <c r="AD55" i="51"/>
  <c r="AE55" i="51"/>
  <c r="AF55" i="51"/>
  <c r="AC56" i="51"/>
  <c r="AF44" i="51"/>
  <c r="AG44" i="51"/>
  <c r="AC53" i="51"/>
  <c r="AD53" i="51"/>
  <c r="AC57" i="51"/>
  <c r="AE60" i="51"/>
  <c r="AF60" i="51"/>
  <c r="AG60" i="51"/>
  <c r="AB47" i="51"/>
  <c r="AC47" i="51"/>
  <c r="AH74" i="51"/>
  <c r="AE92" i="51"/>
  <c r="AG25" i="51"/>
  <c r="AE24" i="51"/>
  <c r="AE91" i="51"/>
  <c r="AG78" i="51"/>
  <c r="AE73" i="51"/>
  <c r="AF50" i="51"/>
  <c r="AG50" i="51"/>
  <c r="AF24" i="51"/>
  <c r="AH50" i="51"/>
  <c r="AB27" i="51"/>
  <c r="AC27" i="51"/>
  <c r="AD27" i="51"/>
  <c r="AE54" i="51"/>
  <c r="AF58" i="51"/>
  <c r="AD75" i="51"/>
  <c r="AL33" i="280"/>
  <c r="Y18" i="63"/>
  <c r="X33" i="280"/>
  <c r="X37" i="280"/>
  <c r="L10" i="863"/>
  <c r="L16" i="863"/>
  <c r="W34" i="67"/>
  <c r="W36" i="67"/>
  <c r="W20" i="67"/>
  <c r="AB11" i="67"/>
  <c r="AA12" i="67"/>
  <c r="AA14" i="67"/>
  <c r="AA28" i="67"/>
  <c r="AA35" i="67"/>
  <c r="P25" i="1105"/>
  <c r="V85" i="51"/>
  <c r="V87" i="51"/>
  <c r="V106" i="51"/>
  <c r="V20" i="280"/>
  <c r="O20" i="1114"/>
  <c r="V13" i="280"/>
  <c r="P15" i="1105"/>
  <c r="R36" i="313"/>
  <c r="K10" i="863"/>
  <c r="K16" i="863"/>
  <c r="Q58" i="313"/>
  <c r="K26" i="313"/>
  <c r="J15" i="863"/>
  <c r="J13" i="863"/>
  <c r="J19" i="863"/>
  <c r="O15" i="1105"/>
  <c r="U13" i="280"/>
  <c r="AJ13" i="280"/>
  <c r="U40" i="51"/>
  <c r="U65" i="51"/>
  <c r="U87" i="51"/>
  <c r="U106" i="51"/>
  <c r="U109" i="51"/>
  <c r="V108" i="51"/>
  <c r="R43" i="313"/>
  <c r="S35" i="1114"/>
  <c r="T33" i="1114"/>
  <c r="T35" i="1114"/>
  <c r="W37" i="280"/>
  <c r="Q39" i="1105"/>
  <c r="Q53" i="1105"/>
  <c r="AL28" i="280"/>
  <c r="Y18" i="51"/>
  <c r="AA17" i="51"/>
  <c r="AD47" i="300"/>
  <c r="AA63" i="51"/>
  <c r="Z18" i="51"/>
  <c r="AC46" i="300"/>
  <c r="AB26" i="300"/>
  <c r="AB29" i="300"/>
  <c r="AC26" i="300"/>
  <c r="AC29" i="300"/>
  <c r="AA39" i="1114"/>
  <c r="AA41" i="1114"/>
  <c r="Z39" i="1114"/>
  <c r="Z41" i="1114"/>
  <c r="AF16" i="280"/>
  <c r="AD19" i="280"/>
  <c r="Z27" i="1114"/>
  <c r="AG27" i="280"/>
  <c r="AA38" i="1105"/>
  <c r="AG28" i="300"/>
  <c r="AG45" i="51"/>
  <c r="AC19" i="51"/>
  <c r="AC30" i="280"/>
  <c r="W41" i="1105"/>
  <c r="V30" i="1114"/>
  <c r="Y39" i="1114"/>
  <c r="Y41" i="1114"/>
  <c r="AB17" i="280"/>
  <c r="AB22" i="51"/>
  <c r="AE18" i="280"/>
  <c r="AE16" i="280"/>
  <c r="AC19" i="280"/>
  <c r="Y29" i="1114"/>
  <c r="AF29" i="280"/>
  <c r="Z40" i="1105"/>
  <c r="AF27" i="280"/>
  <c r="Z38" i="1105"/>
  <c r="AF28" i="300"/>
  <c r="Y27" i="1114"/>
  <c r="AF45" i="51"/>
  <c r="AB28" i="1105"/>
  <c r="AB19" i="51"/>
  <c r="W20" i="51"/>
  <c r="AG32" i="280"/>
  <c r="AA43" i="1105"/>
  <c r="Z32" i="1114"/>
  <c r="AH15" i="280"/>
  <c r="AD31" i="280"/>
  <c r="X42" i="1105"/>
  <c r="W31" i="1114"/>
  <c r="AB30" i="280"/>
  <c r="V41" i="1105"/>
  <c r="U30" i="1114"/>
  <c r="X39" i="1114"/>
  <c r="X41" i="1114"/>
  <c r="AB46" i="300"/>
  <c r="AC47" i="300"/>
  <c r="AE28" i="280"/>
  <c r="Y39" i="1105"/>
  <c r="X28" i="1114"/>
  <c r="AD46" i="300"/>
  <c r="AD26" i="300"/>
  <c r="AB47" i="300"/>
  <c r="Z16" i="51"/>
  <c r="AO28" i="280"/>
  <c r="T39" i="1105"/>
  <c r="T53" i="1105"/>
  <c r="AA30" i="300"/>
  <c r="AA32" i="300"/>
  <c r="AA31" i="300"/>
  <c r="AA33" i="300"/>
  <c r="AA29" i="300"/>
  <c r="AE15" i="300"/>
  <c r="AE13" i="300"/>
  <c r="AE45" i="300"/>
  <c r="AE14" i="300"/>
  <c r="AE34" i="300"/>
  <c r="AE44" i="300"/>
  <c r="AA17" i="1105"/>
  <c r="Z15" i="1114"/>
  <c r="S39" i="1105"/>
  <c r="S53" i="1105"/>
  <c r="AN28" i="280"/>
  <c r="H19" i="313"/>
  <c r="J19" i="313"/>
  <c r="AM28" i="280"/>
  <c r="R39" i="1105"/>
  <c r="R53" i="1105"/>
  <c r="X15" i="51"/>
  <c r="U19" i="1105"/>
  <c r="T17" i="1114"/>
  <c r="W18" i="1114"/>
  <c r="X20" i="1105"/>
  <c r="W16" i="1114"/>
  <c r="X18" i="1105"/>
  <c r="V21" i="1105"/>
  <c r="U19" i="1114"/>
  <c r="K23" i="1114"/>
  <c r="O35" i="313"/>
  <c r="R39" i="280"/>
  <c r="H9" i="863"/>
  <c r="L31" i="313"/>
  <c r="M31" i="313"/>
  <c r="Q41" i="280"/>
  <c r="AE104" i="51"/>
  <c r="X21" i="1114"/>
  <c r="AE21" i="280"/>
  <c r="AC51" i="51"/>
  <c r="U33" i="1114"/>
  <c r="AB35" i="280"/>
  <c r="AB63" i="51"/>
  <c r="U44" i="1105"/>
  <c r="U53" i="1105"/>
  <c r="M45" i="1114"/>
  <c r="M48" i="1114"/>
  <c r="E22" i="729"/>
  <c r="L45" i="1114"/>
  <c r="L48" i="1114"/>
  <c r="AD57" i="51"/>
  <c r="AE57" i="51"/>
  <c r="AF57" i="51"/>
  <c r="AG58" i="51"/>
  <c r="AH78" i="51"/>
  <c r="AH79" i="51"/>
  <c r="AE53" i="51"/>
  <c r="AF53" i="51"/>
  <c r="AG53" i="51"/>
  <c r="AH49" i="51"/>
  <c r="AE27" i="51"/>
  <c r="AG57" i="51"/>
  <c r="AF92" i="51"/>
  <c r="AE75" i="51"/>
  <c r="AD56" i="51"/>
  <c r="AF73" i="51"/>
  <c r="AC26" i="51"/>
  <c r="AF54" i="51"/>
  <c r="AH53" i="51"/>
  <c r="AG55" i="51"/>
  <c r="AG24" i="51"/>
  <c r="AH24" i="51"/>
  <c r="AH30" i="51"/>
  <c r="AG92" i="51"/>
  <c r="AH44" i="51"/>
  <c r="AH25" i="51"/>
  <c r="AF29" i="51"/>
  <c r="AG29" i="51"/>
  <c r="AG54" i="51"/>
  <c r="AH54" i="51"/>
  <c r="AD47" i="51"/>
  <c r="AE48" i="51"/>
  <c r="AF48" i="51"/>
  <c r="AF91" i="51"/>
  <c r="AD59" i="51"/>
  <c r="AH60" i="51"/>
  <c r="H24" i="313"/>
  <c r="AM33" i="280"/>
  <c r="J24" i="313"/>
  <c r="Z18" i="63"/>
  <c r="Y33" i="280"/>
  <c r="AK20" i="280"/>
  <c r="W37" i="67"/>
  <c r="W38" i="67"/>
  <c r="W77" i="51"/>
  <c r="AB35" i="67"/>
  <c r="AC11" i="67"/>
  <c r="AB12" i="67"/>
  <c r="AB14" i="67"/>
  <c r="AB28" i="67"/>
  <c r="V109" i="51"/>
  <c r="W108" i="51"/>
  <c r="V23" i="280"/>
  <c r="S35" i="313"/>
  <c r="O13" i="1114"/>
  <c r="O23" i="1114"/>
  <c r="J12" i="863"/>
  <c r="J20" i="863"/>
  <c r="J18" i="863"/>
  <c r="J21" i="863"/>
  <c r="J22" i="863"/>
  <c r="AA16" i="51"/>
  <c r="AC30" i="300"/>
  <c r="AC32" i="300"/>
  <c r="AC22" i="51"/>
  <c r="AC17" i="280"/>
  <c r="V17" i="1114"/>
  <c r="N13" i="1114"/>
  <c r="N23" i="1114"/>
  <c r="U23" i="280"/>
  <c r="U39" i="280"/>
  <c r="U41" i="280"/>
  <c r="AK13" i="280"/>
  <c r="Y15" i="51"/>
  <c r="M10" i="863"/>
  <c r="M16" i="863"/>
  <c r="T36" i="313"/>
  <c r="AA18" i="51"/>
  <c r="AB31" i="300"/>
  <c r="AB33" i="300"/>
  <c r="AB17" i="51"/>
  <c r="AC31" i="300"/>
  <c r="AC33" i="300"/>
  <c r="U35" i="1114"/>
  <c r="L9" i="863"/>
  <c r="AB30" i="300"/>
  <c r="AB32" i="300"/>
  <c r="AF31" i="280"/>
  <c r="Z42" i="1105"/>
  <c r="Y31" i="1114"/>
  <c r="AG18" i="280"/>
  <c r="Z18" i="1114"/>
  <c r="AH16" i="280"/>
  <c r="Y20" i="51"/>
  <c r="X31" i="1114"/>
  <c r="AE31" i="280"/>
  <c r="Y42" i="1105"/>
  <c r="W30" i="1114"/>
  <c r="AD30" i="280"/>
  <c r="X41" i="1105"/>
  <c r="AD19" i="51"/>
  <c r="AF18" i="280"/>
  <c r="AG16" i="280"/>
  <c r="X20" i="51"/>
  <c r="AE19" i="280"/>
  <c r="AH32" i="280"/>
  <c r="AB43" i="1105"/>
  <c r="AA32" i="1114"/>
  <c r="AG29" i="280"/>
  <c r="AA40" i="1105"/>
  <c r="Z29" i="1114"/>
  <c r="AH27" i="280"/>
  <c r="AB38" i="1105"/>
  <c r="AH28" i="300"/>
  <c r="AA27" i="1114"/>
  <c r="AH45" i="51"/>
  <c r="K19" i="313"/>
  <c r="I19" i="313"/>
  <c r="AA15" i="51"/>
  <c r="AE46" i="300"/>
  <c r="AE26" i="300"/>
  <c r="AB16" i="51"/>
  <c r="AD30" i="300"/>
  <c r="AD32" i="300"/>
  <c r="AD31" i="300"/>
  <c r="AD33" i="300"/>
  <c r="AD29" i="300"/>
  <c r="AF45" i="300"/>
  <c r="AF13" i="300"/>
  <c r="AF34" i="300"/>
  <c r="AF15" i="300"/>
  <c r="AF14" i="300"/>
  <c r="AF44" i="300"/>
  <c r="Y20" i="1105"/>
  <c r="X18" i="1114"/>
  <c r="AG13" i="300"/>
  <c r="AG15" i="300"/>
  <c r="AG14" i="300"/>
  <c r="AG45" i="300"/>
  <c r="AG44" i="300"/>
  <c r="AG34" i="300"/>
  <c r="Z18" i="1105"/>
  <c r="Y16" i="1114"/>
  <c r="W13" i="51"/>
  <c r="W21" i="1105"/>
  <c r="V19" i="1114"/>
  <c r="W19" i="1114"/>
  <c r="X21" i="1105"/>
  <c r="N10" i="863"/>
  <c r="N16" i="863"/>
  <c r="U36" i="313"/>
  <c r="Z15" i="51"/>
  <c r="AF28" i="280"/>
  <c r="Z39" i="1105"/>
  <c r="Y28" i="1114"/>
  <c r="AE47" i="300"/>
  <c r="AA15" i="1114"/>
  <c r="AB17" i="1105"/>
  <c r="Y18" i="1105"/>
  <c r="X16" i="1114"/>
  <c r="U17" i="1114"/>
  <c r="V19" i="1105"/>
  <c r="AG28" i="280"/>
  <c r="AA39" i="1105"/>
  <c r="Z28" i="1114"/>
  <c r="K37" i="1114"/>
  <c r="B21" i="729"/>
  <c r="R41" i="280"/>
  <c r="H14" i="863"/>
  <c r="H12" i="863"/>
  <c r="AF104" i="51"/>
  <c r="AD51" i="51"/>
  <c r="AF21" i="280"/>
  <c r="Y21" i="1114"/>
  <c r="V44" i="1105"/>
  <c r="V53" i="1105"/>
  <c r="AC35" i="280"/>
  <c r="V33" i="1114"/>
  <c r="V35" i="1114"/>
  <c r="AC63" i="51"/>
  <c r="C22" i="729"/>
  <c r="L33" i="313"/>
  <c r="L50" i="1114"/>
  <c r="C23" i="729"/>
  <c r="L34" i="313"/>
  <c r="M50" i="1114"/>
  <c r="AE59" i="51"/>
  <c r="AH55" i="51"/>
  <c r="AH57" i="51"/>
  <c r="AG48" i="51"/>
  <c r="AH92" i="51"/>
  <c r="AH58" i="51"/>
  <c r="AG73" i="51"/>
  <c r="AE47" i="51"/>
  <c r="AG91" i="51"/>
  <c r="AH91" i="51"/>
  <c r="AF75" i="51"/>
  <c r="AH29" i="51"/>
  <c r="AF27" i="51"/>
  <c r="AE56" i="51"/>
  <c r="AG75" i="51"/>
  <c r="AD26" i="51"/>
  <c r="AA18" i="63"/>
  <c r="Z33" i="280"/>
  <c r="K24" i="313"/>
  <c r="I24" i="313"/>
  <c r="AN33" i="280"/>
  <c r="Y37" i="280"/>
  <c r="X36" i="67"/>
  <c r="X34" i="67"/>
  <c r="X20" i="67"/>
  <c r="AC12" i="67"/>
  <c r="AC14" i="67"/>
  <c r="AC28" i="67"/>
  <c r="AC35" i="67"/>
  <c r="AD11" i="67"/>
  <c r="Q25" i="1105"/>
  <c r="P20" i="1114"/>
  <c r="W85" i="51"/>
  <c r="W20" i="280"/>
  <c r="O37" i="1114"/>
  <c r="O45" i="1114"/>
  <c r="V39" i="280"/>
  <c r="V41" i="280"/>
  <c r="B24" i="729"/>
  <c r="AC15" i="51"/>
  <c r="Y13" i="51"/>
  <c r="Y13" i="280"/>
  <c r="W19" i="1105"/>
  <c r="AD17" i="280"/>
  <c r="AD22" i="51"/>
  <c r="AG21" i="280"/>
  <c r="Z21" i="1114"/>
  <c r="K9" i="863"/>
  <c r="K14" i="863"/>
  <c r="N37" i="1114"/>
  <c r="N45" i="1114"/>
  <c r="C24" i="729"/>
  <c r="L35" i="313"/>
  <c r="M35" i="313"/>
  <c r="R35" i="313"/>
  <c r="AA20" i="1105"/>
  <c r="AG46" i="300"/>
  <c r="AG26" i="300"/>
  <c r="AG31" i="300"/>
  <c r="AG33" i="300"/>
  <c r="AB18" i="51"/>
  <c r="AC16" i="51"/>
  <c r="AC17" i="51"/>
  <c r="L15" i="863"/>
  <c r="L13" i="863"/>
  <c r="L14" i="863"/>
  <c r="AG19" i="280"/>
  <c r="AH29" i="280"/>
  <c r="AB40" i="1105"/>
  <c r="AA29" i="1114"/>
  <c r="AG104" i="51"/>
  <c r="AE30" i="280"/>
  <c r="Y41" i="1105"/>
  <c r="X30" i="1114"/>
  <c r="AH18" i="280"/>
  <c r="AA18" i="1114"/>
  <c r="AE19" i="51"/>
  <c r="Z20" i="51"/>
  <c r="Z13" i="51"/>
  <c r="AF19" i="280"/>
  <c r="Z31" i="1114"/>
  <c r="AG31" i="280"/>
  <c r="AA42" i="1105"/>
  <c r="AG47" i="300"/>
  <c r="AF46" i="300"/>
  <c r="AF26" i="300"/>
  <c r="Z20" i="1105"/>
  <c r="Y18" i="1114"/>
  <c r="AB18" i="1105"/>
  <c r="AA16" i="1114"/>
  <c r="AF47" i="300"/>
  <c r="AB15" i="51"/>
  <c r="AA28" i="1114"/>
  <c r="AH28" i="280"/>
  <c r="AB39" i="1105"/>
  <c r="AA18" i="1105"/>
  <c r="Z16" i="1114"/>
  <c r="X19" i="1114"/>
  <c r="Y21" i="1105"/>
  <c r="Q15" i="1105"/>
  <c r="W40" i="51"/>
  <c r="W65" i="51"/>
  <c r="W13" i="280"/>
  <c r="AE30" i="300"/>
  <c r="AE32" i="300"/>
  <c r="AE29" i="300"/>
  <c r="AE31" i="300"/>
  <c r="AE33" i="300"/>
  <c r="AH14" i="300"/>
  <c r="AH15" i="300"/>
  <c r="AH13" i="300"/>
  <c r="AH45" i="300"/>
  <c r="AH34" i="300"/>
  <c r="AH44" i="300"/>
  <c r="X13" i="51"/>
  <c r="K45" i="1114"/>
  <c r="K48" i="1114"/>
  <c r="AE51" i="51"/>
  <c r="AH104" i="51"/>
  <c r="W44" i="1105"/>
  <c r="W53" i="1105"/>
  <c r="AD35" i="280"/>
  <c r="W33" i="1114"/>
  <c r="W35" i="1114"/>
  <c r="AD63" i="51"/>
  <c r="I8" i="863"/>
  <c r="M33" i="313"/>
  <c r="J8" i="863"/>
  <c r="M34" i="313"/>
  <c r="AH73" i="51"/>
  <c r="AH75" i="51"/>
  <c r="AF56" i="51"/>
  <c r="AE26" i="51"/>
  <c r="AF59" i="51"/>
  <c r="AG59" i="51"/>
  <c r="AH59" i="51"/>
  <c r="AG27" i="51"/>
  <c r="AF47" i="51"/>
  <c r="AH48" i="51"/>
  <c r="AF26" i="51"/>
  <c r="AG26" i="51"/>
  <c r="AH26" i="51"/>
  <c r="AO33" i="280"/>
  <c r="Z37" i="280"/>
  <c r="AB18" i="63"/>
  <c r="AA33" i="280"/>
  <c r="AA37" i="280"/>
  <c r="W87" i="51"/>
  <c r="W106" i="51"/>
  <c r="W109" i="51"/>
  <c r="X108" i="51"/>
  <c r="AL20" i="280"/>
  <c r="AD35" i="67"/>
  <c r="AE11" i="67"/>
  <c r="AD12" i="67"/>
  <c r="AD14" i="67"/>
  <c r="AD28" i="67"/>
  <c r="X77" i="51"/>
  <c r="X37" i="67"/>
  <c r="X38" i="67"/>
  <c r="O48" i="1114"/>
  <c r="B25" i="729"/>
  <c r="AD15" i="51"/>
  <c r="AA20" i="51"/>
  <c r="AA13" i="51"/>
  <c r="AA13" i="280"/>
  <c r="Y40" i="51"/>
  <c r="Y65" i="51"/>
  <c r="AF22" i="51"/>
  <c r="AF17" i="280"/>
  <c r="Z19" i="1105"/>
  <c r="AE17" i="280"/>
  <c r="AE22" i="51"/>
  <c r="AA21" i="1114"/>
  <c r="AH21" i="280"/>
  <c r="AE15" i="51"/>
  <c r="K8" i="863"/>
  <c r="K41" i="863"/>
  <c r="K15" i="863"/>
  <c r="K13" i="863"/>
  <c r="K21" i="863"/>
  <c r="X19" i="1105"/>
  <c r="W17" i="1114"/>
  <c r="N48" i="1114"/>
  <c r="N50" i="1114"/>
  <c r="AG30" i="300"/>
  <c r="AG32" i="300"/>
  <c r="AD17" i="51"/>
  <c r="AG29" i="300"/>
  <c r="AB20" i="1105"/>
  <c r="L21" i="863"/>
  <c r="L22" i="863"/>
  <c r="L19" i="863"/>
  <c r="L20" i="863"/>
  <c r="L18" i="863"/>
  <c r="L12" i="863"/>
  <c r="AD16" i="51"/>
  <c r="O50" i="1114"/>
  <c r="C25" i="729"/>
  <c r="L36" i="313"/>
  <c r="AH46" i="300"/>
  <c r="AC18" i="51"/>
  <c r="AB20" i="51"/>
  <c r="AB13" i="51"/>
  <c r="AH31" i="280"/>
  <c r="AB42" i="1105"/>
  <c r="AA31" i="1114"/>
  <c r="AG17" i="280"/>
  <c r="AG22" i="51"/>
  <c r="AF19" i="51"/>
  <c r="AF30" i="280"/>
  <c r="Z41" i="1105"/>
  <c r="Y30" i="1114"/>
  <c r="AH19" i="280"/>
  <c r="AF29" i="300"/>
  <c r="AF31" i="300"/>
  <c r="AF33" i="300"/>
  <c r="AF30" i="300"/>
  <c r="AF32" i="300"/>
  <c r="AH47" i="300"/>
  <c r="P13" i="1114"/>
  <c r="AL13" i="280"/>
  <c r="W23" i="280"/>
  <c r="S15" i="1105"/>
  <c r="R13" i="1114"/>
  <c r="Z13" i="280"/>
  <c r="Z40" i="51"/>
  <c r="Z65" i="51"/>
  <c r="X40" i="51"/>
  <c r="X65" i="51"/>
  <c r="X13" i="280"/>
  <c r="AN13" i="280"/>
  <c r="R15" i="1105"/>
  <c r="AH26" i="300"/>
  <c r="Z21" i="1105"/>
  <c r="Y19" i="1114"/>
  <c r="AA21" i="1105"/>
  <c r="Z19" i="1114"/>
  <c r="C21" i="729"/>
  <c r="L32" i="313"/>
  <c r="K50" i="1114"/>
  <c r="AF51" i="51"/>
  <c r="AE17" i="51"/>
  <c r="X44" i="1105"/>
  <c r="X53" i="1105"/>
  <c r="X33" i="1114"/>
  <c r="X35" i="1114"/>
  <c r="AE35" i="280"/>
  <c r="AE63" i="51"/>
  <c r="J41" i="863"/>
  <c r="J35" i="863"/>
  <c r="J42" i="863"/>
  <c r="J31" i="863"/>
  <c r="J26" i="863"/>
  <c r="J28" i="863"/>
  <c r="J38" i="863"/>
  <c r="J33" i="863"/>
  <c r="J25" i="863"/>
  <c r="J27" i="863"/>
  <c r="J29" i="863"/>
  <c r="J34" i="863"/>
  <c r="J32" i="863"/>
  <c r="I28" i="863"/>
  <c r="I27" i="863"/>
  <c r="I32" i="863"/>
  <c r="I26" i="863"/>
  <c r="I33" i="863"/>
  <c r="I25" i="863"/>
  <c r="I34" i="863"/>
  <c r="I38" i="863"/>
  <c r="I35" i="863"/>
  <c r="I42" i="863"/>
  <c r="I29" i="863"/>
  <c r="I31" i="863"/>
  <c r="I41" i="863"/>
  <c r="AH27" i="51"/>
  <c r="AG47" i="51"/>
  <c r="AG56" i="51"/>
  <c r="AC18" i="63"/>
  <c r="AB33" i="280"/>
  <c r="AB37" i="280"/>
  <c r="Y36" i="67"/>
  <c r="Y34" i="67"/>
  <c r="Y20" i="67"/>
  <c r="AE35" i="67"/>
  <c r="AF11" i="67"/>
  <c r="AE12" i="67"/>
  <c r="AE14" i="67"/>
  <c r="AE28" i="67"/>
  <c r="R25" i="1105"/>
  <c r="X85" i="51"/>
  <c r="X87" i="51"/>
  <c r="X106" i="51"/>
  <c r="X109" i="51"/>
  <c r="Y108" i="51"/>
  <c r="Q20" i="1114"/>
  <c r="X20" i="280"/>
  <c r="AA40" i="51"/>
  <c r="AA65" i="51"/>
  <c r="Y17" i="1114"/>
  <c r="K28" i="863"/>
  <c r="K22" i="863"/>
  <c r="K20" i="863"/>
  <c r="K38" i="863"/>
  <c r="AG51" i="51"/>
  <c r="AG35" i="280"/>
  <c r="AF15" i="51"/>
  <c r="AE16" i="51"/>
  <c r="K18" i="863"/>
  <c r="K12" i="863"/>
  <c r="K19" i="863"/>
  <c r="X17" i="1114"/>
  <c r="Y19" i="1105"/>
  <c r="K34" i="863"/>
  <c r="AD18" i="51"/>
  <c r="AC20" i="51"/>
  <c r="AC13" i="51"/>
  <c r="L8" i="863"/>
  <c r="M36" i="313"/>
  <c r="Z30" i="1114"/>
  <c r="AG30" i="280"/>
  <c r="AA41" i="1105"/>
  <c r="AH22" i="51"/>
  <c r="AH17" i="280"/>
  <c r="AG19" i="51"/>
  <c r="Z17" i="1114"/>
  <c r="AA19" i="1105"/>
  <c r="J8" i="313"/>
  <c r="H8" i="313"/>
  <c r="X23" i="280"/>
  <c r="AM13" i="280"/>
  <c r="Q13" i="1114"/>
  <c r="U15" i="1105"/>
  <c r="T13" i="1114"/>
  <c r="AO13" i="280"/>
  <c r="T15" i="1105"/>
  <c r="S13" i="1114"/>
  <c r="P23" i="1114"/>
  <c r="W39" i="280"/>
  <c r="T35" i="313"/>
  <c r="M9" i="863"/>
  <c r="AH30" i="300"/>
  <c r="AH32" i="300"/>
  <c r="AH29" i="300"/>
  <c r="AH31" i="300"/>
  <c r="AH33" i="300"/>
  <c r="AB21" i="1105"/>
  <c r="AA19" i="1114"/>
  <c r="AB40" i="51"/>
  <c r="AB65" i="51"/>
  <c r="AB13" i="280"/>
  <c r="H8" i="863"/>
  <c r="M32" i="313"/>
  <c r="I46" i="863"/>
  <c r="AF17" i="51"/>
  <c r="AF35" i="280"/>
  <c r="Y33" i="1114"/>
  <c r="Y35" i="1114"/>
  <c r="AF63" i="51"/>
  <c r="Y44" i="1105"/>
  <c r="Y53" i="1105"/>
  <c r="I51" i="863"/>
  <c r="J45" i="863"/>
  <c r="J47" i="863"/>
  <c r="I48" i="863"/>
  <c r="I43" i="863"/>
  <c r="I45" i="863"/>
  <c r="I47" i="863"/>
  <c r="J51" i="863"/>
  <c r="J49" i="863"/>
  <c r="J50" i="863"/>
  <c r="I49" i="863"/>
  <c r="J48" i="863"/>
  <c r="I44" i="863"/>
  <c r="I50" i="863"/>
  <c r="J43" i="863"/>
  <c r="J44" i="863"/>
  <c r="J46" i="863"/>
  <c r="AH56" i="51"/>
  <c r="AH47" i="51"/>
  <c r="AD18" i="63"/>
  <c r="AC33" i="280"/>
  <c r="AC37" i="280"/>
  <c r="H15" i="313"/>
  <c r="AM20" i="280"/>
  <c r="J15" i="313"/>
  <c r="Y77" i="51"/>
  <c r="Y37" i="67"/>
  <c r="Y38" i="67"/>
  <c r="AF35" i="67"/>
  <c r="AG11" i="67"/>
  <c r="AF12" i="67"/>
  <c r="AF14" i="67"/>
  <c r="AF28" i="67"/>
  <c r="AD20" i="51"/>
  <c r="AD13" i="51"/>
  <c r="AG63" i="51"/>
  <c r="AF16" i="51"/>
  <c r="Z33" i="1114"/>
  <c r="Z35" i="1114"/>
  <c r="AF18" i="51"/>
  <c r="K33" i="863"/>
  <c r="K44" i="863"/>
  <c r="K27" i="863"/>
  <c r="K50" i="863"/>
  <c r="K29" i="863"/>
  <c r="K51" i="863"/>
  <c r="K35" i="863"/>
  <c r="AG16" i="51"/>
  <c r="AH51" i="51"/>
  <c r="AH63" i="51"/>
  <c r="K31" i="863"/>
  <c r="K25" i="863"/>
  <c r="K32" i="863"/>
  <c r="K26" i="863"/>
  <c r="AC40" i="51"/>
  <c r="AC65" i="51"/>
  <c r="AC13" i="280"/>
  <c r="V13" i="1114"/>
  <c r="L41" i="863"/>
  <c r="L28" i="863"/>
  <c r="L27" i="863"/>
  <c r="L38" i="863"/>
  <c r="L35" i="863"/>
  <c r="L42" i="863"/>
  <c r="L29" i="863"/>
  <c r="L33" i="863"/>
  <c r="L31" i="863"/>
  <c r="L32" i="863"/>
  <c r="L26" i="863"/>
  <c r="L25" i="863"/>
  <c r="L34" i="863"/>
  <c r="AE18" i="51"/>
  <c r="AH30" i="280"/>
  <c r="AB41" i="1105"/>
  <c r="AA30" i="1114"/>
  <c r="AH19" i="51"/>
  <c r="X39" i="280"/>
  <c r="N9" i="863"/>
  <c r="U35" i="313"/>
  <c r="AB19" i="1105"/>
  <c r="AA17" i="1114"/>
  <c r="P37" i="1114"/>
  <c r="Q23" i="1114"/>
  <c r="K8" i="313"/>
  <c r="I8" i="313"/>
  <c r="V15" i="1105"/>
  <c r="U13" i="1114"/>
  <c r="W41" i="280"/>
  <c r="B26" i="729"/>
  <c r="M15" i="863"/>
  <c r="M13" i="863"/>
  <c r="M14" i="863"/>
  <c r="H29" i="863"/>
  <c r="H31" i="863"/>
  <c r="H25" i="863"/>
  <c r="H27" i="863"/>
  <c r="H35" i="863"/>
  <c r="H42" i="863"/>
  <c r="H33" i="863"/>
  <c r="H34" i="863"/>
  <c r="H26" i="863"/>
  <c r="H32" i="863"/>
  <c r="H41" i="863"/>
  <c r="H28" i="863"/>
  <c r="AG17" i="51"/>
  <c r="AA44" i="1105"/>
  <c r="AA53" i="1105"/>
  <c r="Z44" i="1105"/>
  <c r="Z53" i="1105"/>
  <c r="AE18" i="63"/>
  <c r="AD33" i="280"/>
  <c r="AD37" i="280"/>
  <c r="AG15" i="51"/>
  <c r="L51" i="863"/>
  <c r="Z36" i="67"/>
  <c r="Z34" i="67"/>
  <c r="Z20" i="67"/>
  <c r="K15" i="313"/>
  <c r="I15" i="313"/>
  <c r="AG12" i="67"/>
  <c r="AG14" i="67"/>
  <c r="AG28" i="67"/>
  <c r="AG35" i="67"/>
  <c r="AH11" i="67"/>
  <c r="S25" i="1105"/>
  <c r="R20" i="1114"/>
  <c r="R23" i="1114"/>
  <c r="R37" i="1114"/>
  <c r="R45" i="1114"/>
  <c r="C28" i="729"/>
  <c r="Y85" i="51"/>
  <c r="Y87" i="51"/>
  <c r="Y106" i="51"/>
  <c r="Y109" i="51"/>
  <c r="Z108" i="51"/>
  <c r="Y20" i="280"/>
  <c r="K45" i="863"/>
  <c r="AH16" i="51"/>
  <c r="K47" i="863"/>
  <c r="K42" i="863"/>
  <c r="K43" i="863"/>
  <c r="AE20" i="51"/>
  <c r="AE13" i="51"/>
  <c r="K46" i="863"/>
  <c r="K48" i="863"/>
  <c r="K49" i="863"/>
  <c r="AA33" i="1114"/>
  <c r="AA35" i="1114"/>
  <c r="AH35" i="280"/>
  <c r="AB44" i="1105"/>
  <c r="AB53" i="1105"/>
  <c r="H48" i="863"/>
  <c r="W15" i="1105"/>
  <c r="AD40" i="51"/>
  <c r="AD65" i="51"/>
  <c r="AD13" i="280"/>
  <c r="H47" i="863"/>
  <c r="H43" i="863"/>
  <c r="L43" i="863"/>
  <c r="L46" i="863"/>
  <c r="L48" i="863"/>
  <c r="L50" i="863"/>
  <c r="L45" i="863"/>
  <c r="L47" i="863"/>
  <c r="L44" i="863"/>
  <c r="L49" i="863"/>
  <c r="AG18" i="51"/>
  <c r="P45" i="1114"/>
  <c r="P48" i="1114"/>
  <c r="N15" i="863"/>
  <c r="N13" i="863"/>
  <c r="N14" i="863"/>
  <c r="M20" i="863"/>
  <c r="M19" i="863"/>
  <c r="M21" i="863"/>
  <c r="M18" i="863"/>
  <c r="M12" i="863"/>
  <c r="M22" i="863"/>
  <c r="Q37" i="1114"/>
  <c r="B27" i="729"/>
  <c r="X41" i="280"/>
  <c r="H45" i="863"/>
  <c r="H49" i="863"/>
  <c r="H50" i="863"/>
  <c r="H44" i="863"/>
  <c r="H46" i="863"/>
  <c r="H51" i="863"/>
  <c r="AH17" i="51"/>
  <c r="AF18" i="63"/>
  <c r="AE33" i="280"/>
  <c r="AE37" i="280"/>
  <c r="AN20" i="280"/>
  <c r="Y23" i="280"/>
  <c r="Y39" i="280"/>
  <c r="Y41" i="280"/>
  <c r="AH35" i="67"/>
  <c r="AH12" i="67"/>
  <c r="AH14" i="67"/>
  <c r="AH28" i="67"/>
  <c r="Z77" i="51"/>
  <c r="Z37" i="67"/>
  <c r="Z38" i="67"/>
  <c r="AF20" i="51"/>
  <c r="AF13" i="51"/>
  <c r="AE13" i="280"/>
  <c r="Y15" i="1105"/>
  <c r="AE40" i="51"/>
  <c r="AE65" i="51"/>
  <c r="AG20" i="51"/>
  <c r="AG13" i="51"/>
  <c r="AG13" i="280"/>
  <c r="X15" i="1105"/>
  <c r="W13" i="1114"/>
  <c r="AH18" i="51"/>
  <c r="Q48" i="1114"/>
  <c r="Q45" i="1114"/>
  <c r="N18" i="863"/>
  <c r="N22" i="863"/>
  <c r="N12" i="863"/>
  <c r="N20" i="863"/>
  <c r="N19" i="863"/>
  <c r="N21" i="863"/>
  <c r="P50" i="1114"/>
  <c r="C26" i="729"/>
  <c r="L37" i="313"/>
  <c r="AH15" i="51"/>
  <c r="AG18" i="63"/>
  <c r="AF33" i="280"/>
  <c r="AF37" i="280"/>
  <c r="AA36" i="67"/>
  <c r="AA34" i="67"/>
  <c r="AA20" i="67"/>
  <c r="T25" i="1105"/>
  <c r="Z20" i="280"/>
  <c r="Z85" i="51"/>
  <c r="Z87" i="51"/>
  <c r="Z106" i="51"/>
  <c r="Z109" i="51"/>
  <c r="AA108" i="51"/>
  <c r="S20" i="1114"/>
  <c r="S23" i="1114"/>
  <c r="S37" i="1114"/>
  <c r="S45" i="1114"/>
  <c r="C29" i="729"/>
  <c r="AF40" i="51"/>
  <c r="AF65" i="51"/>
  <c r="AF13" i="280"/>
  <c r="X13" i="1114"/>
  <c r="AG40" i="51"/>
  <c r="AG65" i="51"/>
  <c r="AH20" i="51"/>
  <c r="AH13" i="51"/>
  <c r="AH40" i="51"/>
  <c r="AH65" i="51"/>
  <c r="M8" i="863"/>
  <c r="M37" i="313"/>
  <c r="C27" i="729"/>
  <c r="L38" i="313"/>
  <c r="Q50" i="1114"/>
  <c r="Z13" i="1114"/>
  <c r="AA15" i="1105"/>
  <c r="AH18" i="63"/>
  <c r="AH33" i="280"/>
  <c r="AH37" i="280"/>
  <c r="AG33" i="280"/>
  <c r="AG37" i="280"/>
  <c r="AO20" i="280"/>
  <c r="Z23" i="280"/>
  <c r="Z39" i="280"/>
  <c r="Z41" i="280"/>
  <c r="AA77" i="51"/>
  <c r="AA37" i="67"/>
  <c r="AA38" i="67"/>
  <c r="Z15" i="1105"/>
  <c r="Y13" i="1114"/>
  <c r="AH13" i="280"/>
  <c r="AB15" i="1105"/>
  <c r="M41" i="863"/>
  <c r="M38" i="863"/>
  <c r="M29" i="863"/>
  <c r="M28" i="863"/>
  <c r="M34" i="863"/>
  <c r="M35" i="863"/>
  <c r="M42" i="863"/>
  <c r="M25" i="863"/>
  <c r="M32" i="863"/>
  <c r="M27" i="863"/>
  <c r="M33" i="863"/>
  <c r="M31" i="863"/>
  <c r="M26" i="863"/>
  <c r="N8" i="863"/>
  <c r="M38" i="313"/>
  <c r="M39" i="313"/>
  <c r="AB36" i="67"/>
  <c r="AB34" i="67"/>
  <c r="AB20" i="67"/>
  <c r="U25" i="1105"/>
  <c r="AA20" i="280"/>
  <c r="AA23" i="280"/>
  <c r="AA39" i="280"/>
  <c r="T20" i="1114"/>
  <c r="T23" i="1114"/>
  <c r="T37" i="1114"/>
  <c r="T45" i="1114"/>
  <c r="C30" i="729"/>
  <c r="AA85" i="51"/>
  <c r="AA87" i="51"/>
  <c r="AA106" i="51"/>
  <c r="AA109" i="51"/>
  <c r="AB108" i="51"/>
  <c r="M44" i="863"/>
  <c r="AA13" i="1114"/>
  <c r="M43" i="863"/>
  <c r="M48" i="863"/>
  <c r="M45" i="863"/>
  <c r="M46" i="863"/>
  <c r="M47" i="863"/>
  <c r="M51" i="863"/>
  <c r="N41" i="863"/>
  <c r="N38" i="863"/>
  <c r="N26" i="863"/>
  <c r="N28" i="863"/>
  <c r="N29" i="863"/>
  <c r="N25" i="863"/>
  <c r="N27" i="863"/>
  <c r="N31" i="863"/>
  <c r="N34" i="863"/>
  <c r="N32" i="863"/>
  <c r="N35" i="863"/>
  <c r="N42" i="863"/>
  <c r="N33" i="863"/>
  <c r="M49" i="863"/>
  <c r="M50" i="863"/>
  <c r="B28" i="729"/>
  <c r="AA41" i="280"/>
  <c r="AB77" i="51"/>
  <c r="AB37" i="67"/>
  <c r="AB38" i="67"/>
  <c r="N49" i="863"/>
  <c r="N45" i="863"/>
  <c r="N47" i="863"/>
  <c r="N44" i="863"/>
  <c r="N43" i="863"/>
  <c r="N51" i="863"/>
  <c r="N46" i="863"/>
  <c r="N50" i="863"/>
  <c r="N48" i="863"/>
  <c r="AC36" i="67"/>
  <c r="AC34" i="67"/>
  <c r="AC20" i="67"/>
  <c r="V25" i="1105"/>
  <c r="U20" i="1114"/>
  <c r="U23" i="1114"/>
  <c r="U37" i="1114"/>
  <c r="U45" i="1114"/>
  <c r="C31" i="729"/>
  <c r="AB20" i="280"/>
  <c r="AB23" i="280"/>
  <c r="AB39" i="280"/>
  <c r="AB85" i="51"/>
  <c r="AB87" i="51"/>
  <c r="AB106" i="51"/>
  <c r="AB109" i="51"/>
  <c r="AC108" i="51"/>
  <c r="AC77" i="51"/>
  <c r="AC37" i="67"/>
  <c r="AC38" i="67"/>
  <c r="AB41" i="280"/>
  <c r="B29" i="729"/>
  <c r="AD34" i="67"/>
  <c r="AD36" i="67"/>
  <c r="AD20" i="67"/>
  <c r="W25" i="1105"/>
  <c r="AC20" i="280"/>
  <c r="AC23" i="280"/>
  <c r="AC39" i="280"/>
  <c r="V20" i="1114"/>
  <c r="V23" i="1114"/>
  <c r="V37" i="1114"/>
  <c r="V45" i="1114"/>
  <c r="C32" i="729"/>
  <c r="AC85" i="51"/>
  <c r="AC87" i="51"/>
  <c r="AC106" i="51"/>
  <c r="AC109" i="51"/>
  <c r="AD108" i="51"/>
  <c r="B30" i="729"/>
  <c r="AC41" i="280"/>
  <c r="AD77" i="51"/>
  <c r="AD37" i="67"/>
  <c r="AD38" i="67"/>
  <c r="AE34" i="67"/>
  <c r="AE36" i="67"/>
  <c r="AE20" i="67"/>
  <c r="X25" i="1105"/>
  <c r="W20" i="1114"/>
  <c r="W23" i="1114"/>
  <c r="W37" i="1114"/>
  <c r="W45" i="1114"/>
  <c r="C33" i="729"/>
  <c r="AD20" i="280"/>
  <c r="AD23" i="280"/>
  <c r="AD39" i="280"/>
  <c r="AD85" i="51"/>
  <c r="AD87" i="51"/>
  <c r="AD106" i="51"/>
  <c r="AD109" i="51"/>
  <c r="AE108" i="51"/>
  <c r="B31" i="729"/>
  <c r="AD41" i="280"/>
  <c r="AE37" i="67"/>
  <c r="AE38" i="67"/>
  <c r="AE77" i="51"/>
  <c r="AF34" i="67"/>
  <c r="AF36" i="67"/>
  <c r="AF20" i="67"/>
  <c r="Y25" i="1105"/>
  <c r="AE20" i="280"/>
  <c r="AE23" i="280"/>
  <c r="AE39" i="280"/>
  <c r="X20" i="1114"/>
  <c r="X23" i="1114"/>
  <c r="X37" i="1114"/>
  <c r="X45" i="1114"/>
  <c r="AE85" i="51"/>
  <c r="AE87" i="51"/>
  <c r="AE106" i="51"/>
  <c r="AE109" i="51"/>
  <c r="AF108" i="51"/>
  <c r="B32" i="729"/>
  <c r="AE41" i="280"/>
  <c r="AF37" i="67"/>
  <c r="AF38" i="67"/>
  <c r="AF77" i="51"/>
  <c r="AG34" i="67"/>
  <c r="AG36" i="67"/>
  <c r="AG20" i="67"/>
  <c r="Z25" i="1105"/>
  <c r="AF20" i="280"/>
  <c r="AF23" i="280"/>
  <c r="AF39" i="280"/>
  <c r="Y20" i="1114"/>
  <c r="Y23" i="1114"/>
  <c r="Y37" i="1114"/>
  <c r="Y45" i="1114"/>
  <c r="AF85" i="51"/>
  <c r="AF87" i="51"/>
  <c r="AF106" i="51"/>
  <c r="AF109" i="51"/>
  <c r="AG108" i="51"/>
  <c r="B33" i="729"/>
  <c r="AF41" i="280"/>
  <c r="AG77" i="51"/>
  <c r="AG37" i="67"/>
  <c r="AG38" i="67"/>
  <c r="AH34" i="67"/>
  <c r="AH36" i="67"/>
  <c r="AH20" i="67"/>
  <c r="AA25" i="1105"/>
  <c r="Z20" i="1114"/>
  <c r="Z23" i="1114"/>
  <c r="Z37" i="1114"/>
  <c r="Z45" i="1114"/>
  <c r="AG20" i="280"/>
  <c r="AG23" i="280"/>
  <c r="AG39" i="280"/>
  <c r="AG41" i="280"/>
  <c r="AG85" i="51"/>
  <c r="AG87" i="51"/>
  <c r="AG106" i="51"/>
  <c r="AG109" i="51"/>
  <c r="AH108" i="51"/>
  <c r="AH37" i="67"/>
  <c r="AH38" i="67"/>
  <c r="AH77" i="51"/>
  <c r="AB25" i="1105"/>
  <c r="AH20" i="280"/>
  <c r="AH23" i="280"/>
  <c r="AH39" i="280"/>
  <c r="AH41" i="280"/>
  <c r="AA20" i="1114"/>
  <c r="AA23" i="1114"/>
  <c r="AA37" i="1114"/>
  <c r="AA45" i="1114"/>
  <c r="AH85" i="51"/>
  <c r="AH87" i="51"/>
  <c r="AH106" i="51"/>
  <c r="AH109" i="51"/>
  <c r="L85" i="1105"/>
  <c r="L84" i="1105"/>
  <c r="M84" i="1105"/>
  <c r="M88" i="1105"/>
  <c r="M87" i="1105"/>
  <c r="N11" i="1105"/>
  <c r="N27" i="1105"/>
  <c r="M138" i="1105"/>
  <c r="M137" i="1105"/>
  <c r="M136" i="1105"/>
  <c r="N26" i="1105"/>
  <c r="N24" i="1105"/>
  <c r="N34" i="1105"/>
  <c r="N55" i="1105"/>
  <c r="N63" i="1105"/>
  <c r="N82" i="1105"/>
  <c r="D23" i="729"/>
  <c r="N91" i="1105"/>
  <c r="N84" i="1105"/>
  <c r="N87" i="1105"/>
  <c r="N88" i="1105"/>
  <c r="O11" i="1105"/>
  <c r="E23" i="729"/>
  <c r="O90" i="1105"/>
  <c r="O27" i="1105"/>
  <c r="O78" i="1105"/>
  <c r="O80" i="1105"/>
  <c r="N138" i="1105"/>
  <c r="N137" i="1105"/>
  <c r="N136" i="1105"/>
  <c r="O26" i="1105"/>
  <c r="O24" i="1105"/>
  <c r="O34" i="1105"/>
  <c r="O55" i="1105"/>
  <c r="O63" i="1105"/>
  <c r="O82" i="1105"/>
  <c r="D24" i="729"/>
  <c r="O91" i="1105"/>
  <c r="O84" i="1105"/>
  <c r="P11" i="1105"/>
  <c r="O87" i="1105"/>
  <c r="E24" i="729"/>
  <c r="P90" i="1105"/>
  <c r="O137" i="1105"/>
  <c r="P26" i="1105"/>
  <c r="O88" i="1105"/>
  <c r="O138" i="1105"/>
  <c r="O136" i="1105"/>
  <c r="P78" i="1105"/>
  <c r="P80" i="1105"/>
  <c r="P27" i="1105"/>
  <c r="P24" i="1105"/>
  <c r="P34" i="1105"/>
  <c r="P55" i="1105"/>
  <c r="P63" i="1105"/>
  <c r="P82" i="1105"/>
  <c r="D25" i="729"/>
  <c r="P91" i="1105"/>
  <c r="P84" i="1105"/>
  <c r="P87" i="1105"/>
  <c r="Q11" i="1105"/>
  <c r="E25" i="729"/>
  <c r="Q90" i="1105"/>
  <c r="P137" i="1105"/>
  <c r="Q26" i="1105"/>
  <c r="P88" i="1105"/>
  <c r="Q27" i="1105"/>
  <c r="Q24" i="1105"/>
  <c r="Q34" i="1105"/>
  <c r="Q55" i="1105"/>
  <c r="Q63" i="1105"/>
  <c r="Q78" i="1105"/>
  <c r="Q80" i="1105"/>
  <c r="P138" i="1105"/>
  <c r="P136" i="1105"/>
  <c r="Q82" i="1105"/>
  <c r="D26" i="729"/>
  <c r="Q84" i="1105"/>
  <c r="Q91" i="1105"/>
  <c r="E26" i="729"/>
  <c r="R90" i="1105"/>
  <c r="Q87" i="1105"/>
  <c r="Q88" i="1105"/>
  <c r="R11" i="1105"/>
  <c r="Q138" i="1105"/>
  <c r="R78" i="1105"/>
  <c r="R80" i="1105"/>
  <c r="R27" i="1105"/>
  <c r="Q137" i="1105"/>
  <c r="Q136" i="1105"/>
  <c r="R26" i="1105"/>
  <c r="R24" i="1105"/>
  <c r="R34" i="1105"/>
  <c r="R55" i="1105"/>
  <c r="R63" i="1105"/>
  <c r="R82" i="1105"/>
  <c r="D27" i="729"/>
  <c r="R91" i="1105"/>
  <c r="R84" i="1105"/>
  <c r="R87" i="1105"/>
  <c r="S11" i="1105"/>
  <c r="E27" i="729"/>
  <c r="S90" i="1105"/>
  <c r="S26" i="1105"/>
  <c r="R137" i="1105"/>
  <c r="R88" i="1105"/>
  <c r="S78" i="1105"/>
  <c r="S80" i="1105"/>
  <c r="R138" i="1105"/>
  <c r="S27" i="1105"/>
  <c r="S24" i="1105"/>
  <c r="S34" i="1105"/>
  <c r="S55" i="1105"/>
  <c r="S63" i="1105"/>
  <c r="R136" i="1105"/>
  <c r="S82" i="1105"/>
  <c r="D28" i="729"/>
  <c r="S84" i="1105"/>
  <c r="S91" i="1105"/>
  <c r="T90" i="1105"/>
  <c r="E28" i="729"/>
  <c r="T11" i="1105"/>
  <c r="S87" i="1105"/>
  <c r="T26" i="1105"/>
  <c r="S88" i="1105"/>
  <c r="T78" i="1105"/>
  <c r="T80" i="1105"/>
  <c r="T27" i="1105"/>
  <c r="T24" i="1105"/>
  <c r="T34" i="1105"/>
  <c r="T55" i="1105"/>
  <c r="T63" i="1105"/>
  <c r="T82" i="1105"/>
  <c r="T84" i="1105"/>
  <c r="T87" i="1105"/>
  <c r="U26" i="1105"/>
  <c r="T91" i="1105"/>
  <c r="E29" i="729"/>
  <c r="D29" i="729"/>
  <c r="U11" i="1105"/>
  <c r="U90" i="1105"/>
  <c r="T88" i="1105"/>
  <c r="U78" i="1105"/>
  <c r="U80" i="1105"/>
  <c r="U27" i="1105"/>
  <c r="U24" i="1105"/>
  <c r="U34" i="1105"/>
  <c r="U55" i="1105"/>
  <c r="U63" i="1105"/>
  <c r="U82" i="1105"/>
  <c r="D30" i="729"/>
  <c r="U84" i="1105"/>
  <c r="U91" i="1105"/>
  <c r="E30" i="729"/>
  <c r="V90" i="1105"/>
  <c r="U87" i="1105"/>
  <c r="V26" i="1105"/>
  <c r="V11" i="1105"/>
  <c r="U88" i="1105"/>
  <c r="V78" i="1105"/>
  <c r="V80" i="1105"/>
  <c r="V27" i="1105"/>
  <c r="V24" i="1105"/>
  <c r="V34" i="1105"/>
  <c r="V55" i="1105"/>
  <c r="V63" i="1105"/>
  <c r="V82" i="1105"/>
  <c r="V84" i="1105"/>
  <c r="V87" i="1105"/>
  <c r="W26" i="1105"/>
  <c r="V91" i="1105"/>
  <c r="W90" i="1105"/>
  <c r="D31" i="729"/>
  <c r="E31" i="729"/>
  <c r="W11" i="1105"/>
  <c r="V88" i="1105"/>
  <c r="W27" i="1105"/>
  <c r="W24" i="1105"/>
  <c r="W34" i="1105"/>
  <c r="W55" i="1105"/>
  <c r="W63" i="1105"/>
  <c r="W78" i="1105"/>
  <c r="W80" i="1105"/>
  <c r="W82" i="1105"/>
  <c r="D32" i="729"/>
  <c r="W84" i="1105"/>
  <c r="W91" i="1105"/>
  <c r="E32" i="729"/>
  <c r="X90" i="1105"/>
  <c r="W87" i="1105"/>
  <c r="X26" i="1105"/>
  <c r="X11" i="1105"/>
  <c r="W88" i="1105"/>
  <c r="X27" i="1105"/>
  <c r="X24" i="1105"/>
  <c r="X34" i="1105"/>
  <c r="X55" i="1105"/>
  <c r="X63" i="1105"/>
  <c r="X78" i="1105"/>
  <c r="X80" i="1105"/>
  <c r="X82" i="1105"/>
  <c r="D33" i="729"/>
  <c r="X84" i="1105"/>
  <c r="X91" i="1105"/>
  <c r="Y90" i="1105"/>
  <c r="E33" i="729"/>
  <c r="X87" i="1105"/>
  <c r="Y26" i="1105"/>
  <c r="Y11" i="1105"/>
  <c r="X88" i="1105"/>
  <c r="Y27" i="1105"/>
  <c r="Y24" i="1105"/>
  <c r="Y34" i="1105"/>
  <c r="Y55" i="1105"/>
  <c r="Y63" i="1105"/>
  <c r="Y78" i="1105"/>
  <c r="Y80" i="1105"/>
  <c r="Y82" i="1105"/>
  <c r="Y91" i="1105"/>
  <c r="Y84" i="1105"/>
  <c r="Y87" i="1105"/>
  <c r="Z26" i="1105"/>
  <c r="Z11" i="1105"/>
  <c r="Z90" i="1105"/>
  <c r="Y88" i="1105"/>
  <c r="Z27" i="1105"/>
  <c r="Z24" i="1105"/>
  <c r="Z34" i="1105"/>
  <c r="Z55" i="1105"/>
  <c r="Z63" i="1105"/>
  <c r="Z78" i="1105"/>
  <c r="Z80" i="1105"/>
  <c r="Z82" i="1105"/>
  <c r="Z84" i="1105"/>
  <c r="Z91" i="1105"/>
  <c r="AA90" i="1105"/>
  <c r="Z87" i="1105"/>
  <c r="AA26" i="1105"/>
  <c r="AA11" i="1105"/>
  <c r="Z88" i="1105"/>
  <c r="AA78" i="1105"/>
  <c r="AA80" i="1105"/>
  <c r="AA27" i="1105"/>
  <c r="AA24" i="1105"/>
  <c r="AA34" i="1105"/>
  <c r="AA55" i="1105"/>
  <c r="AA63" i="1105"/>
  <c r="AA82" i="1105"/>
  <c r="AA91" i="1105"/>
  <c r="AA84" i="1105"/>
  <c r="AB11" i="1105"/>
  <c r="AA87" i="1105"/>
  <c r="AB26" i="1105"/>
  <c r="AB90" i="1105"/>
  <c r="AA88" i="1105"/>
  <c r="AB78" i="1105"/>
  <c r="AB80" i="1105"/>
  <c r="AB27" i="1105"/>
  <c r="AB24" i="1105"/>
  <c r="AB34" i="1105"/>
  <c r="AB55" i="1105"/>
  <c r="AB63" i="1105"/>
  <c r="AB82" i="1105"/>
  <c r="AB84" i="1105"/>
  <c r="AB91" i="1105"/>
  <c r="AB87" i="1105"/>
  <c r="AB88" i="1105"/>
  <c r="R29" i="67"/>
  <c r="Q42" i="67"/>
  <c r="P42" i="67"/>
  <c r="O42" i="67"/>
  <c r="Q27" i="67"/>
  <c r="Q28" i="67"/>
  <c r="P27" i="67"/>
  <c r="P28" i="67"/>
  <c r="N42" i="67"/>
  <c r="M42" i="67"/>
  <c r="L42" i="67"/>
  <c r="O27" i="67"/>
  <c r="O28" i="67"/>
  <c r="N27" i="67"/>
  <c r="N28" i="67"/>
  <c r="M27" i="67"/>
  <c r="M28" i="67"/>
  <c r="R27" i="67"/>
  <c r="S27" i="67"/>
  <c r="S29" i="67"/>
  <c r="T29" i="67"/>
  <c r="T18" i="67"/>
  <c r="T30" i="67"/>
  <c r="T31" i="67"/>
  <c r="U27" i="67"/>
  <c r="U29" i="67"/>
  <c r="U18" i="67"/>
  <c r="U30" i="67"/>
  <c r="U31" i="67"/>
  <c r="V27" i="67"/>
  <c r="V29" i="67"/>
  <c r="V18" i="67"/>
  <c r="V30" i="67"/>
  <c r="V31" i="67"/>
  <c r="W27" i="67"/>
  <c r="W29" i="67"/>
  <c r="W18" i="67"/>
  <c r="W30" i="67"/>
  <c r="W31" i="67"/>
  <c r="X27" i="67"/>
  <c r="X29" i="67"/>
  <c r="X18" i="67"/>
  <c r="X30" i="67"/>
  <c r="X31" i="67"/>
  <c r="Y27" i="67"/>
  <c r="Y29" i="67"/>
  <c r="Y18" i="67"/>
  <c r="Y30" i="67"/>
  <c r="Y31" i="67"/>
  <c r="Z27" i="67"/>
  <c r="Z29" i="67"/>
  <c r="Z18" i="67"/>
  <c r="Z30" i="67"/>
  <c r="Z31" i="67"/>
  <c r="AA27" i="67"/>
  <c r="AA29" i="67"/>
  <c r="AA18" i="67"/>
  <c r="AA30" i="67"/>
  <c r="AA31" i="67"/>
  <c r="AB27" i="67"/>
  <c r="AB29" i="67"/>
  <c r="AB18" i="67"/>
  <c r="AB30" i="67"/>
  <c r="AB31" i="67"/>
  <c r="AC27" i="67"/>
  <c r="AC29" i="67"/>
  <c r="AC18" i="67"/>
  <c r="AC30" i="67"/>
  <c r="AC31" i="67"/>
  <c r="AD27" i="67"/>
  <c r="AD29" i="67"/>
  <c r="AD18" i="67"/>
  <c r="AD30" i="67"/>
  <c r="AD31" i="67"/>
  <c r="AE27" i="67"/>
  <c r="AE29" i="67"/>
  <c r="AE18" i="67"/>
  <c r="AE30" i="67"/>
  <c r="AE31" i="67"/>
  <c r="AF27" i="67"/>
  <c r="AF29" i="67"/>
  <c r="AF18" i="67"/>
  <c r="AF30" i="67"/>
  <c r="AF31" i="67"/>
  <c r="AG27" i="67"/>
  <c r="AG29" i="67"/>
  <c r="AG18" i="67"/>
  <c r="AG30" i="67"/>
  <c r="AG31" i="67"/>
  <c r="AH27" i="67"/>
  <c r="AH29" i="67"/>
  <c r="AH18" i="67"/>
  <c r="AH30" i="67"/>
  <c r="AH31" i="67"/>
  <c r="AH42" i="67"/>
  <c r="AH22" i="67"/>
  <c r="AG42" i="67"/>
  <c r="AG22" i="67"/>
  <c r="AF42" i="67"/>
  <c r="AF22" i="67"/>
  <c r="AE42" i="67"/>
  <c r="AE22" i="67"/>
  <c r="AD42" i="67"/>
  <c r="AD22" i="67"/>
  <c r="AC42" i="67"/>
  <c r="AC22" i="67"/>
  <c r="AB42" i="67"/>
  <c r="AB22" i="67"/>
  <c r="AA42" i="67"/>
  <c r="AA22" i="67"/>
  <c r="Z42" i="67"/>
  <c r="Z22" i="67"/>
  <c r="Y42" i="67"/>
  <c r="Y22" i="67"/>
  <c r="X42" i="67"/>
  <c r="X22" i="67"/>
  <c r="W42" i="67"/>
  <c r="W22" i="67"/>
  <c r="V42" i="67"/>
  <c r="V22" i="67"/>
  <c r="U42" i="67"/>
  <c r="U22" i="67"/>
  <c r="T42" i="67"/>
  <c r="S42" i="67"/>
  <c r="T22" i="67"/>
  <c r="R42" i="67"/>
  <c r="L28" i="67"/>
</calcChain>
</file>

<file path=xl/sharedStrings.xml><?xml version="1.0" encoding="utf-8"?>
<sst xmlns="http://schemas.openxmlformats.org/spreadsheetml/2006/main" count="743" uniqueCount="415">
  <si>
    <t>(dollars in thousands unless noted)</t>
  </si>
  <si>
    <t>Actuals</t>
  </si>
  <si>
    <t>Projected Year End June 30,</t>
  </si>
  <si>
    <t>Case</t>
  </si>
  <si>
    <t>Utilities</t>
  </si>
  <si>
    <t>Inflation</t>
  </si>
  <si>
    <t>Processing</t>
  </si>
  <si>
    <t>Unit</t>
  </si>
  <si>
    <t>Benefits</t>
  </si>
  <si>
    <t>Scholarships and Fellowships</t>
  </si>
  <si>
    <t>Supplies and Materials</t>
  </si>
  <si>
    <t>Other Operating Expenses</t>
  </si>
  <si>
    <t>S</t>
  </si>
  <si>
    <t>O</t>
  </si>
  <si>
    <t>D</t>
  </si>
  <si>
    <t>U</t>
  </si>
  <si>
    <t>M</t>
  </si>
  <si>
    <t>Operating Expenses</t>
  </si>
  <si>
    <t>Operating Revenues</t>
  </si>
  <si>
    <t>Depreciation and Amortization</t>
  </si>
  <si>
    <t>Salaries and Wages</t>
  </si>
  <si>
    <t>Other Operating Revenues, net</t>
  </si>
  <si>
    <t>Auxiliary Enterprises, net</t>
  </si>
  <si>
    <t>Educational Activities, net</t>
  </si>
  <si>
    <t>Student Tuition and Fees, net</t>
  </si>
  <si>
    <t>State educational appropriations</t>
  </si>
  <si>
    <t>State financing appropriations</t>
  </si>
  <si>
    <t>Private gifts, net</t>
  </si>
  <si>
    <t>Gain (loss) on disposal of capital assets</t>
  </si>
  <si>
    <t>Other nonoperating revenues</t>
  </si>
  <si>
    <t>State capital appropriations</t>
  </si>
  <si>
    <t>Capital gifts and grants, net</t>
  </si>
  <si>
    <t>Transfers (Note 10)</t>
  </si>
  <si>
    <t>Other Changes in Net Assets</t>
  </si>
  <si>
    <t>Fees Per Student (in dollars)</t>
  </si>
  <si>
    <t>Undergraduate</t>
  </si>
  <si>
    <t>Graduate Professional</t>
  </si>
  <si>
    <t>Law</t>
  </si>
  <si>
    <t>Optometry</t>
  </si>
  <si>
    <t>Public Policy</t>
  </si>
  <si>
    <t>Evening MBA</t>
  </si>
  <si>
    <t>Executive MBA</t>
  </si>
  <si>
    <t>Financial Engineering</t>
  </si>
  <si>
    <t>Self-Supporting Graduates</t>
  </si>
  <si>
    <t>Graduate Academic</t>
  </si>
  <si>
    <t>Athletics</t>
  </si>
  <si>
    <t>Grants and Contracts, net</t>
  </si>
  <si>
    <t>Debt Schedule</t>
  </si>
  <si>
    <t>Assumptions</t>
  </si>
  <si>
    <t>Housing</t>
  </si>
  <si>
    <t>Parking</t>
  </si>
  <si>
    <t>Total Required Debt Service</t>
  </si>
  <si>
    <t>Capital projects funding</t>
  </si>
  <si>
    <t>Other operating funding</t>
  </si>
  <si>
    <t>Endowment Balances</t>
  </si>
  <si>
    <t>Endowment</t>
  </si>
  <si>
    <t>Total Endowment Payout</t>
  </si>
  <si>
    <t>Foundation Endowment Payout Rate</t>
  </si>
  <si>
    <t>Regents Endowment Payout Rate</t>
  </si>
  <si>
    <t>FP</t>
  </si>
  <si>
    <t>RP</t>
  </si>
  <si>
    <t>FG</t>
  </si>
  <si>
    <t>RG</t>
  </si>
  <si>
    <t>Tuition and Fees</t>
  </si>
  <si>
    <t>Contra Stud Tuition&amp;Fees-FA</t>
  </si>
  <si>
    <t>Other Student Fees</t>
  </si>
  <si>
    <t>Public Health</t>
  </si>
  <si>
    <t>Campus debt service plus capital lease debt service</t>
  </si>
  <si>
    <t>STIP</t>
  </si>
  <si>
    <t>Ending balance</t>
  </si>
  <si>
    <t>Beginning balance</t>
  </si>
  <si>
    <t>Contributions</t>
  </si>
  <si>
    <t>Gains</t>
  </si>
  <si>
    <t>Beginning Balance</t>
  </si>
  <si>
    <t>Payout</t>
  </si>
  <si>
    <t>Gifts to Foundation endowment %</t>
  </si>
  <si>
    <t xml:space="preserve">% gifts to endowment </t>
  </si>
  <si>
    <t>Gifts and Pledges</t>
  </si>
  <si>
    <t>Federal Pell grants</t>
  </si>
  <si>
    <t>State general support</t>
  </si>
  <si>
    <t>Federal ARRA stimulus support</t>
  </si>
  <si>
    <t>Investment income:</t>
  </si>
  <si>
    <t>Endowment, net</t>
  </si>
  <si>
    <t>Interest expense</t>
  </si>
  <si>
    <t>Private gifts</t>
  </si>
  <si>
    <t>TRIP</t>
  </si>
  <si>
    <t>Build America Bonds federal interest subsidies</t>
  </si>
  <si>
    <t>Income (loss) before other changes in net assets</t>
  </si>
  <si>
    <t>Net assets, end of year</t>
  </si>
  <si>
    <t>Total operating revenues</t>
  </si>
  <si>
    <t>Total operating expenses</t>
  </si>
  <si>
    <t>Net nonoperating revenues (expenses)</t>
  </si>
  <si>
    <t>Nonoperating Revenues (Expenses)</t>
  </si>
  <si>
    <t>Total other changes in net assets</t>
  </si>
  <si>
    <t>Increase (decrease) in net assets</t>
  </si>
  <si>
    <t>Net assets, beginning of year</t>
  </si>
  <si>
    <t>% of salary; UCRP goes up to 20% by itself</t>
  </si>
  <si>
    <t>Statements of Revenues, Expenses and Changes in Net Assets - Assumptions</t>
  </si>
  <si>
    <t>x</t>
  </si>
  <si>
    <t>BAB fed int subsidies</t>
  </si>
  <si>
    <t>% change in fee in out years; enrollment fixed</t>
  </si>
  <si>
    <t>Total Self-Supporting Graduates</t>
  </si>
  <si>
    <t>Business</t>
  </si>
  <si>
    <t>HMS</t>
  </si>
  <si>
    <t>Env Design</t>
  </si>
  <si>
    <t>Social Welfare</t>
  </si>
  <si>
    <t>Pub Hlth Online</t>
  </si>
  <si>
    <t>Total Graduate Professional revenue</t>
  </si>
  <si>
    <t>Other fee revenue</t>
  </si>
  <si>
    <t>Hard to estimate. Projected at zero</t>
  </si>
  <si>
    <t>Tuition</t>
  </si>
  <si>
    <t>Non Resident Supplemental Tuition</t>
  </si>
  <si>
    <t>Student Services Fee</t>
  </si>
  <si>
    <t>Indirect cost recovery, net</t>
  </si>
  <si>
    <t>Funds functioning as endowments</t>
  </si>
  <si>
    <t>Debt Service</t>
  </si>
  <si>
    <t>Sub-awards</t>
  </si>
  <si>
    <t>Miscellaneous Services</t>
  </si>
  <si>
    <t>Travel</t>
  </si>
  <si>
    <t>Recharge</t>
  </si>
  <si>
    <t>Projected at zero.</t>
  </si>
  <si>
    <t xml:space="preserve">Flat. </t>
  </si>
  <si>
    <t>Miscellaneous auxiliary</t>
  </si>
  <si>
    <t>Contra - Financial Aid</t>
  </si>
  <si>
    <t>Return to Aid increment</t>
  </si>
  <si>
    <t>grows with tuition</t>
  </si>
  <si>
    <t>Revenues</t>
  </si>
  <si>
    <t>Other revenues, net</t>
  </si>
  <si>
    <t>Investment income</t>
  </si>
  <si>
    <t>Revenues supporting core activities</t>
  </si>
  <si>
    <t>Expenses</t>
  </si>
  <si>
    <t>Income (loss) from core activities</t>
  </si>
  <si>
    <t>Expenses associated with core activities</t>
  </si>
  <si>
    <t>Income (loss) as % of revenues</t>
  </si>
  <si>
    <t>3% , but only inflation next 2 years</t>
  </si>
  <si>
    <t>% of incoming class (not growth rate)</t>
  </si>
  <si>
    <t>(this % plus inflation)</t>
  </si>
  <si>
    <t>flat (this % only)</t>
  </si>
  <si>
    <t>Goes away (not linked to these growth rates)</t>
  </si>
  <si>
    <t>capital lease $$ from debt schedule (not linked here)</t>
  </si>
  <si>
    <t>fixed subsidy (not linked here)</t>
  </si>
  <si>
    <t>See endowment module (not linked here)</t>
  </si>
  <si>
    <t>(this % ONLY -- no inflation)</t>
  </si>
  <si>
    <t>with inflation ONLY</t>
  </si>
  <si>
    <t>Operational Excellence savings</t>
  </si>
  <si>
    <t>State Capital lease (from Notes to Financial Statements)</t>
  </si>
  <si>
    <t>* Required Debt Service taken from Campus Debt Capacity Model dated April 6, 2011 and includes financed, approved, and proposed projects.</t>
  </si>
  <si>
    <t>Regents GEP</t>
  </si>
  <si>
    <t>Foundation Endowment</t>
  </si>
  <si>
    <t>Benefits as % of salary</t>
  </si>
  <si>
    <t>FY12 Budget Cut</t>
  </si>
  <si>
    <t>Regents endowment payout</t>
  </si>
  <si>
    <t xml:space="preserve">Tuition </t>
  </si>
  <si>
    <t>YES</t>
  </si>
  <si>
    <t>Benefits &amp; Retirement</t>
  </si>
  <si>
    <t>Foundation endowment payout</t>
  </si>
  <si>
    <t>from Tuition sheet; grows by 1/3 of tuition increment</t>
  </si>
  <si>
    <t>driven from assumptions on MD&amp;A worksheet</t>
  </si>
  <si>
    <t>driven from assumptions on endowment worksheet</t>
  </si>
  <si>
    <t>not modeled</t>
  </si>
  <si>
    <t>driven from Tuition worksheet</t>
  </si>
  <si>
    <t>Gift Fee</t>
  </si>
  <si>
    <t>less: gift fee</t>
  </si>
  <si>
    <t>Gifts, net</t>
  </si>
  <si>
    <t>Per FDY, UCOP basecase =  8%/year</t>
  </si>
  <si>
    <t>UCOP Assessment</t>
  </si>
  <si>
    <t>Federal</t>
  </si>
  <si>
    <t>State</t>
  </si>
  <si>
    <t>Local</t>
  </si>
  <si>
    <t>Private</t>
  </si>
  <si>
    <t>Grants and Contracts, State, Local, and Private</t>
  </si>
  <si>
    <t>Grants and Contracts, Federal</t>
  </si>
  <si>
    <t>Federal Grants (real growth)</t>
  </si>
  <si>
    <t>Federal Grants and Contracts, net</t>
  </si>
  <si>
    <t>Other Grants and Contracts, net</t>
  </si>
  <si>
    <t>Other Grants (real growth)</t>
  </si>
  <si>
    <t>Salaries (nominal)</t>
  </si>
  <si>
    <t xml:space="preserve">UCOP </t>
  </si>
  <si>
    <t>Tuition and fees (nominal)</t>
  </si>
  <si>
    <t>Other Operating Expenses (real)</t>
  </si>
  <si>
    <t>Tuition and fees, net = sum of fees less return to aid</t>
  </si>
  <si>
    <t>Undergraduate - Total</t>
  </si>
  <si>
    <t>Graduate Academic - total</t>
  </si>
  <si>
    <t>Graduate Professional - total</t>
  </si>
  <si>
    <t>Graduate Professional - nonresident</t>
  </si>
  <si>
    <t>Depreciation of Buildings &amp; Structures</t>
  </si>
  <si>
    <t>Tuition (Ed Fee)</t>
  </si>
  <si>
    <t>Student Services Fee (Reg Fee)</t>
  </si>
  <si>
    <t>Non Resident Supplemental Tuition (NRT)</t>
  </si>
  <si>
    <t xml:space="preserve">Self-Supporting Programs </t>
  </si>
  <si>
    <t>Assumes that total enrollment is fixed; NR assumption changes % of nonresident payers</t>
  </si>
  <si>
    <t>Private Gifts (real growth)</t>
  </si>
  <si>
    <t>State funding (nominal)</t>
  </si>
  <si>
    <t>% Non-resident undergraduates</t>
  </si>
  <si>
    <t>Endowment growth rate (nominal)</t>
  </si>
  <si>
    <t>Base Case</t>
  </si>
  <si>
    <t>Depreciation of Capital Assets</t>
  </si>
  <si>
    <t>As a % of Salary</t>
  </si>
  <si>
    <t>531XX - Payroll Taxes</t>
  </si>
  <si>
    <t>532XX - Workers' Comp Insurance</t>
  </si>
  <si>
    <t>53300 - Unemployment Insurance</t>
  </si>
  <si>
    <t>53700 - Employer UCRP Contribution</t>
  </si>
  <si>
    <t>As growth %</t>
  </si>
  <si>
    <t>534XX - Health Insurance</t>
  </si>
  <si>
    <t>535XX - Life Insurance</t>
  </si>
  <si>
    <t>536XX - Disability</t>
  </si>
  <si>
    <t>53704 - Emplyr UC Retiree Hlth Ben Con</t>
  </si>
  <si>
    <t>538XX - Tuition Reimbursement</t>
  </si>
  <si>
    <t>Total Benefits</t>
  </si>
  <si>
    <t>Total Salary Expense from SRECNA</t>
  </si>
  <si>
    <t>Benefits percentage</t>
  </si>
  <si>
    <t>Educational Activities, and Aux</t>
  </si>
  <si>
    <t>State UCRP contribution</t>
  </si>
  <si>
    <t>State- other augmentation</t>
  </si>
  <si>
    <t>State - reductions</t>
  </si>
  <si>
    <t>Communications (phone, mail, delivery)</t>
  </si>
  <si>
    <t>Maintenance &amp; Services</t>
  </si>
  <si>
    <t xml:space="preserve">NRT growth (real) </t>
  </si>
  <si>
    <t>Repayment of Principal</t>
  </si>
  <si>
    <t>Transfers of net capital assets</t>
  </si>
  <si>
    <t>Student Tuition</t>
  </si>
  <si>
    <t>Endowment Cost Recovery Fees</t>
  </si>
  <si>
    <t>2011A</t>
  </si>
  <si>
    <t>2012A</t>
  </si>
  <si>
    <t>Additional State funding</t>
  </si>
  <si>
    <t>MD&amp;A - Operating performance  (Base Case)</t>
  </si>
  <si>
    <t>Enter Year 1</t>
  </si>
  <si>
    <t>Enter Year 2</t>
  </si>
  <si>
    <t>Variance</t>
  </si>
  <si>
    <t>$</t>
  </si>
  <si>
    <t>%</t>
  </si>
  <si>
    <t>BASE</t>
  </si>
  <si>
    <t>2. Bottom Line</t>
  </si>
  <si>
    <t>3.  Assumptions</t>
  </si>
  <si>
    <t>1.  Metrics</t>
  </si>
  <si>
    <t>Scenario</t>
  </si>
  <si>
    <t>Educational Activities, net (real)</t>
  </si>
  <si>
    <t>Auxiliary Enterprises, net (real)</t>
  </si>
  <si>
    <t>Other Operating Revenues, net (real)</t>
  </si>
  <si>
    <t>Gain/(Loss)</t>
  </si>
  <si>
    <t>CAGR</t>
  </si>
  <si>
    <t>Percentage of Employees UCRP eligible</t>
  </si>
  <si>
    <t xml:space="preserve">NRT growth (nominal) </t>
  </si>
  <si>
    <t>Category</t>
  </si>
  <si>
    <t>Benefits percentage - URCP CAP16%</t>
  </si>
  <si>
    <t>Benefits percentage - URCP CAP14%</t>
  </si>
  <si>
    <t>2013A</t>
  </si>
  <si>
    <t>Compare Years:</t>
  </si>
  <si>
    <t>Impact</t>
  </si>
  <si>
    <t>Control</t>
  </si>
  <si>
    <t>Investments</t>
  </si>
  <si>
    <t>Forecast</t>
  </si>
  <si>
    <t>Baseline</t>
    <phoneticPr fontId="22" type="noConversion"/>
  </si>
  <si>
    <t>Revenue</t>
    <phoneticPr fontId="22" type="noConversion"/>
  </si>
  <si>
    <t>Expenses</t>
    <phoneticPr fontId="22" type="noConversion"/>
  </si>
  <si>
    <t>B_sigma</t>
    <phoneticPr fontId="22" type="noConversion"/>
  </si>
  <si>
    <t>A_sigma</t>
    <phoneticPr fontId="22" type="noConversion"/>
  </si>
  <si>
    <t>R_sigma</t>
    <phoneticPr fontId="22" type="noConversion"/>
  </si>
  <si>
    <t>E_sigma</t>
    <phoneticPr fontId="22" type="noConversion"/>
  </si>
  <si>
    <t>Error</t>
    <phoneticPr fontId="22" type="noConversion"/>
  </si>
  <si>
    <t>Below</t>
    <phoneticPr fontId="22" type="noConversion"/>
  </si>
  <si>
    <t>Above</t>
    <phoneticPr fontId="22" type="noConversion"/>
  </si>
  <si>
    <t>Projected</t>
    <phoneticPr fontId="22" type="noConversion"/>
  </si>
  <si>
    <t>normsinv (p value) * SD</t>
  </si>
  <si>
    <t>Uncertainty</t>
  </si>
  <si>
    <t>CONFIDENCE INTERVAL CALCULATION</t>
  </si>
  <si>
    <t>Surplus</t>
  </si>
  <si>
    <t>Probability</t>
  </si>
  <si>
    <t>Health &amp; Medical Sciences (HMS)</t>
  </si>
  <si>
    <t>PDP - MS in Chem Eng</t>
  </si>
  <si>
    <t>Statistics</t>
  </si>
  <si>
    <t>Dev Practice (MDP)</t>
  </si>
  <si>
    <t>Trans Medicine (MTM)</t>
  </si>
  <si>
    <t>Optometry (OD)</t>
  </si>
  <si>
    <t>Trans Medicine (MDM)</t>
  </si>
  <si>
    <t>Information (MIMS)</t>
  </si>
  <si>
    <t>Informations (MIDS)</t>
  </si>
  <si>
    <t>Information (MIDS)</t>
  </si>
  <si>
    <t>LLM - Prof</t>
  </si>
  <si>
    <t>LLM - Traditional</t>
  </si>
  <si>
    <t>LLM - Trad</t>
  </si>
  <si>
    <t>Env Design - Residents</t>
  </si>
  <si>
    <t>Env Design - Non-Residents</t>
  </si>
  <si>
    <t>Information (MIMS) - Residents</t>
  </si>
  <si>
    <t>Information (MIMS) - Non-Residents</t>
  </si>
  <si>
    <t>Health &amp; Med Sciences - Residents</t>
  </si>
  <si>
    <t>Health &amp; Med Sciences - Non-Residents</t>
  </si>
  <si>
    <t>Dev Practive (MDP) - Residents</t>
  </si>
  <si>
    <t>Dev Practive (MDP) - Non-Residents</t>
  </si>
  <si>
    <t>Optometry (OD) - Residents</t>
  </si>
  <si>
    <t>Optometry (OD) - Non-Residents</t>
  </si>
  <si>
    <t>Statistics - Residents</t>
  </si>
  <si>
    <t>Statistics - Non-Residents</t>
  </si>
  <si>
    <t>Trans Medicine (MTM) - Residents</t>
  </si>
  <si>
    <t>Trans Medicine (MTM) - Non-Residents</t>
  </si>
  <si>
    <t>Public Health - Residents</t>
  </si>
  <si>
    <t>Public Health - Non-Residents</t>
  </si>
  <si>
    <t>Social Welfare - Residents</t>
  </si>
  <si>
    <t>Social Welfare - Non-Residents</t>
  </si>
  <si>
    <t>NRT Exemptions</t>
  </si>
  <si>
    <t>Exceptional Income</t>
  </si>
  <si>
    <t>Other Benefits</t>
  </si>
  <si>
    <t>Revenue = Enrollment x Fee</t>
  </si>
  <si>
    <t>Tuition (UG)</t>
  </si>
  <si>
    <t>Tuition (Grad)</t>
  </si>
  <si>
    <t>Tuition Exemptions/Refunds</t>
  </si>
  <si>
    <t>Total Tuition (Ed Fee)</t>
  </si>
  <si>
    <t>Tuition discount factor %</t>
  </si>
  <si>
    <t>NR Tuition discount factor %</t>
  </si>
  <si>
    <t>PDST Fee Growth</t>
  </si>
  <si>
    <t>Self-Supporting Fee Growth</t>
  </si>
  <si>
    <t>Return to aid = 1/3 of UG tuition increase, 1/2 of Gr Tuition increase, 1/3 of SSF increase, 1/3 of PDST increase</t>
  </si>
  <si>
    <t>Net Total Tuition and Fees</t>
  </si>
  <si>
    <t>Growth Other Student Fees</t>
  </si>
  <si>
    <t>53700 &amp; 53706 - Employer UCRP Contribution</t>
  </si>
  <si>
    <t>53700 &amp; 53706 - Employer UCRP Contribution - CAP16%</t>
  </si>
  <si>
    <t>53700 &amp; 53706 - Employer UCRP Contribution - CAP14%</t>
  </si>
  <si>
    <t>NR UG enrollment - Gross</t>
  </si>
  <si>
    <t>Total UG enrollment Growth</t>
  </si>
  <si>
    <t>MAS - Integrated Circuits (Eng)</t>
  </si>
  <si>
    <t>Engineering (M. Eng.)</t>
  </si>
  <si>
    <t>M. Engin (Part-Time)</t>
  </si>
  <si>
    <t>Enrollment by Headcount (CalAnswers)</t>
  </si>
  <si>
    <t>Undergraduate - Resident</t>
  </si>
  <si>
    <t>Undergraduate - Nonresident</t>
  </si>
  <si>
    <t>Business - Resident</t>
  </si>
  <si>
    <t>Law - Resident</t>
  </si>
  <si>
    <t>Engineering (M. Eng.) - Resident</t>
  </si>
  <si>
    <t>PDP - MS in Chem Eng - Resident</t>
  </si>
  <si>
    <t>Public Policy - Resident</t>
  </si>
  <si>
    <t>Business - Nonresident</t>
  </si>
  <si>
    <t>Law - Nonresident</t>
  </si>
  <si>
    <t>Engineering (M. Eng.) - Nonresident</t>
  </si>
  <si>
    <t>PDP - MS in Chem Eng - Nonresident</t>
  </si>
  <si>
    <t>Public Policy - Nonresident</t>
  </si>
  <si>
    <t>Nonresident Supplemental Tuition</t>
  </si>
  <si>
    <t>Graduate Professional - resident</t>
  </si>
  <si>
    <t>Graduate Academic - Resident</t>
  </si>
  <si>
    <t>Graduate Academic NR (5,6 - Grad Prof NR)</t>
  </si>
  <si>
    <t>Total Nonresident Tuition</t>
  </si>
  <si>
    <t>Nonresident Tuition</t>
  </si>
  <si>
    <t>CAPPED(14%)</t>
  </si>
  <si>
    <t>Graduate Academic NR Advanced (7,8)</t>
  </si>
  <si>
    <t>Changes in Working Capital</t>
  </si>
  <si>
    <t>Net Cash Flow from Capital</t>
  </si>
  <si>
    <t>Net Cash Flow from Operations</t>
  </si>
  <si>
    <t>Other Operating Expenses (nominal)</t>
  </si>
  <si>
    <t>NRST Grad Students</t>
  </si>
  <si>
    <t>Gross Operating Income</t>
  </si>
  <si>
    <t>Net Income</t>
  </si>
  <si>
    <t>Cash Flow</t>
  </si>
  <si>
    <t>BASE CASE</t>
  </si>
  <si>
    <t>SCENARIOS</t>
  </si>
  <si>
    <t>Net Operating Income</t>
  </si>
  <si>
    <t>Select Portfolio&gt;&gt;</t>
  </si>
  <si>
    <t>Initiative Description</t>
  </si>
  <si>
    <t>Time to Benefits</t>
  </si>
  <si>
    <t>FY16</t>
  </si>
  <si>
    <t>FY17</t>
  </si>
  <si>
    <t>FY18</t>
  </si>
  <si>
    <t>FY19</t>
  </si>
  <si>
    <t>FY20</t>
  </si>
  <si>
    <t>Select Scenario&gt;&gt;</t>
  </si>
  <si>
    <t>Change in Position</t>
  </si>
  <si>
    <t>New Initiatives</t>
  </si>
  <si>
    <t>PDST and Self Supporting Programs</t>
  </si>
  <si>
    <t>Invest. Gifts Discount&gt;&gt;</t>
  </si>
  <si>
    <t>Ending Balance</t>
  </si>
  <si>
    <t>Total Change in Cash &amp; Investments</t>
  </si>
  <si>
    <t>Net Cash Flow from Investments</t>
  </si>
  <si>
    <t>Total Depreciation and Interest Expense</t>
  </si>
  <si>
    <t xml:space="preserve">Capital </t>
  </si>
  <si>
    <t>Simplified Cash Flow statement (Base Case)</t>
  </si>
  <si>
    <t>Other Changes from Non-Capital Financing</t>
  </si>
  <si>
    <t>Child care and student health services</t>
  </si>
  <si>
    <r>
      <t>Recreational Sports</t>
    </r>
    <r>
      <rPr>
        <i/>
        <vertAlign val="superscript"/>
        <sz val="8"/>
        <color rgb="FF0070C0"/>
        <rFont val="Arial"/>
        <family val="2"/>
      </rPr>
      <t>1</t>
    </r>
    <r>
      <rPr>
        <i/>
        <sz val="8"/>
        <color rgb="FF0070C0"/>
        <rFont val="Arial"/>
        <family val="2"/>
      </rPr>
      <t xml:space="preserve"> </t>
    </r>
  </si>
  <si>
    <t>Foundation Endowment (~4.5% payout)</t>
  </si>
  <si>
    <t>Regents' Endowment (~4.5% payout)</t>
  </si>
  <si>
    <t>Rental of Real Estate Property</t>
  </si>
  <si>
    <r>
      <t>Other revenues</t>
    </r>
    <r>
      <rPr>
        <i/>
        <vertAlign val="superscript"/>
        <sz val="8"/>
        <color rgb="FF0070C0"/>
        <rFont val="Arial"/>
        <family val="2"/>
      </rPr>
      <t>2</t>
    </r>
  </si>
  <si>
    <t xml:space="preserve">Ending Cash &amp; Investment Balance </t>
  </si>
  <si>
    <t>Beginning Cash &amp; Investment Balance</t>
  </si>
  <si>
    <t>Insurance (USHIP &amp; GSHIP)</t>
  </si>
  <si>
    <t>Maintenance &amp; Repair contracts</t>
  </si>
  <si>
    <r>
      <t>Scholarships and Fellowships</t>
    </r>
    <r>
      <rPr>
        <vertAlign val="superscript"/>
        <sz val="8"/>
        <rFont val="Arial"/>
        <family val="2"/>
      </rPr>
      <t>3</t>
    </r>
  </si>
  <si>
    <r>
      <t>Miscellaneous Services</t>
    </r>
    <r>
      <rPr>
        <i/>
        <vertAlign val="superscript"/>
        <sz val="8"/>
        <color rgb="FF0070C0"/>
        <rFont val="Arial"/>
        <family val="2"/>
      </rPr>
      <t>4</t>
    </r>
  </si>
  <si>
    <r>
      <t>Other</t>
    </r>
    <r>
      <rPr>
        <i/>
        <vertAlign val="superscript"/>
        <sz val="8"/>
        <color rgb="FF0070C0"/>
        <rFont val="Arial"/>
        <family val="2"/>
      </rPr>
      <t>5</t>
    </r>
  </si>
  <si>
    <r>
      <t>Receivables, Inventories, Payables</t>
    </r>
    <r>
      <rPr>
        <i/>
        <vertAlign val="superscript"/>
        <sz val="8"/>
        <color rgb="FF0070C0"/>
        <rFont val="Arial"/>
        <family val="2"/>
      </rPr>
      <t>6</t>
    </r>
  </si>
  <si>
    <r>
      <t>Unearned revenue/Other liabilities</t>
    </r>
    <r>
      <rPr>
        <i/>
        <vertAlign val="superscript"/>
        <sz val="8"/>
        <color rgb="FF0070C0"/>
        <rFont val="Arial"/>
        <family val="2"/>
      </rPr>
      <t>7</t>
    </r>
  </si>
  <si>
    <r>
      <t>Debt Service</t>
    </r>
    <r>
      <rPr>
        <vertAlign val="superscript"/>
        <sz val="8"/>
        <rFont val="Arial"/>
        <family val="2"/>
      </rPr>
      <t>8</t>
    </r>
  </si>
  <si>
    <r>
      <t>Capital Assets</t>
    </r>
    <r>
      <rPr>
        <vertAlign val="superscript"/>
        <sz val="8"/>
        <rFont val="Arial"/>
        <family val="2"/>
      </rPr>
      <t>9</t>
    </r>
  </si>
  <si>
    <t>Academic</t>
  </si>
  <si>
    <t>Surplus (loss) from 
core activities</t>
  </si>
  <si>
    <t>State Financing</t>
  </si>
  <si>
    <t>Build America Bond Subsidies</t>
  </si>
  <si>
    <t>Capital Gifts</t>
  </si>
  <si>
    <t>Equipment/Libraries/Collections</t>
  </si>
  <si>
    <t>Capital Renewal/Investments</t>
  </si>
  <si>
    <t>Major Projects</t>
  </si>
  <si>
    <t>TRIP (~4.5% payout)</t>
  </si>
  <si>
    <t>New Initiative</t>
  </si>
  <si>
    <t>Capital</t>
  </si>
  <si>
    <t>Unrestricted cash balances - Beg</t>
  </si>
  <si>
    <t>Unrestricted cash balances - End</t>
  </si>
  <si>
    <t>Unrestricted Cash Balances</t>
  </si>
  <si>
    <t>Capital Loan</t>
  </si>
  <si>
    <t>Operating loan</t>
  </si>
  <si>
    <t>Financing deferral</t>
  </si>
  <si>
    <t xml:space="preserve">SHORT TO MEDIUM TERM </t>
  </si>
  <si>
    <t xml:space="preserve">MEDIUM TO LONG TERM </t>
  </si>
  <si>
    <t>TRiP market gains /(losses)</t>
  </si>
  <si>
    <t>Simplified Income Statement (Base Case)</t>
  </si>
  <si>
    <t xml:space="preserve">Purchases of investments, net of proceeds </t>
  </si>
  <si>
    <t>Statement of Revenues, Expenses and Changes in Net Assets</t>
  </si>
  <si>
    <t>Operating Margin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</si>
</sst>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&quot;A&quot;"/>
    <numFmt numFmtId="165" formatCode="General&quot;E&quot;"/>
    <numFmt numFmtId="166" formatCode="#,##0.0_%_);\(#,##0.0\)_%;\-\-_%_);@_%_)"/>
    <numFmt numFmtId="167" formatCode="#,##0_%_);\(#,##0\)_%;\-\-_%_);@_%_)"/>
    <numFmt numFmtId="168" formatCode="&quot;$&quot;#,##0_%_);\(&quot;$&quot;#,##0\)_%;\-\-_%_);@_%_)"/>
    <numFmt numFmtId="169" formatCode="#,##0.0\%_);\(#,##0.0\%\);\-\-_%_);@_%_)"/>
    <numFmt numFmtId="170" formatCode="#,##0\%_);\(#,##0\%\);\-\-_%_);@_%_)"/>
    <numFmt numFmtId="171" formatCode="0.0%;\(0.0%\)"/>
    <numFmt numFmtId="172" formatCode="&quot;Year &quot;General;\ &quot;Year &quot;\-#"/>
    <numFmt numFmtId="173" formatCode="0%;\(0%\)"/>
    <numFmt numFmtId="174" formatCode="General&quot;F&quot;"/>
    <numFmt numFmtId="175" formatCode="_(* #,##0_);_(* \(#,##0\);_(* &quot;-&quot;??_);_(@_)"/>
    <numFmt numFmtId="176" formatCode="0.0%"/>
    <numFmt numFmtId="177" formatCode="&quot;$&quot;#,##0.00_%_);\(&quot;$&quot;#,##0.00\)_%;\-\-_%_);@_%_)"/>
    <numFmt numFmtId="179" formatCode="0.000000"/>
    <numFmt numFmtId="181" formatCode="_(* #,##0.000_);_(* \(#,##0.000\);_(* &quot;-&quot;??_);_(@_)"/>
    <numFmt numFmtId="182" formatCode="0_);\(0\)"/>
    <numFmt numFmtId="183" formatCode="&quot;$&quot;#,##0"/>
    <numFmt numFmtId="187" formatCode="#,##0.0"/>
  </numFmts>
  <fonts count="9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i/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b/>
      <sz val="8"/>
      <color indexed="27"/>
      <name val="Arial"/>
      <family val="2"/>
    </font>
    <font>
      <b/>
      <sz val="8"/>
      <color indexed="35"/>
      <name val="Arial"/>
      <family val="2"/>
    </font>
    <font>
      <sz val="8"/>
      <color indexed="47"/>
      <name val="Arial"/>
      <family val="2"/>
    </font>
    <font>
      <sz val="8"/>
      <name val="Arial"/>
      <family val="2"/>
    </font>
    <font>
      <sz val="8"/>
      <color indexed="15"/>
      <name val="Arial"/>
      <family val="2"/>
    </font>
    <font>
      <b/>
      <sz val="8"/>
      <color indexed="13"/>
      <name val="Arial"/>
      <family val="2"/>
    </font>
    <font>
      <sz val="8"/>
      <color indexed="47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5"/>
      <name val="Arial"/>
      <family val="2"/>
    </font>
    <font>
      <b/>
      <sz val="8"/>
      <color indexed="47"/>
      <name val="Arial"/>
      <family val="2"/>
    </font>
    <font>
      <sz val="8"/>
      <color theme="0"/>
      <name val="Arial"/>
      <family val="2"/>
    </font>
    <font>
      <sz val="10"/>
      <name val="Arial"/>
      <family val="2"/>
    </font>
    <font>
      <sz val="8"/>
      <color rgb="FFFFFFFF"/>
      <name val="Arial"/>
      <family val="2"/>
    </font>
    <font>
      <b/>
      <sz val="8"/>
      <color rgb="FFFFFFFF"/>
      <name val="Arial"/>
      <family val="2"/>
    </font>
    <font>
      <i/>
      <sz val="8"/>
      <color rgb="FFFFFFFF"/>
      <name val="Arial"/>
      <family val="2"/>
    </font>
    <font>
      <i/>
      <sz val="8"/>
      <color indexed="47"/>
      <name val="Arial"/>
      <family val="2"/>
    </font>
    <font>
      <i/>
      <sz val="8"/>
      <color indexed="15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8"/>
      <color theme="1"/>
      <name val="Arial"/>
      <family val="2"/>
    </font>
    <font>
      <i/>
      <sz val="8"/>
      <color theme="0"/>
      <name val="Arial"/>
      <family val="2"/>
    </font>
    <font>
      <b/>
      <i/>
      <sz val="10"/>
      <color rgb="FFC0000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i/>
      <sz val="10"/>
      <name val="Arial"/>
      <family val="2"/>
    </font>
    <font>
      <b/>
      <i/>
      <sz val="10"/>
      <color theme="0"/>
      <name val="Calibri"/>
      <family val="2"/>
      <scheme val="minor"/>
    </font>
    <font>
      <i/>
      <sz val="8"/>
      <color rgb="FFFF0000"/>
      <name val="Arial"/>
      <family val="2"/>
    </font>
    <font>
      <b/>
      <sz val="14"/>
      <color theme="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4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b/>
      <sz val="10"/>
      <name val="Verdana"/>
      <family val="2"/>
    </font>
    <font>
      <b/>
      <sz val="16"/>
      <name val="Verdana"/>
      <family val="2"/>
    </font>
    <font>
      <sz val="16"/>
      <color theme="1"/>
      <name val="Calibri"/>
      <family val="2"/>
      <scheme val="minor"/>
    </font>
    <font>
      <sz val="8"/>
      <color rgb="FF0070C0"/>
      <name val="Arial"/>
      <family val="2"/>
    </font>
    <font>
      <b/>
      <sz val="10"/>
      <color theme="1"/>
      <name val="Arial"/>
      <family val="2"/>
    </font>
    <font>
      <sz val="12"/>
      <color theme="0" tint="-4.9989318521683403E-2"/>
      <name val="Arial"/>
      <family val="2"/>
    </font>
    <font>
      <sz val="10"/>
      <color rgb="FFFFFFFF"/>
      <name val="Arial"/>
      <family val="2"/>
    </font>
    <font>
      <sz val="10"/>
      <color theme="4" tint="0.79998168889431442"/>
      <name val="Arial"/>
      <family val="2"/>
    </font>
    <font>
      <sz val="8"/>
      <color rgb="FFFF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i/>
      <sz val="8"/>
      <color theme="1"/>
      <name val="Arial"/>
      <family val="2"/>
    </font>
    <font>
      <sz val="8"/>
      <color theme="3" tint="0.59999389629810485"/>
      <name val="Arial"/>
      <family val="2"/>
    </font>
    <font>
      <sz val="8"/>
      <color theme="4" tint="0.79998168889431442"/>
      <name val="Arial"/>
      <family val="2"/>
    </font>
    <font>
      <sz val="8"/>
      <name val="Microsoft Sans Serif"/>
      <family val="2"/>
    </font>
    <font>
      <b/>
      <i/>
      <sz val="8"/>
      <color indexed="35"/>
      <name val="Arial"/>
      <family val="2"/>
    </font>
    <font>
      <i/>
      <sz val="8"/>
      <color rgb="FF0070C0"/>
      <name val="Arial"/>
      <family val="2"/>
    </font>
    <font>
      <i/>
      <vertAlign val="superscript"/>
      <sz val="8"/>
      <color rgb="FF0070C0"/>
      <name val="Arial"/>
      <family val="2"/>
    </font>
    <font>
      <vertAlign val="superscript"/>
      <sz val="8"/>
      <name val="Arial"/>
      <family val="2"/>
    </font>
    <font>
      <b/>
      <i/>
      <sz val="8"/>
      <color theme="0"/>
      <name val="Arial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28"/>
      </bottom>
      <diagonal/>
    </border>
    <border>
      <left/>
      <right/>
      <top style="thin">
        <color indexed="28"/>
      </top>
      <bottom style="thin">
        <color indexed="27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28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89">
    <xf numFmtId="0" fontId="0" fillId="0" borderId="0">
      <alignment vertical="top"/>
    </xf>
    <xf numFmtId="0" fontId="34" fillId="0" borderId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7" fillId="0" borderId="1">
      <alignment horizontal="center"/>
    </xf>
    <xf numFmtId="3" fontId="36" fillId="0" borderId="0" applyFont="0" applyFill="0" applyBorder="0" applyAlignment="0" applyProtection="0"/>
    <xf numFmtId="0" fontId="21" fillId="0" borderId="0">
      <alignment vertical="top"/>
    </xf>
    <xf numFmtId="9" fontId="41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21" fillId="0" borderId="0">
      <alignment vertical="top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8" fillId="0" borderId="0"/>
    <xf numFmtId="0" fontId="21" fillId="0" borderId="0"/>
    <xf numFmtId="44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0" fontId="79" fillId="0" borderId="0" applyNumberFormat="0" applyFill="0" applyBorder="0" applyAlignment="0" applyProtection="0">
      <alignment vertical="top"/>
    </xf>
    <xf numFmtId="0" fontId="80" fillId="0" borderId="0" applyNumberFormat="0" applyFill="0" applyBorder="0" applyAlignment="0" applyProtection="0">
      <alignment vertical="top"/>
    </xf>
    <xf numFmtId="0" fontId="79" fillId="0" borderId="0" applyNumberFormat="0" applyFill="0" applyBorder="0" applyAlignment="0" applyProtection="0">
      <alignment vertical="top"/>
    </xf>
    <xf numFmtId="0" fontId="80" fillId="0" borderId="0" applyNumberFormat="0" applyFill="0" applyBorder="0" applyAlignment="0" applyProtection="0">
      <alignment vertical="top"/>
    </xf>
    <xf numFmtId="0" fontId="79" fillId="0" borderId="0" applyNumberFormat="0" applyFill="0" applyBorder="0" applyAlignment="0" applyProtection="0">
      <alignment vertical="top"/>
    </xf>
    <xf numFmtId="0" fontId="80" fillId="0" borderId="0" applyNumberFormat="0" applyFill="0" applyBorder="0" applyAlignment="0" applyProtection="0">
      <alignment vertical="top"/>
    </xf>
    <xf numFmtId="0" fontId="79" fillId="0" borderId="0" applyNumberFormat="0" applyFill="0" applyBorder="0" applyAlignment="0" applyProtection="0">
      <alignment vertical="top"/>
    </xf>
    <xf numFmtId="0" fontId="80" fillId="0" borderId="0" applyNumberFormat="0" applyFill="0" applyBorder="0" applyAlignment="0" applyProtection="0">
      <alignment vertical="top"/>
    </xf>
    <xf numFmtId="0" fontId="19" fillId="0" borderId="0"/>
    <xf numFmtId="43" fontId="19" fillId="0" borderId="0" applyFont="0" applyFill="0" applyBorder="0" applyAlignment="0" applyProtection="0"/>
    <xf numFmtId="0" fontId="18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43" fontId="21" fillId="0" borderId="0" applyFont="0" applyFill="0" applyBorder="0" applyAlignment="0" applyProtection="0"/>
    <xf numFmtId="0" fontId="84" fillId="0" borderId="0"/>
    <xf numFmtId="9" fontId="84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846">
    <xf numFmtId="0" fontId="0" fillId="0" borderId="0" xfId="0" applyAlignment="1"/>
    <xf numFmtId="0" fontId="22" fillId="2" borderId="0" xfId="0" applyFont="1" applyFill="1" applyAlignment="1"/>
    <xf numFmtId="0" fontId="22" fillId="2" borderId="2" xfId="0" applyFont="1" applyFill="1" applyBorder="1" applyAlignment="1"/>
    <xf numFmtId="0" fontId="22" fillId="0" borderId="3" xfId="0" applyFont="1" applyBorder="1" applyAlignment="1"/>
    <xf numFmtId="0" fontId="23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3" borderId="4" xfId="0" applyFont="1" applyFill="1" applyBorder="1" applyAlignment="1">
      <alignment horizontal="center"/>
    </xf>
    <xf numFmtId="0" fontId="26" fillId="0" borderId="5" xfId="0" applyFont="1" applyBorder="1" applyAlignment="1">
      <alignment horizontal="centerContinuous"/>
    </xf>
    <xf numFmtId="0" fontId="22" fillId="0" borderId="5" xfId="0" applyFont="1" applyBorder="1" applyAlignment="1">
      <alignment horizontal="centerContinuous"/>
    </xf>
    <xf numFmtId="164" fontId="27" fillId="0" borderId="6" xfId="0" applyNumberFormat="1" applyFont="1" applyBorder="1" applyAlignment="1">
      <alignment horizontal="center"/>
    </xf>
    <xf numFmtId="165" fontId="27" fillId="0" borderId="6" xfId="0" applyNumberFormat="1" applyFont="1" applyBorder="1" applyAlignment="1">
      <alignment horizontal="center"/>
    </xf>
    <xf numFmtId="0" fontId="22" fillId="0" borderId="0" xfId="0" applyFont="1" applyBorder="1" applyAlignment="1"/>
    <xf numFmtId="0" fontId="28" fillId="0" borderId="0" xfId="0" applyFont="1" applyAlignment="1"/>
    <xf numFmtId="0" fontId="22" fillId="0" borderId="0" xfId="0" applyFont="1" applyAlignment="1">
      <alignment horizontal="left" indent="1"/>
    </xf>
    <xf numFmtId="0" fontId="26" fillId="0" borderId="0" xfId="0" applyFont="1" applyAlignment="1"/>
    <xf numFmtId="168" fontId="22" fillId="0" borderId="0" xfId="0" applyNumberFormat="1" applyFont="1" applyAlignment="1"/>
    <xf numFmtId="166" fontId="22" fillId="0" borderId="0" xfId="0" applyNumberFormat="1" applyFont="1" applyAlignment="1"/>
    <xf numFmtId="167" fontId="22" fillId="0" borderId="0" xfId="0" applyNumberFormat="1" applyFont="1" applyAlignment="1"/>
    <xf numFmtId="168" fontId="26" fillId="0" borderId="0" xfId="0" applyNumberFormat="1" applyFont="1" applyAlignment="1"/>
    <xf numFmtId="167" fontId="29" fillId="0" borderId="0" xfId="0" applyNumberFormat="1" applyFont="1" applyBorder="1" applyAlignment="1"/>
    <xf numFmtId="0" fontId="22" fillId="0" borderId="5" xfId="0" applyFont="1" applyBorder="1" applyAlignment="1"/>
    <xf numFmtId="167" fontId="22" fillId="0" borderId="0" xfId="0" applyNumberFormat="1" applyFont="1" applyBorder="1" applyAlignment="1"/>
    <xf numFmtId="0" fontId="22" fillId="0" borderId="0" xfId="0" applyFont="1" applyAlignment="1">
      <alignment horizontal="left" indent="2"/>
    </xf>
    <xf numFmtId="167" fontId="29" fillId="0" borderId="0" xfId="0" applyNumberFormat="1" applyFont="1" applyAlignment="1"/>
    <xf numFmtId="168" fontId="22" fillId="0" borderId="0" xfId="0" applyNumberFormat="1" applyFont="1" applyBorder="1" applyAlignment="1"/>
    <xf numFmtId="0" fontId="25" fillId="0" borderId="0" xfId="0" applyFont="1" applyAlignment="1">
      <alignment horizontal="center"/>
    </xf>
    <xf numFmtId="168" fontId="29" fillId="0" borderId="0" xfId="0" applyNumberFormat="1" applyFont="1" applyAlignment="1"/>
    <xf numFmtId="167" fontId="30" fillId="0" borderId="0" xfId="0" applyNumberFormat="1" applyFont="1" applyAlignment="1"/>
    <xf numFmtId="168" fontId="22" fillId="0" borderId="0" xfId="0" applyNumberFormat="1" applyFont="1" applyFill="1" applyAlignment="1"/>
    <xf numFmtId="0" fontId="22" fillId="0" borderId="0" xfId="0" applyFont="1" applyBorder="1" applyAlignment="1">
      <alignment horizontal="left" indent="1"/>
    </xf>
    <xf numFmtId="168" fontId="29" fillId="0" borderId="0" xfId="0" applyNumberFormat="1" applyFont="1" applyBorder="1" applyAlignment="1"/>
    <xf numFmtId="0" fontId="26" fillId="0" borderId="0" xfId="0" applyFont="1" applyBorder="1" applyAlignment="1"/>
    <xf numFmtId="0" fontId="32" fillId="0" borderId="0" xfId="0" applyFont="1" applyAlignment="1"/>
    <xf numFmtId="0" fontId="31" fillId="0" borderId="0" xfId="0" applyFont="1" applyAlignment="1"/>
    <xf numFmtId="0" fontId="22" fillId="2" borderId="0" xfId="0" applyFont="1" applyFill="1" applyAlignment="1">
      <alignment horizontal="center"/>
    </xf>
    <xf numFmtId="167" fontId="29" fillId="0" borderId="0" xfId="0" applyNumberFormat="1" applyFont="1" applyFill="1" applyAlignment="1"/>
    <xf numFmtId="167" fontId="29" fillId="0" borderId="0" xfId="0" applyNumberFormat="1" applyFont="1" applyFill="1" applyBorder="1" applyAlignment="1"/>
    <xf numFmtId="167" fontId="22" fillId="0" borderId="0" xfId="0" applyNumberFormat="1" applyFont="1" applyFill="1" applyBorder="1" applyAlignment="1"/>
    <xf numFmtId="168" fontId="22" fillId="0" borderId="0" xfId="0" applyNumberFormat="1" applyFont="1" applyFill="1" applyBorder="1" applyAlignment="1"/>
    <xf numFmtId="0" fontId="30" fillId="0" borderId="0" xfId="0" applyFont="1" applyAlignment="1"/>
    <xf numFmtId="167" fontId="22" fillId="0" borderId="0" xfId="0" applyNumberFormat="1" applyFont="1" applyFill="1" applyAlignment="1"/>
    <xf numFmtId="0" fontId="22" fillId="0" borderId="0" xfId="0" applyFont="1" applyFill="1" applyAlignment="1"/>
    <xf numFmtId="170" fontId="22" fillId="0" borderId="0" xfId="0" applyNumberFormat="1" applyFont="1" applyAlignment="1"/>
    <xf numFmtId="0" fontId="22" fillId="0" borderId="0" xfId="0" applyFont="1" applyFill="1" applyAlignment="1">
      <alignment horizontal="left" indent="1"/>
    </xf>
    <xf numFmtId="0" fontId="22" fillId="0" borderId="0" xfId="0" applyFont="1" applyBorder="1" applyAlignment="1">
      <alignment horizontal="center"/>
    </xf>
    <xf numFmtId="167" fontId="33" fillId="0" borderId="0" xfId="0" applyNumberFormat="1" applyFont="1" applyAlignment="1"/>
    <xf numFmtId="0" fontId="26" fillId="0" borderId="2" xfId="0" applyFont="1" applyBorder="1" applyAlignment="1"/>
    <xf numFmtId="0" fontId="22" fillId="0" borderId="2" xfId="0" applyFont="1" applyBorder="1" applyAlignment="1"/>
    <xf numFmtId="168" fontId="31" fillId="0" borderId="0" xfId="0" applyNumberFormat="1" applyFont="1" applyAlignment="1"/>
    <xf numFmtId="0" fontId="35" fillId="0" borderId="0" xfId="0" applyFont="1" applyAlignment="1"/>
    <xf numFmtId="167" fontId="33" fillId="0" borderId="0" xfId="1" applyNumberFormat="1" applyFont="1" applyAlignment="1">
      <alignment horizontal="right"/>
    </xf>
    <xf numFmtId="167" fontId="33" fillId="0" borderId="0" xfId="0" applyNumberFormat="1" applyFont="1" applyBorder="1" applyAlignment="1"/>
    <xf numFmtId="167" fontId="38" fillId="5" borderId="0" xfId="0" applyNumberFormat="1" applyFont="1" applyFill="1" applyBorder="1" applyAlignment="1"/>
    <xf numFmtId="168" fontId="39" fillId="0" borderId="0" xfId="0" applyNumberFormat="1" applyFont="1" applyAlignment="1"/>
    <xf numFmtId="171" fontId="22" fillId="0" borderId="0" xfId="0" applyNumberFormat="1" applyFont="1" applyBorder="1" applyAlignment="1"/>
    <xf numFmtId="0" fontId="40" fillId="2" borderId="0" xfId="0" applyFont="1" applyFill="1" applyAlignment="1"/>
    <xf numFmtId="0" fontId="40" fillId="2" borderId="2" xfId="0" applyFont="1" applyFill="1" applyBorder="1" applyAlignment="1"/>
    <xf numFmtId="0" fontId="40" fillId="0" borderId="3" xfId="0" applyFont="1" applyBorder="1" applyAlignment="1"/>
    <xf numFmtId="171" fontId="22" fillId="0" borderId="0" xfId="0" applyNumberFormat="1" applyFont="1" applyFill="1" applyBorder="1" applyAlignment="1"/>
    <xf numFmtId="172" fontId="27" fillId="0" borderId="6" xfId="0" applyNumberFormat="1" applyFont="1" applyBorder="1" applyAlignment="1">
      <alignment horizontal="center"/>
    </xf>
    <xf numFmtId="165" fontId="22" fillId="0" borderId="5" xfId="0" applyNumberFormat="1" applyFont="1" applyFill="1" applyBorder="1" applyAlignment="1">
      <alignment horizontal="centerContinuous"/>
    </xf>
    <xf numFmtId="0" fontId="22" fillId="0" borderId="8" xfId="0" applyFont="1" applyBorder="1" applyAlignment="1"/>
    <xf numFmtId="0" fontId="22" fillId="0" borderId="0" xfId="0" applyFont="1" applyFill="1" applyBorder="1" applyAlignment="1">
      <alignment horizontal="left" indent="1"/>
    </xf>
    <xf numFmtId="0" fontId="22" fillId="0" borderId="0" xfId="0" applyFont="1" applyFill="1" applyBorder="1" applyAlignment="1"/>
    <xf numFmtId="0" fontId="25" fillId="0" borderId="0" xfId="0" applyFont="1" applyBorder="1" applyAlignment="1">
      <alignment horizontal="center"/>
    </xf>
    <xf numFmtId="167" fontId="22" fillId="5" borderId="0" xfId="0" applyNumberFormat="1" applyFont="1" applyFill="1" applyBorder="1" applyAlignment="1"/>
    <xf numFmtId="0" fontId="22" fillId="7" borderId="0" xfId="0" applyFont="1" applyFill="1" applyAlignment="1"/>
    <xf numFmtId="168" fontId="22" fillId="7" borderId="0" xfId="0" applyNumberFormat="1" applyFont="1" applyFill="1" applyBorder="1" applyAlignment="1"/>
    <xf numFmtId="168" fontId="29" fillId="7" borderId="0" xfId="0" applyNumberFormat="1" applyFont="1" applyFill="1" applyAlignment="1"/>
    <xf numFmtId="167" fontId="29" fillId="7" borderId="0" xfId="0" applyNumberFormat="1" applyFont="1" applyFill="1" applyAlignment="1"/>
    <xf numFmtId="167" fontId="29" fillId="7" borderId="0" xfId="0" applyNumberFormat="1" applyFont="1" applyFill="1" applyBorder="1" applyAlignment="1"/>
    <xf numFmtId="0" fontId="22" fillId="8" borderId="0" xfId="0" applyFont="1" applyFill="1" applyBorder="1" applyAlignment="1">
      <alignment horizontal="left" indent="1"/>
    </xf>
    <xf numFmtId="0" fontId="22" fillId="8" borderId="0" xfId="0" applyFont="1" applyFill="1" applyBorder="1" applyAlignment="1"/>
    <xf numFmtId="167" fontId="22" fillId="8" borderId="0" xfId="0" applyNumberFormat="1" applyFont="1" applyFill="1" applyBorder="1" applyAlignment="1"/>
    <xf numFmtId="0" fontId="22" fillId="9" borderId="0" xfId="0" applyFont="1" applyFill="1" applyAlignment="1">
      <alignment horizontal="left" indent="1"/>
    </xf>
    <xf numFmtId="0" fontId="22" fillId="10" borderId="0" xfId="0" applyFont="1" applyFill="1" applyAlignment="1"/>
    <xf numFmtId="167" fontId="29" fillId="10" borderId="0" xfId="0" applyNumberFormat="1" applyFont="1" applyFill="1" applyAlignment="1"/>
    <xf numFmtId="167" fontId="29" fillId="10" borderId="0" xfId="0" applyNumberFormat="1" applyFont="1" applyFill="1" applyBorder="1" applyAlignment="1"/>
    <xf numFmtId="0" fontId="22" fillId="9" borderId="0" xfId="0" applyFont="1" applyFill="1" applyBorder="1" applyAlignment="1"/>
    <xf numFmtId="168" fontId="22" fillId="9" borderId="0" xfId="0" applyNumberFormat="1" applyFont="1" applyFill="1" applyBorder="1" applyAlignment="1"/>
    <xf numFmtId="167" fontId="22" fillId="9" borderId="0" xfId="0" applyNumberFormat="1" applyFont="1" applyFill="1" applyBorder="1" applyAlignment="1"/>
    <xf numFmtId="168" fontId="22" fillId="8" borderId="0" xfId="0" applyNumberFormat="1" applyFont="1" applyFill="1" applyBorder="1" applyAlignment="1"/>
    <xf numFmtId="0" fontId="22" fillId="0" borderId="5" xfId="0" applyFont="1" applyFill="1" applyBorder="1" applyAlignment="1">
      <alignment horizontal="centerContinuous"/>
    </xf>
    <xf numFmtId="172" fontId="27" fillId="0" borderId="6" xfId="0" applyNumberFormat="1" applyFont="1" applyFill="1" applyBorder="1" applyAlignment="1">
      <alignment horizontal="center"/>
    </xf>
    <xf numFmtId="0" fontId="22" fillId="0" borderId="3" xfId="0" applyFont="1" applyFill="1" applyBorder="1" applyAlignment="1"/>
    <xf numFmtId="0" fontId="22" fillId="2" borderId="0" xfId="0" applyFont="1" applyFill="1" applyAlignment="1">
      <alignment horizontal="left" indent="1"/>
    </xf>
    <xf numFmtId="0" fontId="22" fillId="0" borderId="3" xfId="0" applyFont="1" applyBorder="1" applyAlignment="1">
      <alignment horizontal="left" indent="1"/>
    </xf>
    <xf numFmtId="167" fontId="29" fillId="10" borderId="0" xfId="0" applyNumberFormat="1" applyFont="1" applyFill="1" applyAlignment="1">
      <alignment vertical="top"/>
    </xf>
    <xf numFmtId="167" fontId="22" fillId="10" borderId="0" xfId="0" applyNumberFormat="1" applyFont="1" applyFill="1" applyBorder="1" applyAlignment="1"/>
    <xf numFmtId="168" fontId="29" fillId="7" borderId="0" xfId="0" applyNumberFormat="1" applyFont="1" applyFill="1" applyAlignment="1">
      <alignment vertical="top"/>
    </xf>
    <xf numFmtId="168" fontId="29" fillId="7" borderId="0" xfId="0" applyNumberFormat="1" applyFont="1" applyFill="1" applyBorder="1" applyAlignment="1"/>
    <xf numFmtId="0" fontId="22" fillId="0" borderId="0" xfId="0" applyFont="1" applyFill="1" applyAlignment="1">
      <alignment horizontal="left" indent="2"/>
    </xf>
    <xf numFmtId="0" fontId="42" fillId="0" borderId="0" xfId="0" applyFont="1" applyBorder="1" applyAlignment="1"/>
    <xf numFmtId="0" fontId="42" fillId="2" borderId="0" xfId="0" applyFont="1" applyFill="1" applyAlignment="1"/>
    <xf numFmtId="0" fontId="42" fillId="2" borderId="2" xfId="0" applyFont="1" applyFill="1" applyBorder="1" applyAlignment="1"/>
    <xf numFmtId="0" fontId="42" fillId="0" borderId="0" xfId="0" applyFont="1" applyAlignment="1">
      <alignment horizontal="center"/>
    </xf>
    <xf numFmtId="0" fontId="42" fillId="0" borderId="0" xfId="0" applyFont="1" applyAlignment="1"/>
    <xf numFmtId="0" fontId="42" fillId="0" borderId="0" xfId="0" applyFont="1" applyFill="1" applyBorder="1" applyAlignment="1"/>
    <xf numFmtId="0" fontId="43" fillId="0" borderId="0" xfId="0" applyFont="1" applyBorder="1" applyAlignment="1"/>
    <xf numFmtId="0" fontId="42" fillId="0" borderId="3" xfId="0" applyFont="1" applyBorder="1" applyAlignment="1">
      <alignment horizontal="center"/>
    </xf>
    <xf numFmtId="171" fontId="26" fillId="0" borderId="0" xfId="8" applyNumberFormat="1" applyFont="1" applyBorder="1" applyAlignment="1"/>
    <xf numFmtId="169" fontId="22" fillId="0" borderId="0" xfId="0" applyNumberFormat="1" applyFont="1" applyBorder="1" applyAlignment="1"/>
    <xf numFmtId="169" fontId="29" fillId="0" borderId="0" xfId="0" applyNumberFormat="1" applyFont="1" applyBorder="1" applyAlignment="1"/>
    <xf numFmtId="0" fontId="42" fillId="0" borderId="2" xfId="0" applyFont="1" applyBorder="1" applyAlignment="1"/>
    <xf numFmtId="0" fontId="26" fillId="12" borderId="8" xfId="0" applyFont="1" applyFill="1" applyBorder="1" applyAlignment="1"/>
    <xf numFmtId="0" fontId="43" fillId="12" borderId="8" xfId="0" applyFont="1" applyFill="1" applyBorder="1" applyAlignment="1"/>
    <xf numFmtId="168" fontId="26" fillId="12" borderId="8" xfId="0" applyNumberFormat="1" applyFont="1" applyFill="1" applyBorder="1" applyAlignment="1"/>
    <xf numFmtId="0" fontId="22" fillId="12" borderId="8" xfId="0" applyFont="1" applyFill="1" applyBorder="1" applyAlignment="1"/>
    <xf numFmtId="0" fontId="30" fillId="12" borderId="8" xfId="0" applyFont="1" applyFill="1" applyBorder="1" applyAlignment="1"/>
    <xf numFmtId="0" fontId="42" fillId="12" borderId="8" xfId="0" applyFont="1" applyFill="1" applyBorder="1" applyAlignment="1"/>
    <xf numFmtId="168" fontId="30" fillId="12" borderId="8" xfId="0" applyNumberFormat="1" applyFont="1" applyFill="1" applyBorder="1" applyAlignment="1"/>
    <xf numFmtId="0" fontId="40" fillId="0" borderId="3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0" xfId="0" applyFont="1" applyAlignment="1"/>
    <xf numFmtId="0" fontId="22" fillId="12" borderId="0" xfId="0" applyFont="1" applyFill="1" applyBorder="1" applyAlignment="1">
      <alignment horizontal="left" indent="1"/>
    </xf>
    <xf numFmtId="0" fontId="25" fillId="3" borderId="7" xfId="0" applyFont="1" applyFill="1" applyBorder="1" applyAlignment="1">
      <alignment horizontal="center"/>
    </xf>
    <xf numFmtId="170" fontId="29" fillId="0" borderId="0" xfId="0" applyNumberFormat="1" applyFont="1" applyBorder="1" applyAlignment="1"/>
    <xf numFmtId="0" fontId="22" fillId="2" borderId="0" xfId="0" applyFont="1" applyFill="1" applyBorder="1" applyAlignment="1"/>
    <xf numFmtId="167" fontId="22" fillId="0" borderId="0" xfId="0" applyNumberFormat="1" applyFont="1" applyFill="1" applyBorder="1" applyAlignment="1">
      <alignment horizontal="right"/>
    </xf>
    <xf numFmtId="171" fontId="29" fillId="0" borderId="0" xfId="0" applyNumberFormat="1" applyFont="1" applyBorder="1" applyAlignment="1"/>
    <xf numFmtId="173" fontId="29" fillId="0" borderId="0" xfId="0" applyNumberFormat="1" applyFont="1" applyBorder="1" applyAlignment="1"/>
    <xf numFmtId="171" fontId="29" fillId="7" borderId="0" xfId="0" applyNumberFormat="1" applyFont="1" applyFill="1" applyAlignment="1"/>
    <xf numFmtId="171" fontId="22" fillId="7" borderId="0" xfId="0" applyNumberFormat="1" applyFont="1" applyFill="1" applyAlignment="1"/>
    <xf numFmtId="171" fontId="29" fillId="0" borderId="0" xfId="0" applyNumberFormat="1" applyFont="1" applyAlignment="1"/>
    <xf numFmtId="0" fontId="22" fillId="14" borderId="0" xfId="0" applyFont="1" applyFill="1" applyBorder="1" applyAlignment="1"/>
    <xf numFmtId="168" fontId="22" fillId="14" borderId="0" xfId="0" applyNumberFormat="1" applyFont="1" applyFill="1" applyBorder="1" applyAlignment="1"/>
    <xf numFmtId="167" fontId="22" fillId="14" borderId="0" xfId="0" applyNumberFormat="1" applyFont="1" applyFill="1" applyBorder="1" applyAlignment="1"/>
    <xf numFmtId="164" fontId="27" fillId="0" borderId="6" xfId="0" applyNumberFormat="1" applyFont="1" applyBorder="1" applyAlignment="1" applyProtection="1">
      <alignment horizontal="center"/>
    </xf>
    <xf numFmtId="0" fontId="22" fillId="0" borderId="9" xfId="0" applyFont="1" applyFill="1" applyBorder="1" applyAlignment="1"/>
    <xf numFmtId="167" fontId="29" fillId="0" borderId="9" xfId="0" applyNumberFormat="1" applyFont="1" applyFill="1" applyBorder="1" applyAlignment="1"/>
    <xf numFmtId="167" fontId="22" fillId="0" borderId="9" xfId="0" applyNumberFormat="1" applyFont="1" applyFill="1" applyBorder="1" applyAlignment="1"/>
    <xf numFmtId="0" fontId="22" fillId="0" borderId="9" xfId="0" applyFont="1" applyFill="1" applyBorder="1" applyAlignment="1">
      <alignment horizontal="left" indent="2"/>
    </xf>
    <xf numFmtId="0" fontId="22" fillId="0" borderId="1" xfId="0" applyFont="1" applyBorder="1" applyAlignment="1"/>
    <xf numFmtId="0" fontId="22" fillId="0" borderId="11" xfId="0" applyFont="1" applyBorder="1" applyAlignment="1"/>
    <xf numFmtId="0" fontId="22" fillId="0" borderId="1" xfId="0" applyFont="1" applyFill="1" applyBorder="1" applyAlignment="1"/>
    <xf numFmtId="0" fontId="22" fillId="0" borderId="1" xfId="0" applyFont="1" applyFill="1" applyBorder="1" applyAlignment="1">
      <alignment horizontal="left" indent="1"/>
    </xf>
    <xf numFmtId="167" fontId="22" fillId="0" borderId="1" xfId="0" applyNumberFormat="1" applyFont="1" applyFill="1" applyBorder="1" applyAlignment="1"/>
    <xf numFmtId="3" fontId="22" fillId="14" borderId="0" xfId="0" applyNumberFormat="1" applyFont="1" applyFill="1" applyBorder="1" applyAlignment="1"/>
    <xf numFmtId="174" fontId="27" fillId="0" borderId="6" xfId="0" applyNumberFormat="1" applyFont="1" applyBorder="1" applyAlignment="1" applyProtection="1">
      <alignment horizontal="center"/>
    </xf>
    <xf numFmtId="171" fontId="22" fillId="0" borderId="0" xfId="0" applyNumberFormat="1" applyFont="1" applyAlignment="1"/>
    <xf numFmtId="0" fontId="22" fillId="4" borderId="4" xfId="0" applyFont="1" applyFill="1" applyBorder="1" applyAlignment="1">
      <alignment horizontal="center"/>
    </xf>
    <xf numFmtId="168" fontId="22" fillId="0" borderId="0" xfId="0" applyNumberFormat="1" applyFont="1" applyAlignment="1">
      <alignment horizontal="right"/>
    </xf>
    <xf numFmtId="0" fontId="26" fillId="0" borderId="8" xfId="0" applyFont="1" applyBorder="1" applyAlignment="1"/>
    <xf numFmtId="0" fontId="25" fillId="0" borderId="8" xfId="0" applyFont="1" applyBorder="1" applyAlignment="1">
      <alignment horizontal="center"/>
    </xf>
    <xf numFmtId="168" fontId="26" fillId="0" borderId="8" xfId="0" applyNumberFormat="1" applyFont="1" applyBorder="1" applyAlignment="1"/>
    <xf numFmtId="168" fontId="26" fillId="0" borderId="0" xfId="0" applyNumberFormat="1" applyFont="1" applyBorder="1" applyAlignment="1"/>
    <xf numFmtId="169" fontId="26" fillId="0" borderId="8" xfId="0" applyNumberFormat="1" applyFont="1" applyBorder="1" applyAlignment="1"/>
    <xf numFmtId="171" fontId="22" fillId="0" borderId="5" xfId="0" applyNumberFormat="1" applyFont="1" applyBorder="1" applyAlignment="1"/>
    <xf numFmtId="0" fontId="22" fillId="12" borderId="9" xfId="0" applyFont="1" applyFill="1" applyBorder="1" applyAlignment="1">
      <alignment horizontal="left" indent="1"/>
    </xf>
    <xf numFmtId="169" fontId="22" fillId="12" borderId="9" xfId="0" applyNumberFormat="1" applyFont="1" applyFill="1" applyBorder="1" applyAlignment="1"/>
    <xf numFmtId="169" fontId="22" fillId="12" borderId="0" xfId="0" applyNumberFormat="1" applyFont="1" applyFill="1" applyBorder="1" applyAlignment="1"/>
    <xf numFmtId="0" fontId="22" fillId="12" borderId="2" xfId="0" applyFont="1" applyFill="1" applyBorder="1" applyAlignment="1">
      <alignment horizontal="left" indent="1"/>
    </xf>
    <xf numFmtId="169" fontId="22" fillId="12" borderId="2" xfId="0" applyNumberFormat="1" applyFont="1" applyFill="1" applyBorder="1" applyAlignment="1"/>
    <xf numFmtId="169" fontId="29" fillId="12" borderId="9" xfId="0" applyNumberFormat="1" applyFont="1" applyFill="1" applyBorder="1" applyAlignment="1"/>
    <xf numFmtId="169" fontId="31" fillId="12" borderId="0" xfId="0" applyNumberFormat="1" applyFont="1" applyFill="1" applyBorder="1" applyAlignment="1"/>
    <xf numFmtId="171" fontId="26" fillId="0" borderId="8" xfId="0" applyNumberFormat="1" applyFont="1" applyBorder="1" applyAlignment="1"/>
    <xf numFmtId="171" fontId="31" fillId="12" borderId="0" xfId="0" applyNumberFormat="1" applyFont="1" applyFill="1" applyBorder="1" applyAlignment="1"/>
    <xf numFmtId="168" fontId="22" fillId="16" borderId="0" xfId="0" applyNumberFormat="1" applyFont="1" applyFill="1" applyBorder="1" applyAlignment="1" applyProtection="1">
      <alignment horizontal="right"/>
    </xf>
    <xf numFmtId="9" fontId="22" fillId="0" borderId="0" xfId="8" applyFont="1" applyBorder="1" applyAlignment="1">
      <alignment horizontal="center" vertical="center"/>
    </xf>
    <xf numFmtId="168" fontId="22" fillId="16" borderId="0" xfId="0" applyNumberFormat="1" applyFont="1" applyFill="1" applyBorder="1" applyAlignment="1"/>
    <xf numFmtId="167" fontId="22" fillId="16" borderId="0" xfId="0" applyNumberFormat="1" applyFont="1" applyFill="1" applyBorder="1" applyAlignment="1">
      <alignment horizontal="right"/>
    </xf>
    <xf numFmtId="167" fontId="22" fillId="16" borderId="0" xfId="0" applyNumberFormat="1" applyFont="1" applyFill="1" applyBorder="1" applyAlignment="1"/>
    <xf numFmtId="7" fontId="22" fillId="0" borderId="0" xfId="0" applyNumberFormat="1" applyFont="1" applyAlignment="1"/>
    <xf numFmtId="176" fontId="22" fillId="0" borderId="0" xfId="8" applyNumberFormat="1" applyFont="1" applyAlignment="1"/>
    <xf numFmtId="176" fontId="22" fillId="0" borderId="0" xfId="8" applyNumberFormat="1" applyFont="1" applyBorder="1" applyAlignment="1"/>
    <xf numFmtId="9" fontId="22" fillId="0" borderId="0" xfId="8" applyNumberFormat="1" applyFont="1" applyBorder="1" applyAlignment="1"/>
    <xf numFmtId="0" fontId="0" fillId="16" borderId="0" xfId="0" applyFill="1" applyAlignment="1"/>
    <xf numFmtId="0" fontId="21" fillId="16" borderId="0" xfId="0" applyFont="1" applyFill="1" applyAlignment="1"/>
    <xf numFmtId="1" fontId="0" fillId="16" borderId="0" xfId="0" applyNumberFormat="1" applyFill="1" applyAlignment="1"/>
    <xf numFmtId="0" fontId="0" fillId="16" borderId="0" xfId="0" applyFill="1" applyBorder="1" applyAlignment="1" applyProtection="1"/>
    <xf numFmtId="0" fontId="55" fillId="16" borderId="0" xfId="0" applyFont="1" applyFill="1" applyAlignment="1">
      <alignment horizontal="right"/>
    </xf>
    <xf numFmtId="0" fontId="0" fillId="15" borderId="0" xfId="0" applyFill="1" applyAlignment="1">
      <alignment horizontal="center"/>
    </xf>
    <xf numFmtId="0" fontId="52" fillId="0" borderId="0" xfId="0" applyFont="1" applyFill="1" applyBorder="1" applyAlignment="1" applyProtection="1">
      <alignment horizontal="center"/>
    </xf>
    <xf numFmtId="0" fontId="0" fillId="16" borderId="13" xfId="0" applyFill="1" applyBorder="1" applyAlignment="1"/>
    <xf numFmtId="0" fontId="54" fillId="17" borderId="13" xfId="0" applyFont="1" applyFill="1" applyBorder="1" applyAlignment="1">
      <alignment horizontal="center" vertical="center"/>
    </xf>
    <xf numFmtId="0" fontId="55" fillId="16" borderId="13" xfId="0" applyFont="1" applyFill="1" applyBorder="1" applyAlignment="1"/>
    <xf numFmtId="0" fontId="0" fillId="11" borderId="13" xfId="0" applyFill="1" applyBorder="1" applyAlignment="1"/>
    <xf numFmtId="9" fontId="0" fillId="11" borderId="13" xfId="8" applyFont="1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53" fillId="16" borderId="0" xfId="0" applyFont="1" applyFill="1" applyAlignment="1"/>
    <xf numFmtId="3" fontId="0" fillId="11" borderId="13" xfId="9" applyNumberFormat="1" applyFont="1" applyFill="1" applyBorder="1" applyAlignment="1">
      <alignment horizontal="center" vertical="center"/>
    </xf>
    <xf numFmtId="3" fontId="0" fillId="16" borderId="13" xfId="0" applyNumberFormat="1" applyFill="1" applyBorder="1" applyAlignment="1">
      <alignment horizontal="center" vertical="center"/>
    </xf>
    <xf numFmtId="175" fontId="21" fillId="16" borderId="0" xfId="0" applyNumberFormat="1" applyFont="1" applyFill="1" applyAlignment="1"/>
    <xf numFmtId="0" fontId="56" fillId="16" borderId="0" xfId="0" applyFont="1" applyFill="1" applyAlignment="1"/>
    <xf numFmtId="1" fontId="21" fillId="16" borderId="0" xfId="0" applyNumberFormat="1" applyFont="1" applyFill="1" applyAlignment="1">
      <alignment horizontal="center"/>
    </xf>
    <xf numFmtId="175" fontId="21" fillId="16" borderId="0" xfId="9" applyNumberFormat="1" applyFont="1" applyFill="1" applyAlignment="1">
      <alignment horizontal="center"/>
    </xf>
    <xf numFmtId="0" fontId="21" fillId="16" borderId="0" xfId="0" applyFont="1" applyFill="1" applyAlignment="1">
      <alignment horizontal="center"/>
    </xf>
    <xf numFmtId="0" fontId="54" fillId="16" borderId="13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Border="1" applyAlignment="1"/>
    <xf numFmtId="3" fontId="0" fillId="16" borderId="0" xfId="9" applyNumberFormat="1" applyFont="1" applyFill="1" applyBorder="1" applyAlignment="1">
      <alignment horizontal="center" vertical="center"/>
    </xf>
    <xf numFmtId="9" fontId="0" fillId="16" borderId="0" xfId="8" applyFont="1" applyFill="1" applyBorder="1" applyAlignment="1">
      <alignment horizontal="center" vertical="center"/>
    </xf>
    <xf numFmtId="0" fontId="53" fillId="16" borderId="0" xfId="0" applyFont="1" applyFill="1" applyAlignment="1">
      <alignment horizontal="center"/>
    </xf>
    <xf numFmtId="9" fontId="21" fillId="16" borderId="0" xfId="8" applyFont="1" applyFill="1" applyAlignment="1">
      <alignment horizontal="center"/>
    </xf>
    <xf numFmtId="0" fontId="57" fillId="16" borderId="0" xfId="0" applyFont="1" applyFill="1" applyAlignment="1"/>
    <xf numFmtId="1" fontId="40" fillId="0" borderId="0" xfId="0" applyNumberFormat="1" applyFont="1" applyAlignment="1">
      <alignment horizontal="center" vertical="center"/>
    </xf>
    <xf numFmtId="3" fontId="0" fillId="16" borderId="13" xfId="9" applyNumberFormat="1" applyFont="1" applyFill="1" applyBorder="1" applyAlignment="1">
      <alignment horizontal="center" vertical="center"/>
    </xf>
    <xf numFmtId="9" fontId="0" fillId="16" borderId="13" xfId="8" applyFont="1" applyFill="1" applyBorder="1" applyAlignment="1">
      <alignment horizontal="center" vertical="center"/>
    </xf>
    <xf numFmtId="0" fontId="21" fillId="16" borderId="0" xfId="0" applyFont="1" applyFill="1" applyBorder="1" applyAlignment="1">
      <alignment horizontal="center"/>
    </xf>
    <xf numFmtId="0" fontId="21" fillId="16" borderId="0" xfId="0" applyFont="1" applyFill="1" applyAlignment="1">
      <alignment vertical="center"/>
    </xf>
    <xf numFmtId="0" fontId="56" fillId="16" borderId="0" xfId="0" quotePrefix="1" applyFont="1" applyFill="1" applyAlignment="1">
      <alignment horizontal="right"/>
    </xf>
    <xf numFmtId="0" fontId="55" fillId="16" borderId="0" xfId="0" applyFont="1" applyFill="1" applyBorder="1" applyAlignment="1">
      <alignment vertical="center"/>
    </xf>
    <xf numFmtId="0" fontId="55" fillId="16" borderId="0" xfId="0" applyFont="1" applyFill="1" applyBorder="1" applyAlignment="1">
      <alignment horizontal="left" vertical="center" indent="10"/>
    </xf>
    <xf numFmtId="9" fontId="22" fillId="0" borderId="0" xfId="8" applyFont="1" applyFill="1" applyBorder="1" applyAlignment="1"/>
    <xf numFmtId="0" fontId="56" fillId="16" borderId="0" xfId="0" applyFont="1" applyFill="1" applyAlignment="1">
      <alignment vertical="top"/>
    </xf>
    <xf numFmtId="0" fontId="21" fillId="0" borderId="0" xfId="0" applyFont="1" applyAlignment="1"/>
    <xf numFmtId="0" fontId="40" fillId="16" borderId="0" xfId="0" applyNumberFormat="1" applyFont="1" applyFill="1" applyBorder="1" applyAlignment="1" applyProtection="1">
      <alignment horizontal="left" indent="1"/>
    </xf>
    <xf numFmtId="0" fontId="0" fillId="16" borderId="0" xfId="0" applyFill="1" applyAlignment="1">
      <alignment horizontal="center" vertical="center"/>
    </xf>
    <xf numFmtId="168" fontId="53" fillId="16" borderId="0" xfId="0" applyNumberFormat="1" applyFont="1" applyFill="1" applyBorder="1" applyAlignment="1">
      <alignment horizontal="center" vertical="center"/>
    </xf>
    <xf numFmtId="167" fontId="22" fillId="16" borderId="0" xfId="0" applyNumberFormat="1" applyFont="1" applyFill="1" applyBorder="1" applyAlignment="1" applyProtection="1"/>
    <xf numFmtId="0" fontId="54" fillId="16" borderId="0" xfId="0" applyFont="1" applyFill="1" applyBorder="1" applyAlignment="1">
      <alignment horizontal="center" vertical="center"/>
    </xf>
    <xf numFmtId="0" fontId="53" fillId="16" borderId="0" xfId="0" applyFont="1" applyFill="1" applyBorder="1" applyAlignment="1" applyProtection="1"/>
    <xf numFmtId="0" fontId="0" fillId="16" borderId="0" xfId="0" applyFill="1" applyBorder="1" applyAlignment="1" applyProtection="1">
      <alignment horizontal="center"/>
    </xf>
    <xf numFmtId="0" fontId="22" fillId="16" borderId="0" xfId="0" applyFont="1" applyFill="1" applyAlignment="1"/>
    <xf numFmtId="3" fontId="21" fillId="16" borderId="0" xfId="0" applyNumberFormat="1" applyFont="1" applyFill="1" applyAlignment="1"/>
    <xf numFmtId="168" fontId="22" fillId="16" borderId="0" xfId="0" applyNumberFormat="1" applyFont="1" applyFill="1" applyBorder="1" applyAlignment="1" applyProtection="1"/>
    <xf numFmtId="9" fontId="22" fillId="0" borderId="0" xfId="0" applyNumberFormat="1" applyFont="1" applyAlignment="1"/>
    <xf numFmtId="3" fontId="54" fillId="16" borderId="13" xfId="0" applyNumberFormat="1" applyFont="1" applyFill="1" applyBorder="1" applyAlignment="1">
      <alignment horizontal="center" vertical="center"/>
    </xf>
    <xf numFmtId="171" fontId="26" fillId="0" borderId="0" xfId="8" applyNumberFormat="1" applyFont="1" applyBorder="1" applyAlignment="1">
      <alignment horizontal="center"/>
    </xf>
    <xf numFmtId="171" fontId="26" fillId="0" borderId="0" xfId="8" applyNumberFormat="1" applyFont="1" applyBorder="1" applyAlignment="1">
      <alignment horizontal="right"/>
    </xf>
    <xf numFmtId="0" fontId="22" fillId="16" borderId="0" xfId="0" applyFont="1" applyFill="1" applyBorder="1" applyAlignment="1" applyProtection="1">
      <alignment horizontal="left" indent="1"/>
    </xf>
    <xf numFmtId="0" fontId="22" fillId="16" borderId="0" xfId="0" applyFont="1" applyFill="1" applyAlignment="1" applyProtection="1">
      <alignment horizontal="left" indent="2"/>
    </xf>
    <xf numFmtId="0" fontId="22" fillId="16" borderId="0" xfId="0" applyFont="1" applyFill="1" applyBorder="1" applyAlignment="1" applyProtection="1">
      <alignment horizontal="left" indent="2"/>
    </xf>
    <xf numFmtId="0" fontId="55" fillId="16" borderId="0" xfId="0" applyFont="1" applyFill="1" applyBorder="1" applyAlignment="1">
      <alignment vertical="center" wrapText="1"/>
    </xf>
    <xf numFmtId="0" fontId="22" fillId="2" borderId="12" xfId="0" applyFont="1" applyFill="1" applyBorder="1" applyAlignment="1"/>
    <xf numFmtId="0" fontId="22" fillId="0" borderId="16" xfId="0" applyFont="1" applyBorder="1" applyAlignment="1">
      <alignment horizontal="centerContinuous"/>
    </xf>
    <xf numFmtId="0" fontId="22" fillId="0" borderId="12" xfId="0" applyFont="1" applyBorder="1" applyAlignment="1"/>
    <xf numFmtId="0" fontId="22" fillId="0" borderId="16" xfId="0" applyFont="1" applyBorder="1" applyAlignment="1"/>
    <xf numFmtId="0" fontId="55" fillId="16" borderId="0" xfId="0" applyFont="1" applyFill="1" applyAlignment="1">
      <alignment horizontal="right" vertical="top"/>
    </xf>
    <xf numFmtId="1" fontId="0" fillId="16" borderId="0" xfId="0" applyNumberFormat="1" applyFill="1" applyAlignment="1">
      <alignment vertical="top"/>
    </xf>
    <xf numFmtId="3" fontId="53" fillId="16" borderId="0" xfId="0" applyNumberFormat="1" applyFont="1" applyFill="1" applyAlignment="1"/>
    <xf numFmtId="0" fontId="22" fillId="0" borderId="0" xfId="0" applyFont="1" applyAlignment="1">
      <alignment horizontal="center"/>
    </xf>
    <xf numFmtId="0" fontId="61" fillId="16" borderId="0" xfId="0" applyFont="1" applyFill="1" applyBorder="1" applyAlignment="1" applyProtection="1">
      <alignment horizontal="center"/>
    </xf>
    <xf numFmtId="176" fontId="0" fillId="11" borderId="0" xfId="8" applyNumberFormat="1" applyFont="1" applyFill="1" applyBorder="1" applyAlignment="1">
      <alignment horizontal="center" vertical="center"/>
    </xf>
    <xf numFmtId="9" fontId="22" fillId="0" borderId="0" xfId="8" applyFont="1" applyBorder="1" applyAlignment="1"/>
    <xf numFmtId="176" fontId="0" fillId="16" borderId="0" xfId="0" applyNumberFormat="1" applyFill="1" applyBorder="1" applyAlignment="1">
      <alignment horizontal="center" vertical="center"/>
    </xf>
    <xf numFmtId="168" fontId="40" fillId="0" borderId="0" xfId="0" applyNumberFormat="1" applyFont="1" applyAlignment="1"/>
    <xf numFmtId="169" fontId="40" fillId="0" borderId="0" xfId="0" applyNumberFormat="1" applyFont="1" applyBorder="1" applyAlignment="1"/>
    <xf numFmtId="9" fontId="40" fillId="0" borderId="0" xfId="0" applyNumberFormat="1" applyFont="1" applyBorder="1" applyAlignment="1"/>
    <xf numFmtId="169" fontId="51" fillId="0" borderId="0" xfId="0" applyNumberFormat="1" applyFont="1" applyBorder="1" applyAlignment="1"/>
    <xf numFmtId="170" fontId="40" fillId="0" borderId="0" xfId="0" applyNumberFormat="1" applyFont="1" applyBorder="1" applyAlignment="1">
      <alignment horizontal="right"/>
    </xf>
    <xf numFmtId="9" fontId="0" fillId="16" borderId="0" xfId="0" applyNumberFormat="1" applyFill="1" applyAlignment="1"/>
    <xf numFmtId="3" fontId="59" fillId="16" borderId="0" xfId="0" applyNumberFormat="1" applyFont="1" applyFill="1" applyAlignment="1"/>
    <xf numFmtId="0" fontId="59" fillId="16" borderId="0" xfId="0" applyFont="1" applyFill="1" applyAlignment="1"/>
    <xf numFmtId="0" fontId="60" fillId="16" borderId="0" xfId="0" applyFont="1" applyFill="1" applyAlignment="1"/>
    <xf numFmtId="0" fontId="21" fillId="0" borderId="0" xfId="0" applyFont="1" applyFill="1" applyAlignment="1"/>
    <xf numFmtId="9" fontId="53" fillId="16" borderId="0" xfId="0" applyNumberFormat="1" applyFont="1" applyFill="1" applyAlignment="1">
      <alignment horizontal="left"/>
    </xf>
    <xf numFmtId="175" fontId="22" fillId="0" borderId="0" xfId="9" applyNumberFormat="1" applyFont="1" applyAlignment="1"/>
    <xf numFmtId="175" fontId="22" fillId="0" borderId="0" xfId="0" applyNumberFormat="1" applyFont="1" applyAlignment="1"/>
    <xf numFmtId="10" fontId="22" fillId="0" borderId="0" xfId="8" applyNumberFormat="1" applyFont="1" applyBorder="1" applyAlignment="1"/>
    <xf numFmtId="167" fontId="22" fillId="0" borderId="0" xfId="10" applyNumberFormat="1" applyFont="1" applyBorder="1" applyAlignment="1"/>
    <xf numFmtId="9" fontId="22" fillId="0" borderId="0" xfId="8" applyFont="1" applyAlignment="1"/>
    <xf numFmtId="0" fontId="54" fillId="17" borderId="13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55" fillId="16" borderId="0" xfId="0" applyFont="1" applyFill="1" applyAlignment="1">
      <alignment horizontal="center"/>
    </xf>
    <xf numFmtId="0" fontId="22" fillId="16" borderId="0" xfId="0" applyFont="1" applyFill="1" applyAlignment="1" applyProtection="1">
      <protection locked="0"/>
    </xf>
    <xf numFmtId="0" fontId="42" fillId="16" borderId="0" xfId="0" applyFont="1" applyFill="1" applyAlignment="1" applyProtection="1">
      <protection locked="0"/>
    </xf>
    <xf numFmtId="0" fontId="22" fillId="16" borderId="2" xfId="0" applyFont="1" applyFill="1" applyBorder="1" applyAlignment="1" applyProtection="1">
      <protection locked="0"/>
    </xf>
    <xf numFmtId="0" fontId="42" fillId="16" borderId="2" xfId="0" applyFont="1" applyFill="1" applyBorder="1" applyAlignment="1" applyProtection="1">
      <protection locked="0"/>
    </xf>
    <xf numFmtId="0" fontId="22" fillId="16" borderId="12" xfId="0" applyFont="1" applyFill="1" applyBorder="1" applyAlignment="1" applyProtection="1">
      <protection locked="0"/>
    </xf>
    <xf numFmtId="0" fontId="42" fillId="16" borderId="3" xfId="0" applyFont="1" applyFill="1" applyBorder="1" applyAlignment="1" applyProtection="1">
      <alignment horizontal="center"/>
      <protection locked="0"/>
    </xf>
    <xf numFmtId="0" fontId="42" fillId="16" borderId="0" xfId="0" applyFont="1" applyFill="1" applyAlignment="1" applyProtection="1">
      <alignment horizontal="center"/>
      <protection locked="0"/>
    </xf>
    <xf numFmtId="0" fontId="22" fillId="16" borderId="3" xfId="0" applyFont="1" applyFill="1" applyBorder="1" applyAlignment="1" applyProtection="1">
      <protection locked="0"/>
    </xf>
    <xf numFmtId="0" fontId="23" fillId="16" borderId="0" xfId="0" applyFont="1" applyFill="1" applyAlignment="1" applyProtection="1">
      <protection locked="0"/>
    </xf>
    <xf numFmtId="0" fontId="24" fillId="16" borderId="0" xfId="0" applyFont="1" applyFill="1" applyAlignment="1" applyProtection="1">
      <protection locked="0"/>
    </xf>
    <xf numFmtId="4" fontId="22" fillId="16" borderId="0" xfId="0" applyNumberFormat="1" applyFont="1" applyFill="1" applyAlignment="1" applyProtection="1">
      <protection locked="0"/>
    </xf>
    <xf numFmtId="1" fontId="40" fillId="16" borderId="0" xfId="0" applyNumberFormat="1" applyFont="1" applyFill="1" applyAlignment="1">
      <alignment horizontal="center" vertical="center"/>
    </xf>
    <xf numFmtId="0" fontId="22" fillId="16" borderId="0" xfId="0" applyFont="1" applyFill="1" applyAlignment="1" applyProtection="1">
      <alignment horizontal="center"/>
      <protection locked="0"/>
    </xf>
    <xf numFmtId="0" fontId="26" fillId="16" borderId="5" xfId="0" applyFont="1" applyFill="1" applyBorder="1" applyAlignment="1" applyProtection="1">
      <alignment horizontal="centerContinuous"/>
      <protection locked="0"/>
    </xf>
    <xf numFmtId="165" fontId="22" fillId="16" borderId="5" xfId="0" applyNumberFormat="1" applyFont="1" applyFill="1" applyBorder="1" applyAlignment="1" applyProtection="1">
      <alignment horizontal="centerContinuous"/>
      <protection locked="0"/>
    </xf>
    <xf numFmtId="0" fontId="22" fillId="16" borderId="5" xfId="0" applyFont="1" applyFill="1" applyBorder="1" applyAlignment="1" applyProtection="1">
      <alignment horizontal="centerContinuous"/>
      <protection locked="0"/>
    </xf>
    <xf numFmtId="0" fontId="22" fillId="16" borderId="5" xfId="0" applyFont="1" applyFill="1" applyBorder="1" applyAlignment="1" applyProtection="1">
      <alignment horizontal="center"/>
      <protection locked="0"/>
    </xf>
    <xf numFmtId="0" fontId="22" fillId="16" borderId="16" xfId="0" applyFont="1" applyFill="1" applyBorder="1" applyAlignment="1" applyProtection="1">
      <alignment horizontal="centerContinuous"/>
      <protection locked="0"/>
    </xf>
    <xf numFmtId="0" fontId="22" fillId="16" borderId="0" xfId="0" applyFont="1" applyFill="1" applyAlignment="1" applyProtection="1"/>
    <xf numFmtId="168" fontId="22" fillId="16" borderId="0" xfId="0" applyNumberFormat="1" applyFont="1" applyFill="1" applyAlignment="1" applyProtection="1"/>
    <xf numFmtId="0" fontId="42" fillId="16" borderId="0" xfId="0" applyFont="1" applyFill="1" applyAlignment="1" applyProtection="1">
      <alignment horizontal="center"/>
    </xf>
    <xf numFmtId="172" fontId="27" fillId="16" borderId="6" xfId="0" applyNumberFormat="1" applyFont="1" applyFill="1" applyBorder="1" applyAlignment="1" applyProtection="1">
      <alignment horizontal="center"/>
    </xf>
    <xf numFmtId="165" fontId="26" fillId="16" borderId="0" xfId="0" applyNumberFormat="1" applyFont="1" applyFill="1" applyBorder="1" applyAlignment="1" applyProtection="1">
      <alignment horizontal="center"/>
      <protection locked="0"/>
    </xf>
    <xf numFmtId="164" fontId="27" fillId="16" borderId="6" xfId="0" applyNumberFormat="1" applyFont="1" applyFill="1" applyBorder="1" applyAlignment="1" applyProtection="1">
      <alignment horizontal="center"/>
    </xf>
    <xf numFmtId="165" fontId="27" fillId="16" borderId="6" xfId="0" applyNumberFormat="1" applyFont="1" applyFill="1" applyBorder="1" applyAlignment="1" applyProtection="1">
      <alignment horizontal="center"/>
    </xf>
    <xf numFmtId="174" fontId="27" fillId="16" borderId="6" xfId="0" applyNumberFormat="1" applyFont="1" applyFill="1" applyBorder="1" applyAlignment="1" applyProtection="1">
      <alignment horizontal="center"/>
    </xf>
    <xf numFmtId="0" fontId="42" fillId="16" borderId="0" xfId="0" applyFont="1" applyFill="1" applyAlignment="1" applyProtection="1"/>
    <xf numFmtId="0" fontId="22" fillId="16" borderId="0" xfId="0" applyFont="1" applyFill="1" applyBorder="1" applyAlignment="1" applyProtection="1"/>
    <xf numFmtId="0" fontId="28" fillId="16" borderId="0" xfId="0" applyFont="1" applyFill="1" applyAlignment="1" applyProtection="1"/>
    <xf numFmtId="171" fontId="22" fillId="16" borderId="0" xfId="0" applyNumberFormat="1" applyFont="1" applyFill="1" applyBorder="1" applyAlignment="1" applyProtection="1"/>
    <xf numFmtId="0" fontId="42" fillId="16" borderId="0" xfId="0" applyFont="1" applyFill="1" applyBorder="1" applyAlignment="1" applyProtection="1"/>
    <xf numFmtId="168" fontId="48" fillId="16" borderId="0" xfId="0" applyNumberFormat="1" applyFont="1" applyFill="1" applyBorder="1" applyAlignment="1" applyProtection="1"/>
    <xf numFmtId="167" fontId="48" fillId="16" borderId="0" xfId="0" applyNumberFormat="1" applyFont="1" applyFill="1" applyBorder="1" applyAlignment="1" applyProtection="1"/>
    <xf numFmtId="0" fontId="22" fillId="16" borderId="0" xfId="0" applyFont="1" applyFill="1" applyBorder="1" applyAlignment="1" applyProtection="1">
      <protection locked="0"/>
    </xf>
    <xf numFmtId="168" fontId="29" fillId="16" borderId="0" xfId="0" applyNumberFormat="1" applyFont="1" applyFill="1" applyBorder="1" applyAlignment="1" applyProtection="1"/>
    <xf numFmtId="167" fontId="22" fillId="16" borderId="0" xfId="0" applyNumberFormat="1" applyFont="1" applyFill="1" applyBorder="1" applyAlignment="1" applyProtection="1">
      <protection locked="0"/>
    </xf>
    <xf numFmtId="0" fontId="48" fillId="16" borderId="0" xfId="0" applyFont="1" applyFill="1" applyBorder="1" applyAlignment="1" applyProtection="1"/>
    <xf numFmtId="171" fontId="29" fillId="16" borderId="0" xfId="0" applyNumberFormat="1" applyFont="1" applyFill="1" applyBorder="1" applyAlignment="1" applyProtection="1"/>
    <xf numFmtId="167" fontId="31" fillId="16" borderId="0" xfId="0" applyNumberFormat="1" applyFont="1" applyFill="1" applyBorder="1" applyAlignment="1" applyProtection="1"/>
    <xf numFmtId="0" fontId="24" fillId="16" borderId="0" xfId="0" applyFont="1" applyFill="1" applyBorder="1" applyAlignment="1" applyProtection="1">
      <alignment horizontal="left" indent="2"/>
    </xf>
    <xf numFmtId="0" fontId="24" fillId="16" borderId="0" xfId="0" applyFont="1" applyFill="1" applyBorder="1" applyAlignment="1" applyProtection="1"/>
    <xf numFmtId="171" fontId="45" fillId="16" borderId="0" xfId="0" applyNumberFormat="1" applyFont="1" applyFill="1" applyBorder="1" applyAlignment="1" applyProtection="1"/>
    <xf numFmtId="0" fontId="44" fillId="16" borderId="0" xfId="0" applyFont="1" applyFill="1" applyBorder="1" applyAlignment="1" applyProtection="1"/>
    <xf numFmtId="167" fontId="49" fillId="16" borderId="0" xfId="0" applyNumberFormat="1" applyFont="1" applyFill="1" applyBorder="1" applyAlignment="1" applyProtection="1"/>
    <xf numFmtId="167" fontId="46" fillId="16" borderId="0" xfId="0" applyNumberFormat="1" applyFont="1" applyFill="1" applyBorder="1" applyAlignment="1" applyProtection="1"/>
    <xf numFmtId="0" fontId="22" fillId="16" borderId="8" xfId="0" applyFont="1" applyFill="1" applyBorder="1" applyAlignment="1" applyProtection="1"/>
    <xf numFmtId="0" fontId="30" fillId="16" borderId="8" xfId="0" applyFont="1" applyFill="1" applyBorder="1" applyAlignment="1" applyProtection="1"/>
    <xf numFmtId="0" fontId="42" fillId="16" borderId="8" xfId="0" applyFont="1" applyFill="1" applyBorder="1" applyAlignment="1" applyProtection="1"/>
    <xf numFmtId="168" fontId="48" fillId="16" borderId="8" xfId="0" applyNumberFormat="1" applyFont="1" applyFill="1" applyBorder="1" applyAlignment="1" applyProtection="1"/>
    <xf numFmtId="168" fontId="30" fillId="16" borderId="8" xfId="0" applyNumberFormat="1" applyFont="1" applyFill="1" applyBorder="1" applyAlignment="1" applyProtection="1"/>
    <xf numFmtId="0" fontId="24" fillId="16" borderId="3" xfId="0" applyFont="1" applyFill="1" applyBorder="1" applyAlignment="1" applyProtection="1">
      <protection locked="0"/>
    </xf>
    <xf numFmtId="167" fontId="24" fillId="16" borderId="0" xfId="0" applyNumberFormat="1" applyFont="1" applyFill="1" applyBorder="1" applyAlignment="1" applyProtection="1"/>
    <xf numFmtId="0" fontId="24" fillId="16" borderId="0" xfId="0" applyFont="1" applyFill="1" applyBorder="1" applyAlignment="1" applyProtection="1">
      <protection locked="0"/>
    </xf>
    <xf numFmtId="0" fontId="24" fillId="16" borderId="0" xfId="0" applyFont="1" applyFill="1" applyAlignment="1" applyProtection="1">
      <alignment horizontal="left" indent="2"/>
    </xf>
    <xf numFmtId="3" fontId="22" fillId="16" borderId="0" xfId="0" applyNumberFormat="1" applyFont="1" applyFill="1" applyBorder="1" applyAlignment="1" applyProtection="1">
      <protection locked="0"/>
    </xf>
    <xf numFmtId="0" fontId="26" fillId="16" borderId="8" xfId="0" applyFont="1" applyFill="1" applyBorder="1" applyAlignment="1" applyProtection="1"/>
    <xf numFmtId="0" fontId="43" fillId="16" borderId="8" xfId="0" applyFont="1" applyFill="1" applyBorder="1" applyAlignment="1" applyProtection="1"/>
    <xf numFmtId="168" fontId="26" fillId="16" borderId="8" xfId="0" applyNumberFormat="1" applyFont="1" applyFill="1" applyBorder="1" applyAlignment="1" applyProtection="1"/>
    <xf numFmtId="168" fontId="50" fillId="16" borderId="8" xfId="0" applyNumberFormat="1" applyFont="1" applyFill="1" applyBorder="1" applyAlignment="1" applyProtection="1"/>
    <xf numFmtId="168" fontId="38" fillId="16" borderId="0" xfId="0" applyNumberFormat="1" applyFont="1" applyFill="1" applyBorder="1" applyAlignment="1" applyProtection="1">
      <alignment horizontal="right"/>
    </xf>
    <xf numFmtId="168" fontId="48" fillId="16" borderId="0" xfId="0" applyNumberFormat="1" applyFont="1" applyFill="1" applyBorder="1" applyAlignment="1" applyProtection="1">
      <alignment horizontal="right"/>
    </xf>
    <xf numFmtId="168" fontId="29" fillId="16" borderId="0" xfId="0" applyNumberFormat="1" applyFont="1" applyFill="1" applyBorder="1" applyAlignment="1" applyProtection="1">
      <alignment horizontal="right"/>
    </xf>
    <xf numFmtId="167" fontId="38" fillId="16" borderId="0" xfId="0" applyNumberFormat="1" applyFont="1" applyFill="1" applyBorder="1" applyAlignment="1" applyProtection="1"/>
    <xf numFmtId="167" fontId="29" fillId="16" borderId="0" xfId="0" applyNumberFormat="1" applyFont="1" applyFill="1" applyBorder="1" applyAlignment="1" applyProtection="1"/>
    <xf numFmtId="0" fontId="30" fillId="16" borderId="0" xfId="0" applyFont="1" applyFill="1" applyBorder="1" applyAlignment="1" applyProtection="1"/>
    <xf numFmtId="168" fontId="30" fillId="16" borderId="0" xfId="0" applyNumberFormat="1" applyFont="1" applyFill="1" applyBorder="1" applyAlignment="1" applyProtection="1"/>
    <xf numFmtId="0" fontId="26" fillId="16" borderId="0" xfId="0" applyFont="1" applyFill="1" applyBorder="1" applyAlignment="1" applyProtection="1"/>
    <xf numFmtId="167" fontId="45" fillId="16" borderId="0" xfId="0" applyNumberFormat="1" applyFont="1" applyFill="1" applyBorder="1" applyAlignment="1" applyProtection="1"/>
    <xf numFmtId="168" fontId="22" fillId="16" borderId="8" xfId="0" applyNumberFormat="1" applyFont="1" applyFill="1" applyBorder="1" applyAlignment="1" applyProtection="1"/>
    <xf numFmtId="0" fontId="26" fillId="16" borderId="10" xfId="0" applyFont="1" applyFill="1" applyBorder="1" applyAlignment="1" applyProtection="1">
      <alignment horizontal="left" indent="1"/>
    </xf>
    <xf numFmtId="0" fontId="26" fillId="16" borderId="10" xfId="0" applyFont="1" applyFill="1" applyBorder="1" applyAlignment="1" applyProtection="1"/>
    <xf numFmtId="0" fontId="43" fillId="16" borderId="10" xfId="0" applyFont="1" applyFill="1" applyBorder="1" applyAlignment="1" applyProtection="1"/>
    <xf numFmtId="168" fontId="26" fillId="16" borderId="10" xfId="0" applyNumberFormat="1" applyFont="1" applyFill="1" applyBorder="1" applyAlignment="1" applyProtection="1"/>
    <xf numFmtId="168" fontId="50" fillId="16" borderId="10" xfId="0" applyNumberFormat="1" applyFont="1" applyFill="1" applyBorder="1" applyAlignment="1" applyProtection="1"/>
    <xf numFmtId="0" fontId="26" fillId="16" borderId="0" xfId="0" applyFont="1" applyFill="1" applyBorder="1" applyAlignment="1" applyProtection="1">
      <alignment horizontal="left" indent="1"/>
    </xf>
    <xf numFmtId="0" fontId="43" fillId="16" borderId="0" xfId="0" applyFont="1" applyFill="1" applyBorder="1" applyAlignment="1" applyProtection="1"/>
    <xf numFmtId="168" fontId="26" fillId="16" borderId="0" xfId="0" applyNumberFormat="1" applyFont="1" applyFill="1" applyBorder="1" applyAlignment="1" applyProtection="1"/>
    <xf numFmtId="168" fontId="42" fillId="16" borderId="0" xfId="0" applyNumberFormat="1" applyFont="1" applyFill="1" applyBorder="1" applyAlignment="1" applyProtection="1"/>
    <xf numFmtId="7" fontId="22" fillId="16" borderId="0" xfId="0" applyNumberFormat="1" applyFont="1" applyFill="1" applyBorder="1" applyAlignment="1" applyProtection="1"/>
    <xf numFmtId="0" fontId="23" fillId="16" borderId="0" xfId="0" applyFont="1" applyFill="1" applyAlignment="1" applyProtection="1"/>
    <xf numFmtId="0" fontId="24" fillId="16" borderId="0" xfId="0" applyFont="1" applyFill="1" applyAlignment="1" applyProtection="1"/>
    <xf numFmtId="4" fontId="22" fillId="16" borderId="0" xfId="0" applyNumberFormat="1" applyFont="1" applyFill="1" applyAlignment="1" applyProtection="1"/>
    <xf numFmtId="1" fontId="22" fillId="16" borderId="0" xfId="0" applyNumberFormat="1" applyFont="1" applyFill="1" applyAlignment="1" applyProtection="1"/>
    <xf numFmtId="0" fontId="26" fillId="16" borderId="5" xfId="0" applyFont="1" applyFill="1" applyBorder="1" applyAlignment="1" applyProtection="1">
      <alignment horizontal="centerContinuous"/>
    </xf>
    <xf numFmtId="165" fontId="22" fillId="16" borderId="5" xfId="0" applyNumberFormat="1" applyFont="1" applyFill="1" applyBorder="1" applyAlignment="1" applyProtection="1">
      <alignment horizontal="centerContinuous"/>
    </xf>
    <xf numFmtId="0" fontId="22" fillId="16" borderId="5" xfId="0" applyFont="1" applyFill="1" applyBorder="1" applyAlignment="1" applyProtection="1">
      <alignment horizontal="centerContinuous"/>
    </xf>
    <xf numFmtId="0" fontId="22" fillId="16" borderId="16" xfId="0" applyFont="1" applyFill="1" applyBorder="1" applyAlignment="1" applyProtection="1">
      <alignment horizontal="centerContinuous"/>
    </xf>
    <xf numFmtId="0" fontId="22" fillId="16" borderId="8" xfId="0" applyFont="1" applyFill="1" applyBorder="1" applyAlignment="1" applyProtection="1">
      <alignment horizontal="left" indent="1"/>
    </xf>
    <xf numFmtId="171" fontId="29" fillId="16" borderId="8" xfId="0" applyNumberFormat="1" applyFont="1" applyFill="1" applyBorder="1" applyAlignment="1" applyProtection="1">
      <alignment horizontal="center"/>
    </xf>
    <xf numFmtId="0" fontId="22" fillId="16" borderId="9" xfId="0" applyFont="1" applyFill="1" applyBorder="1" applyAlignment="1" applyProtection="1">
      <alignment horizontal="left" indent="1"/>
    </xf>
    <xf numFmtId="0" fontId="22" fillId="16" borderId="9" xfId="0" applyFont="1" applyFill="1" applyBorder="1" applyAlignment="1" applyProtection="1"/>
    <xf numFmtId="171" fontId="22" fillId="16" borderId="9" xfId="0" applyNumberFormat="1" applyFont="1" applyFill="1" applyBorder="1" applyAlignment="1" applyProtection="1"/>
    <xf numFmtId="0" fontId="42" fillId="16" borderId="9" xfId="0" applyFont="1" applyFill="1" applyBorder="1" applyAlignment="1" applyProtection="1"/>
    <xf numFmtId="168" fontId="22" fillId="16" borderId="9" xfId="0" applyNumberFormat="1" applyFont="1" applyFill="1" applyBorder="1" applyAlignment="1" applyProtection="1">
      <protection locked="0"/>
    </xf>
    <xf numFmtId="167" fontId="22" fillId="16" borderId="9" xfId="0" applyNumberFormat="1" applyFont="1" applyFill="1" applyBorder="1" applyAlignment="1" applyProtection="1">
      <protection locked="0"/>
    </xf>
    <xf numFmtId="167" fontId="31" fillId="16" borderId="0" xfId="0" applyNumberFormat="1" applyFont="1" applyFill="1" applyBorder="1" applyAlignment="1" applyProtection="1">
      <protection locked="0"/>
    </xf>
    <xf numFmtId="173" fontId="29" fillId="16" borderId="0" xfId="0" applyNumberFormat="1" applyFont="1" applyFill="1" applyBorder="1" applyAlignment="1" applyProtection="1">
      <alignment horizontal="center"/>
      <protection locked="0"/>
    </xf>
    <xf numFmtId="168" fontId="29" fillId="16" borderId="0" xfId="0" applyNumberFormat="1" applyFont="1" applyFill="1" applyBorder="1" applyAlignment="1" applyProtection="1">
      <protection locked="0"/>
    </xf>
    <xf numFmtId="167" fontId="29" fillId="16" borderId="0" xfId="0" applyNumberFormat="1" applyFont="1" applyFill="1" applyBorder="1" applyAlignment="1" applyProtection="1">
      <protection locked="0"/>
    </xf>
    <xf numFmtId="0" fontId="22" fillId="16" borderId="2" xfId="0" applyFont="1" applyFill="1" applyBorder="1" applyAlignment="1" applyProtection="1">
      <alignment horizontal="left" indent="1"/>
    </xf>
    <xf numFmtId="0" fontId="22" fillId="16" borderId="2" xfId="0" applyFont="1" applyFill="1" applyBorder="1" applyAlignment="1" applyProtection="1"/>
    <xf numFmtId="171" fontId="22" fillId="16" borderId="2" xfId="0" applyNumberFormat="1" applyFont="1" applyFill="1" applyBorder="1" applyAlignment="1" applyProtection="1"/>
    <xf numFmtId="0" fontId="42" fillId="16" borderId="2" xfId="0" applyFont="1" applyFill="1" applyBorder="1" applyAlignment="1" applyProtection="1"/>
    <xf numFmtId="167" fontId="29" fillId="16" borderId="2" xfId="0" applyNumberFormat="1" applyFont="1" applyFill="1" applyBorder="1" applyAlignment="1" applyProtection="1">
      <protection locked="0"/>
    </xf>
    <xf numFmtId="173" fontId="29" fillId="16" borderId="2" xfId="0" applyNumberFormat="1" applyFont="1" applyFill="1" applyBorder="1" applyAlignment="1" applyProtection="1">
      <alignment horizontal="center"/>
      <protection locked="0"/>
    </xf>
    <xf numFmtId="168" fontId="29" fillId="16" borderId="9" xfId="0" applyNumberFormat="1" applyFont="1" applyFill="1" applyBorder="1" applyAlignment="1" applyProtection="1">
      <protection locked="0"/>
    </xf>
    <xf numFmtId="167" fontId="22" fillId="16" borderId="2" xfId="0" applyNumberFormat="1" applyFont="1" applyFill="1" applyBorder="1" applyAlignment="1" applyProtection="1">
      <protection locked="0"/>
    </xf>
    <xf numFmtId="168" fontId="38" fillId="16" borderId="9" xfId="0" applyNumberFormat="1" applyFont="1" applyFill="1" applyBorder="1" applyAlignment="1" applyProtection="1">
      <alignment horizontal="right"/>
      <protection locked="0"/>
    </xf>
    <xf numFmtId="168" fontId="38" fillId="16" borderId="0" xfId="0" applyNumberFormat="1" applyFont="1" applyFill="1" applyBorder="1" applyAlignment="1" applyProtection="1">
      <alignment horizontal="right"/>
      <protection locked="0"/>
    </xf>
    <xf numFmtId="168" fontId="29" fillId="16" borderId="0" xfId="0" applyNumberFormat="1" applyFont="1" applyFill="1" applyBorder="1" applyAlignment="1" applyProtection="1">
      <alignment horizontal="right"/>
      <protection locked="0"/>
    </xf>
    <xf numFmtId="173" fontId="44" fillId="16" borderId="0" xfId="0" applyNumberFormat="1" applyFont="1" applyFill="1" applyBorder="1" applyAlignment="1" applyProtection="1">
      <alignment horizontal="center"/>
      <protection locked="0"/>
    </xf>
    <xf numFmtId="168" fontId="45" fillId="16" borderId="0" xfId="0" applyNumberFormat="1" applyFont="1" applyFill="1" applyBorder="1" applyAlignment="1" applyProtection="1">
      <alignment horizontal="left" indent="2"/>
      <protection locked="0"/>
    </xf>
    <xf numFmtId="0" fontId="40" fillId="16" borderId="0" xfId="0" applyFont="1" applyFill="1" applyBorder="1" applyAlignment="1" applyProtection="1"/>
    <xf numFmtId="173" fontId="51" fillId="16" borderId="0" xfId="0" applyNumberFormat="1" applyFont="1" applyFill="1" applyBorder="1" applyAlignment="1" applyProtection="1">
      <alignment horizontal="center"/>
      <protection locked="0"/>
    </xf>
    <xf numFmtId="168" fontId="51" fillId="16" borderId="0" xfId="0" applyNumberFormat="1" applyFont="1" applyFill="1" applyBorder="1" applyAlignment="1" applyProtection="1">
      <alignment horizontal="left" indent="2"/>
      <protection locked="0"/>
    </xf>
    <xf numFmtId="173" fontId="29" fillId="16" borderId="0" xfId="0" applyNumberFormat="1" applyFont="1" applyFill="1" applyBorder="1" applyAlignment="1" applyProtection="1">
      <alignment horizontal="right"/>
      <protection locked="0"/>
    </xf>
    <xf numFmtId="167" fontId="38" fillId="16" borderId="0" xfId="0" applyNumberFormat="1" applyFont="1" applyFill="1" applyBorder="1" applyAlignment="1" applyProtection="1">
      <protection locked="0"/>
    </xf>
    <xf numFmtId="173" fontId="29" fillId="16" borderId="0" xfId="0" applyNumberFormat="1" applyFont="1" applyFill="1" applyBorder="1" applyAlignment="1" applyProtection="1">
      <protection locked="0"/>
    </xf>
    <xf numFmtId="173" fontId="38" fillId="16" borderId="0" xfId="0" applyNumberFormat="1" applyFont="1" applyFill="1" applyBorder="1" applyAlignment="1" applyProtection="1">
      <protection locked="0"/>
    </xf>
    <xf numFmtId="167" fontId="38" fillId="16" borderId="2" xfId="0" applyNumberFormat="1" applyFont="1" applyFill="1" applyBorder="1" applyAlignment="1" applyProtection="1">
      <protection locked="0"/>
    </xf>
    <xf numFmtId="168" fontId="38" fillId="16" borderId="9" xfId="0" applyNumberFormat="1" applyFont="1" applyFill="1" applyBorder="1" applyAlignment="1" applyProtection="1">
      <protection locked="0"/>
    </xf>
    <xf numFmtId="173" fontId="29" fillId="16" borderId="9" xfId="0" applyNumberFormat="1" applyFont="1" applyFill="1" applyBorder="1" applyAlignment="1" applyProtection="1">
      <protection locked="0"/>
    </xf>
    <xf numFmtId="173" fontId="29" fillId="16" borderId="2" xfId="0" applyNumberFormat="1" applyFont="1" applyFill="1" applyBorder="1" applyAlignment="1" applyProtection="1">
      <protection locked="0"/>
    </xf>
    <xf numFmtId="173" fontId="29" fillId="16" borderId="12" xfId="0" applyNumberFormat="1" applyFont="1" applyFill="1" applyBorder="1" applyAlignment="1" applyProtection="1">
      <protection locked="0"/>
    </xf>
    <xf numFmtId="0" fontId="40" fillId="16" borderId="0" xfId="0" applyFont="1" applyFill="1" applyAlignment="1" applyProtection="1">
      <protection locked="0"/>
    </xf>
    <xf numFmtId="0" fontId="40" fillId="16" borderId="3" xfId="0" applyFont="1" applyFill="1" applyBorder="1" applyAlignment="1" applyProtection="1">
      <protection locked="0"/>
    </xf>
    <xf numFmtId="168" fontId="40" fillId="16" borderId="0" xfId="0" applyNumberFormat="1" applyFont="1" applyFill="1" applyBorder="1" applyAlignment="1" applyProtection="1"/>
    <xf numFmtId="0" fontId="40" fillId="16" borderId="0" xfId="0" applyFont="1" applyFill="1" applyBorder="1" applyAlignment="1" applyProtection="1">
      <protection locked="0"/>
    </xf>
    <xf numFmtId="0" fontId="42" fillId="16" borderId="0" xfId="0" applyFont="1" applyFill="1" applyBorder="1" applyAlignment="1" applyProtection="1">
      <protection locked="0"/>
    </xf>
    <xf numFmtId="3" fontId="0" fillId="16" borderId="0" xfId="0" applyNumberFormat="1" applyFill="1" applyAlignment="1">
      <alignment horizontal="center"/>
    </xf>
    <xf numFmtId="0" fontId="22" fillId="0" borderId="5" xfId="0" applyFont="1" applyBorder="1" applyAlignment="1">
      <alignment horizontal="left"/>
    </xf>
    <xf numFmtId="0" fontId="0" fillId="11" borderId="0" xfId="0" applyFill="1" applyAlignment="1"/>
    <xf numFmtId="3" fontId="22" fillId="0" borderId="0" xfId="8" applyNumberFormat="1" applyFont="1" applyFill="1" applyBorder="1" applyAlignment="1"/>
    <xf numFmtId="168" fontId="22" fillId="0" borderId="0" xfId="0" applyNumberFormat="1" applyFont="1" applyFill="1" applyAlignment="1">
      <alignment horizontal="right"/>
    </xf>
    <xf numFmtId="168" fontId="22" fillId="19" borderId="9" xfId="0" applyNumberFormat="1" applyFont="1" applyFill="1" applyBorder="1" applyAlignment="1" applyProtection="1">
      <protection locked="0"/>
    </xf>
    <xf numFmtId="168" fontId="22" fillId="19" borderId="15" xfId="0" applyNumberFormat="1" applyFont="1" applyFill="1" applyBorder="1" applyAlignment="1" applyProtection="1">
      <protection locked="0"/>
    </xf>
    <xf numFmtId="173" fontId="31" fillId="19" borderId="0" xfId="0" applyNumberFormat="1" applyFont="1" applyFill="1" applyBorder="1" applyAlignment="1" applyProtection="1">
      <alignment horizontal="center"/>
      <protection locked="0"/>
    </xf>
    <xf numFmtId="173" fontId="31" fillId="19" borderId="0" xfId="0" applyNumberFormat="1" applyFont="1" applyFill="1" applyBorder="1" applyAlignment="1" applyProtection="1">
      <protection locked="0"/>
    </xf>
    <xf numFmtId="173" fontId="29" fillId="19" borderId="0" xfId="0" applyNumberFormat="1" applyFont="1" applyFill="1" applyBorder="1" applyAlignment="1" applyProtection="1">
      <alignment horizontal="center"/>
      <protection locked="0"/>
    </xf>
    <xf numFmtId="173" fontId="22" fillId="19" borderId="0" xfId="0" applyNumberFormat="1" applyFont="1" applyFill="1" applyBorder="1" applyAlignment="1" applyProtection="1">
      <alignment horizontal="center"/>
      <protection locked="0"/>
    </xf>
    <xf numFmtId="173" fontId="22" fillId="19" borderId="0" xfId="0" applyNumberFormat="1" applyFont="1" applyFill="1" applyBorder="1" applyAlignment="1" applyProtection="1">
      <protection locked="0"/>
    </xf>
    <xf numFmtId="168" fontId="38" fillId="19" borderId="9" xfId="0" applyNumberFormat="1" applyFont="1" applyFill="1" applyBorder="1" applyAlignment="1" applyProtection="1">
      <alignment horizontal="right"/>
      <protection locked="0"/>
    </xf>
    <xf numFmtId="168" fontId="38" fillId="19" borderId="15" xfId="0" applyNumberFormat="1" applyFont="1" applyFill="1" applyBorder="1" applyAlignment="1" applyProtection="1">
      <alignment horizontal="right"/>
      <protection locked="0"/>
    </xf>
    <xf numFmtId="0" fontId="22" fillId="11" borderId="0" xfId="0" applyFont="1" applyFill="1" applyBorder="1" applyAlignment="1">
      <alignment horizontal="left" indent="1"/>
    </xf>
    <xf numFmtId="0" fontId="26" fillId="11" borderId="0" xfId="0" applyFont="1" applyFill="1" applyAlignment="1"/>
    <xf numFmtId="0" fontId="26" fillId="11" borderId="0" xfId="0" applyFont="1" applyFill="1" applyBorder="1" applyAlignment="1"/>
    <xf numFmtId="168" fontId="64" fillId="11" borderId="13" xfId="0" applyNumberFormat="1" applyFont="1" applyFill="1" applyBorder="1" applyAlignment="1">
      <alignment horizontal="center" vertical="center"/>
    </xf>
    <xf numFmtId="174" fontId="65" fillId="18" borderId="13" xfId="0" applyNumberFormat="1" applyFont="1" applyFill="1" applyBorder="1" applyAlignment="1" applyProtection="1">
      <alignment horizontal="center" vertical="center"/>
    </xf>
    <xf numFmtId="0" fontId="57" fillId="11" borderId="0" xfId="0" applyFont="1" applyFill="1" applyBorder="1" applyAlignment="1"/>
    <xf numFmtId="0" fontId="64" fillId="11" borderId="0" xfId="0" applyFont="1" applyFill="1" applyBorder="1" applyAlignment="1">
      <alignment horizontal="left" indent="1"/>
    </xf>
    <xf numFmtId="0" fontId="64" fillId="16" borderId="0" xfId="0" applyFont="1" applyFill="1" applyAlignment="1">
      <alignment horizontal="center" vertical="center"/>
    </xf>
    <xf numFmtId="0" fontId="64" fillId="16" borderId="0" xfId="0" applyFont="1" applyFill="1" applyAlignment="1">
      <alignment horizontal="center"/>
    </xf>
    <xf numFmtId="0" fontId="64" fillId="16" borderId="0" xfId="0" applyFont="1" applyFill="1" applyAlignment="1"/>
    <xf numFmtId="0" fontId="64" fillId="16" borderId="0" xfId="0" applyFont="1" applyFill="1" applyBorder="1" applyAlignment="1" applyProtection="1"/>
    <xf numFmtId="168" fontId="64" fillId="16" borderId="0" xfId="0" applyNumberFormat="1" applyFont="1" applyFill="1" applyAlignment="1">
      <alignment horizontal="center" vertical="center"/>
    </xf>
    <xf numFmtId="0" fontId="67" fillId="16" borderId="0" xfId="0" applyFont="1" applyFill="1" applyBorder="1" applyAlignment="1" applyProtection="1">
      <alignment horizontal="center" vertical="center"/>
    </xf>
    <xf numFmtId="168" fontId="64" fillId="16" borderId="0" xfId="0" applyNumberFormat="1" applyFont="1" applyFill="1" applyBorder="1" applyAlignment="1" applyProtection="1">
      <alignment horizontal="center" vertical="center"/>
    </xf>
    <xf numFmtId="168" fontId="64" fillId="16" borderId="14" xfId="0" applyNumberFormat="1" applyFont="1" applyFill="1" applyBorder="1" applyAlignment="1" applyProtection="1">
      <alignment horizontal="center" vertical="center"/>
    </xf>
    <xf numFmtId="168" fontId="57" fillId="16" borderId="0" xfId="0" applyNumberFormat="1" applyFont="1" applyFill="1" applyBorder="1" applyAlignment="1" applyProtection="1">
      <alignment horizontal="center" vertical="center"/>
    </xf>
    <xf numFmtId="167" fontId="22" fillId="0" borderId="5" xfId="0" applyNumberFormat="1" applyFont="1" applyBorder="1" applyAlignment="1">
      <alignment horizontal="centerContinuous"/>
    </xf>
    <xf numFmtId="0" fontId="22" fillId="11" borderId="0" xfId="0" applyFont="1" applyFill="1" applyBorder="1" applyAlignment="1"/>
    <xf numFmtId="9" fontId="29" fillId="0" borderId="0" xfId="8" applyNumberFormat="1" applyFont="1" applyFill="1" applyAlignment="1"/>
    <xf numFmtId="168" fontId="29" fillId="16" borderId="0" xfId="0" applyNumberFormat="1" applyFont="1" applyFill="1" applyAlignment="1"/>
    <xf numFmtId="0" fontId="68" fillId="16" borderId="0" xfId="13" applyFill="1" applyBorder="1"/>
    <xf numFmtId="3" fontId="68" fillId="16" borderId="0" xfId="13" applyNumberFormat="1" applyFill="1" applyBorder="1"/>
    <xf numFmtId="0" fontId="69" fillId="16" borderId="0" xfId="13" applyFont="1" applyFill="1" applyBorder="1"/>
    <xf numFmtId="3" fontId="69" fillId="16" borderId="0" xfId="13" applyNumberFormat="1" applyFont="1" applyFill="1" applyBorder="1"/>
    <xf numFmtId="0" fontId="68" fillId="16" borderId="0" xfId="13" applyNumberFormat="1" applyFill="1" applyBorder="1" applyAlignment="1">
      <alignment horizontal="right"/>
    </xf>
    <xf numFmtId="9" fontId="68" fillId="16" borderId="0" xfId="13" applyNumberFormat="1" applyFill="1" applyBorder="1"/>
    <xf numFmtId="3" fontId="68" fillId="16" borderId="0" xfId="13" applyNumberFormat="1" applyFill="1" applyBorder="1" applyAlignment="1">
      <alignment horizontal="center"/>
    </xf>
    <xf numFmtId="0" fontId="68" fillId="16" borderId="0" xfId="13" applyFill="1" applyBorder="1" applyAlignment="1">
      <alignment horizontal="center"/>
    </xf>
    <xf numFmtId="9" fontId="68" fillId="16" borderId="0" xfId="13" applyNumberFormat="1" applyFill="1" applyBorder="1" applyAlignment="1">
      <alignment horizontal="center"/>
    </xf>
    <xf numFmtId="0" fontId="70" fillId="16" borderId="0" xfId="13" applyFont="1" applyFill="1" applyBorder="1"/>
    <xf numFmtId="3" fontId="68" fillId="11" borderId="0" xfId="13" applyNumberFormat="1" applyFill="1" applyBorder="1" applyAlignment="1">
      <alignment horizontal="center"/>
    </xf>
    <xf numFmtId="176" fontId="70" fillId="16" borderId="0" xfId="8" applyNumberFormat="1" applyFont="1" applyFill="1" applyBorder="1" applyAlignment="1">
      <alignment horizontal="center"/>
    </xf>
    <xf numFmtId="2" fontId="70" fillId="15" borderId="0" xfId="13" applyNumberFormat="1" applyFont="1" applyFill="1" applyBorder="1" applyAlignment="1">
      <alignment horizontal="center"/>
    </xf>
    <xf numFmtId="0" fontId="70" fillId="15" borderId="0" xfId="13" applyFont="1" applyFill="1" applyBorder="1" applyAlignment="1">
      <alignment horizontal="center"/>
    </xf>
    <xf numFmtId="2" fontId="70" fillId="15" borderId="0" xfId="13" applyNumberFormat="1" applyFont="1" applyFill="1" applyBorder="1" applyAlignment="1">
      <alignment horizontal="right"/>
    </xf>
    <xf numFmtId="176" fontId="69" fillId="16" borderId="0" xfId="13" applyNumberFormat="1" applyFont="1" applyFill="1" applyBorder="1" applyAlignment="1">
      <alignment horizontal="center"/>
    </xf>
    <xf numFmtId="0" fontId="71" fillId="16" borderId="0" xfId="13" applyFont="1" applyFill="1" applyBorder="1" applyAlignment="1">
      <alignment vertical="center"/>
    </xf>
    <xf numFmtId="0" fontId="71" fillId="16" borderId="0" xfId="13" applyFont="1" applyFill="1" applyBorder="1" applyAlignment="1">
      <alignment horizontal="center" vertical="center"/>
    </xf>
    <xf numFmtId="2" fontId="70" fillId="16" borderId="0" xfId="13" applyNumberFormat="1" applyFont="1" applyFill="1" applyBorder="1" applyAlignment="1">
      <alignment horizontal="center"/>
    </xf>
    <xf numFmtId="179" fontId="68" fillId="16" borderId="0" xfId="13" applyNumberFormat="1" applyFill="1" applyBorder="1" applyAlignment="1">
      <alignment horizontal="center"/>
    </xf>
    <xf numFmtId="168" fontId="22" fillId="16" borderId="0" xfId="0" applyNumberFormat="1" applyFont="1" applyFill="1" applyBorder="1" applyAlignment="1">
      <alignment horizontal="right"/>
    </xf>
    <xf numFmtId="0" fontId="22" fillId="0" borderId="0" xfId="0" applyFont="1" applyBorder="1" applyAlignment="1">
      <alignment horizontal="right"/>
    </xf>
    <xf numFmtId="168" fontId="30" fillId="12" borderId="8" xfId="0" applyNumberFormat="1" applyFont="1" applyFill="1" applyBorder="1" applyAlignment="1">
      <alignment horizontal="right"/>
    </xf>
    <xf numFmtId="3" fontId="22" fillId="0" borderId="0" xfId="8" applyNumberFormat="1" applyFont="1" applyFill="1" applyBorder="1" applyAlignment="1">
      <alignment horizontal="right"/>
    </xf>
    <xf numFmtId="167" fontId="22" fillId="0" borderId="0" xfId="0" applyNumberFormat="1" applyFont="1" applyBorder="1" applyAlignment="1">
      <alignment horizontal="right"/>
    </xf>
    <xf numFmtId="168" fontId="22" fillId="12" borderId="8" xfId="0" applyNumberFormat="1" applyFont="1" applyFill="1" applyBorder="1" applyAlignment="1">
      <alignment horizontal="right"/>
    </xf>
    <xf numFmtId="176" fontId="22" fillId="0" borderId="0" xfId="8" applyNumberFormat="1" applyFont="1" applyFill="1" applyBorder="1" applyAlignment="1">
      <alignment horizontal="right"/>
    </xf>
    <xf numFmtId="9" fontId="22" fillId="0" borderId="0" xfId="8" applyNumberFormat="1" applyFont="1" applyFill="1" applyBorder="1" applyAlignment="1">
      <alignment horizontal="right"/>
    </xf>
    <xf numFmtId="9" fontId="22" fillId="0" borderId="0" xfId="8" applyFont="1" applyFill="1" applyBorder="1" applyAlignment="1">
      <alignment horizontal="right"/>
    </xf>
    <xf numFmtId="168" fontId="26" fillId="12" borderId="8" xfId="0" applyNumberFormat="1" applyFont="1" applyFill="1" applyBorder="1" applyAlignment="1">
      <alignment horizontal="right"/>
    </xf>
    <xf numFmtId="0" fontId="40" fillId="0" borderId="0" xfId="0" applyFont="1" applyBorder="1" applyAlignment="1"/>
    <xf numFmtId="0" fontId="26" fillId="2" borderId="0" xfId="0" applyFont="1" applyFill="1" applyAlignment="1"/>
    <xf numFmtId="0" fontId="26" fillId="0" borderId="3" xfId="0" applyFont="1" applyBorder="1" applyAlignment="1"/>
    <xf numFmtId="0" fontId="26" fillId="0" borderId="0" xfId="0" applyFont="1" applyFill="1" applyBorder="1" applyAlignment="1"/>
    <xf numFmtId="167" fontId="26" fillId="0" borderId="0" xfId="0" applyNumberFormat="1" applyFont="1" applyFill="1" applyBorder="1" applyAlignment="1"/>
    <xf numFmtId="0" fontId="26" fillId="0" borderId="0" xfId="0" applyFont="1" applyFill="1" applyAlignment="1"/>
    <xf numFmtId="167" fontId="26" fillId="0" borderId="2" xfId="0" applyNumberFormat="1" applyFont="1" applyFill="1" applyBorder="1" applyAlignment="1"/>
    <xf numFmtId="167" fontId="26" fillId="0" borderId="0" xfId="0" applyNumberFormat="1" applyFont="1" applyFill="1" applyAlignment="1"/>
    <xf numFmtId="0" fontId="26" fillId="0" borderId="9" xfId="0" applyFont="1" applyFill="1" applyBorder="1" applyAlignment="1"/>
    <xf numFmtId="167" fontId="26" fillId="0" borderId="9" xfId="0" applyNumberFormat="1" applyFont="1" applyFill="1" applyBorder="1" applyAlignment="1"/>
    <xf numFmtId="176" fontId="48" fillId="16" borderId="0" xfId="8" applyNumberFormat="1" applyFont="1" applyFill="1" applyBorder="1" applyAlignment="1" applyProtection="1"/>
    <xf numFmtId="43" fontId="22" fillId="0" borderId="0" xfId="9" applyFont="1" applyAlignment="1"/>
    <xf numFmtId="43" fontId="22" fillId="0" borderId="0" xfId="8" applyNumberFormat="1" applyFont="1" applyAlignment="1"/>
    <xf numFmtId="168" fontId="22" fillId="0" borderId="0" xfId="9" applyNumberFormat="1" applyFont="1" applyAlignment="1"/>
    <xf numFmtId="10" fontId="26" fillId="0" borderId="0" xfId="8" applyNumberFormat="1" applyFont="1" applyAlignment="1"/>
    <xf numFmtId="168" fontId="26" fillId="0" borderId="0" xfId="8" applyNumberFormat="1" applyFont="1" applyAlignment="1"/>
    <xf numFmtId="176" fontId="72" fillId="0" borderId="0" xfId="8" applyNumberFormat="1" applyFont="1"/>
    <xf numFmtId="10" fontId="22" fillId="8" borderId="0" xfId="8" applyNumberFormat="1" applyFont="1" applyFill="1" applyBorder="1" applyAlignment="1"/>
    <xf numFmtId="168" fontId="49" fillId="16" borderId="0" xfId="0" applyNumberFormat="1" applyFont="1" applyFill="1" applyBorder="1" applyAlignment="1" applyProtection="1"/>
    <xf numFmtId="181" fontId="22" fillId="0" borderId="0" xfId="0" applyNumberFormat="1" applyFont="1" applyAlignment="1"/>
    <xf numFmtId="181" fontId="22" fillId="0" borderId="0" xfId="9" applyNumberFormat="1" applyFont="1" applyFill="1" applyAlignment="1"/>
    <xf numFmtId="164" fontId="65" fillId="18" borderId="13" xfId="0" applyNumberFormat="1" applyFont="1" applyFill="1" applyBorder="1" applyAlignment="1" applyProtection="1">
      <alignment horizontal="center" vertical="center"/>
    </xf>
    <xf numFmtId="7" fontId="22" fillId="0" borderId="0" xfId="0" applyNumberFormat="1" applyFont="1" applyBorder="1" applyAlignment="1"/>
    <xf numFmtId="176" fontId="29" fillId="12" borderId="0" xfId="8" applyNumberFormat="1" applyFont="1" applyFill="1" applyBorder="1" applyAlignment="1"/>
    <xf numFmtId="176" fontId="29" fillId="12" borderId="17" xfId="8" applyNumberFormat="1" applyFont="1" applyFill="1" applyBorder="1" applyAlignment="1"/>
    <xf numFmtId="169" fontId="73" fillId="12" borderId="17" xfId="0" applyNumberFormat="1" applyFont="1" applyFill="1" applyBorder="1" applyAlignment="1"/>
    <xf numFmtId="169" fontId="73" fillId="12" borderId="0" xfId="0" applyNumberFormat="1" applyFont="1" applyFill="1" applyBorder="1" applyAlignment="1"/>
    <xf numFmtId="176" fontId="29" fillId="12" borderId="12" xfId="8" applyNumberFormat="1" applyFont="1" applyFill="1" applyBorder="1" applyAlignment="1"/>
    <xf numFmtId="174" fontId="63" fillId="20" borderId="13" xfId="0" applyNumberFormat="1" applyFont="1" applyFill="1" applyBorder="1" applyAlignment="1" applyProtection="1">
      <alignment horizontal="center" vertical="center"/>
    </xf>
    <xf numFmtId="173" fontId="48" fillId="16" borderId="0" xfId="0" applyNumberFormat="1" applyFont="1" applyFill="1" applyBorder="1" applyAlignment="1" applyProtection="1">
      <alignment horizontal="center"/>
      <protection locked="0"/>
    </xf>
    <xf numFmtId="0" fontId="22" fillId="21" borderId="0" xfId="0" applyFont="1" applyFill="1" applyAlignment="1"/>
    <xf numFmtId="169" fontId="29" fillId="7" borderId="0" xfId="0" applyNumberFormat="1" applyFont="1" applyFill="1" applyAlignment="1"/>
    <xf numFmtId="168" fontId="22" fillId="7" borderId="12" xfId="0" applyNumberFormat="1" applyFont="1" applyFill="1" applyBorder="1" applyAlignment="1"/>
    <xf numFmtId="0" fontId="22" fillId="22" borderId="0" xfId="0" applyFont="1" applyFill="1" applyAlignment="1"/>
    <xf numFmtId="167" fontId="29" fillId="22" borderId="0" xfId="0" applyNumberFormat="1" applyFont="1" applyFill="1" applyAlignment="1"/>
    <xf numFmtId="167" fontId="29" fillId="22" borderId="0" xfId="0" applyNumberFormat="1" applyFont="1" applyFill="1" applyBorder="1" applyAlignment="1"/>
    <xf numFmtId="171" fontId="22" fillId="22" borderId="0" xfId="0" applyNumberFormat="1" applyFont="1" applyFill="1" applyAlignment="1"/>
    <xf numFmtId="0" fontId="22" fillId="16" borderId="3" xfId="0" applyFont="1" applyFill="1" applyBorder="1" applyAlignment="1"/>
    <xf numFmtId="0" fontId="22" fillId="16" borderId="0" xfId="0" applyFont="1" applyFill="1" applyAlignment="1">
      <alignment horizontal="left" indent="1"/>
    </xf>
    <xf numFmtId="168" fontId="29" fillId="16" borderId="0" xfId="0" applyNumberFormat="1" applyFont="1" applyFill="1" applyAlignment="1">
      <alignment vertical="top"/>
    </xf>
    <xf numFmtId="168" fontId="29" fillId="16" borderId="0" xfId="0" applyNumberFormat="1" applyFont="1" applyFill="1" applyBorder="1" applyAlignment="1"/>
    <xf numFmtId="167" fontId="29" fillId="0" borderId="0" xfId="0" applyNumberFormat="1" applyFont="1" applyFill="1" applyAlignment="1">
      <alignment vertical="top"/>
    </xf>
    <xf numFmtId="0" fontId="22" fillId="0" borderId="0" xfId="0" applyFont="1" applyFill="1" applyBorder="1" applyAlignment="1">
      <alignment horizontal="left" indent="2"/>
    </xf>
    <xf numFmtId="0" fontId="22" fillId="21" borderId="3" xfId="0" applyFont="1" applyFill="1" applyBorder="1" applyAlignment="1"/>
    <xf numFmtId="182" fontId="40" fillId="0" borderId="0" xfId="0" applyNumberFormat="1" applyFont="1" applyAlignment="1">
      <alignment horizontal="center"/>
    </xf>
    <xf numFmtId="0" fontId="74" fillId="16" borderId="13" xfId="0" applyFont="1" applyFill="1" applyBorder="1" applyAlignment="1">
      <alignment horizontal="center" vertical="center"/>
    </xf>
    <xf numFmtId="0" fontId="74" fillId="16" borderId="0" xfId="0" applyFont="1" applyFill="1" applyBorder="1" applyAlignment="1">
      <alignment horizontal="center" vertical="center"/>
    </xf>
    <xf numFmtId="9" fontId="59" fillId="16" borderId="0" xfId="8" applyFont="1" applyFill="1" applyBorder="1" applyAlignment="1">
      <alignment horizontal="center" vertical="center"/>
    </xf>
    <xf numFmtId="9" fontId="59" fillId="16" borderId="0" xfId="8" applyNumberFormat="1" applyFont="1" applyFill="1" applyBorder="1" applyAlignment="1">
      <alignment horizontal="center" vertical="center"/>
    </xf>
    <xf numFmtId="0" fontId="59" fillId="16" borderId="0" xfId="0" applyFont="1" applyFill="1" applyBorder="1" applyAlignment="1">
      <alignment horizontal="center" vertical="center"/>
    </xf>
    <xf numFmtId="168" fontId="59" fillId="16" borderId="0" xfId="0" applyNumberFormat="1" applyFont="1" applyFill="1" applyBorder="1" applyAlignment="1">
      <alignment horizontal="center" vertical="center"/>
    </xf>
    <xf numFmtId="0" fontId="53" fillId="16" borderId="0" xfId="0" applyFont="1" applyFill="1" applyBorder="1" applyAlignment="1" applyProtection="1">
      <alignment horizontal="center"/>
    </xf>
    <xf numFmtId="3" fontId="53" fillId="16" borderId="0" xfId="0" applyNumberFormat="1" applyFont="1" applyFill="1" applyAlignment="1">
      <alignment horizontal="center"/>
    </xf>
    <xf numFmtId="0" fontId="22" fillId="0" borderId="18" xfId="10" applyFont="1" applyBorder="1" applyAlignment="1"/>
    <xf numFmtId="0" fontId="21" fillId="0" borderId="20" xfId="10" applyBorder="1" applyAlignment="1"/>
    <xf numFmtId="0" fontId="60" fillId="0" borderId="20" xfId="10" applyFont="1" applyBorder="1" applyAlignment="1"/>
    <xf numFmtId="9" fontId="24" fillId="0" borderId="20" xfId="12" applyFont="1" applyBorder="1" applyAlignment="1"/>
    <xf numFmtId="0" fontId="22" fillId="0" borderId="3" xfId="10" applyFont="1" applyBorder="1" applyAlignment="1"/>
    <xf numFmtId="0" fontId="21" fillId="0" borderId="0" xfId="10" applyBorder="1" applyAlignment="1"/>
    <xf numFmtId="0" fontId="60" fillId="0" borderId="0" xfId="10" applyFont="1" applyBorder="1" applyAlignment="1"/>
    <xf numFmtId="9" fontId="24" fillId="0" borderId="0" xfId="12" applyFont="1" applyBorder="1" applyAlignment="1"/>
    <xf numFmtId="9" fontId="24" fillId="0" borderId="0" xfId="8" applyFont="1" applyBorder="1" applyAlignment="1"/>
    <xf numFmtId="0" fontId="22" fillId="0" borderId="0" xfId="0" applyFont="1" applyFill="1" applyAlignment="1">
      <alignment horizontal="left"/>
    </xf>
    <xf numFmtId="0" fontId="30" fillId="0" borderId="0" xfId="0" applyFont="1" applyFill="1" applyAlignment="1">
      <alignment horizontal="left"/>
    </xf>
    <xf numFmtId="0" fontId="22" fillId="0" borderId="0" xfId="0" applyFont="1" applyFill="1" applyBorder="1" applyAlignment="1">
      <alignment horizontal="left"/>
    </xf>
    <xf numFmtId="0" fontId="22" fillId="7" borderId="0" xfId="0" applyFont="1" applyFill="1" applyAlignment="1">
      <alignment horizontal="left"/>
    </xf>
    <xf numFmtId="0" fontId="22" fillId="7" borderId="0" xfId="10" applyFont="1" applyFill="1" applyAlignment="1">
      <alignment horizontal="left" indent="1"/>
    </xf>
    <xf numFmtId="0" fontId="22" fillId="10" borderId="0" xfId="0" applyFont="1" applyFill="1" applyAlignment="1">
      <alignment horizontal="left"/>
    </xf>
    <xf numFmtId="0" fontId="22" fillId="22" borderId="0" xfId="0" applyFont="1" applyFill="1" applyAlignment="1">
      <alignment horizontal="left"/>
    </xf>
    <xf numFmtId="0" fontId="22" fillId="8" borderId="0" xfId="0" applyFont="1" applyFill="1" applyBorder="1" applyAlignment="1">
      <alignment horizontal="left"/>
    </xf>
    <xf numFmtId="0" fontId="22" fillId="9" borderId="0" xfId="0" applyFont="1" applyFill="1" applyAlignment="1">
      <alignment horizontal="left"/>
    </xf>
    <xf numFmtId="0" fontId="22" fillId="14" borderId="0" xfId="0" applyFont="1" applyFill="1" applyBorder="1" applyAlignment="1">
      <alignment horizontal="left"/>
    </xf>
    <xf numFmtId="0" fontId="22" fillId="14" borderId="0" xfId="0" applyFont="1" applyFill="1" applyAlignment="1">
      <alignment horizontal="left" indent="1"/>
    </xf>
    <xf numFmtId="0" fontId="26" fillId="0" borderId="0" xfId="0" applyFont="1" applyFill="1" applyBorder="1" applyAlignment="1">
      <alignment horizontal="left"/>
    </xf>
    <xf numFmtId="0" fontId="26" fillId="0" borderId="0" xfId="0" applyFont="1" applyFill="1" applyAlignment="1">
      <alignment horizontal="left"/>
    </xf>
    <xf numFmtId="0" fontId="26" fillId="0" borderId="9" xfId="0" applyFont="1" applyFill="1" applyBorder="1" applyAlignment="1">
      <alignment horizontal="left"/>
    </xf>
    <xf numFmtId="0" fontId="22" fillId="2" borderId="18" xfId="0" applyFont="1" applyFill="1" applyBorder="1" applyAlignment="1"/>
    <xf numFmtId="0" fontId="22" fillId="2" borderId="20" xfId="0" applyFont="1" applyFill="1" applyBorder="1" applyAlignment="1"/>
    <xf numFmtId="0" fontId="22" fillId="0" borderId="18" xfId="0" applyFont="1" applyBorder="1" applyAlignment="1"/>
    <xf numFmtId="0" fontId="22" fillId="2" borderId="3" xfId="0" applyFont="1" applyFill="1" applyBorder="1" applyAlignment="1"/>
    <xf numFmtId="0" fontId="22" fillId="2" borderId="23" xfId="0" applyFont="1" applyFill="1" applyBorder="1" applyAlignment="1"/>
    <xf numFmtId="0" fontId="22" fillId="2" borderId="24" xfId="0" applyFont="1" applyFill="1" applyBorder="1" applyAlignment="1"/>
    <xf numFmtId="0" fontId="22" fillId="0" borderId="23" xfId="0" applyFont="1" applyBorder="1" applyAlignment="1"/>
    <xf numFmtId="167" fontId="22" fillId="0" borderId="24" xfId="0" applyNumberFormat="1" applyFont="1" applyBorder="1" applyAlignment="1"/>
    <xf numFmtId="0" fontId="22" fillId="0" borderId="24" xfId="0" applyFont="1" applyBorder="1" applyAlignment="1"/>
    <xf numFmtId="9" fontId="22" fillId="0" borderId="24" xfId="8" applyFont="1" applyBorder="1" applyAlignment="1"/>
    <xf numFmtId="183" fontId="22" fillId="0" borderId="0" xfId="0" applyNumberFormat="1" applyFont="1" applyFill="1" applyAlignment="1"/>
    <xf numFmtId="183" fontId="22" fillId="0" borderId="0" xfId="0" applyNumberFormat="1" applyFont="1" applyAlignment="1"/>
    <xf numFmtId="183" fontId="29" fillId="0" borderId="0" xfId="0" applyNumberFormat="1" applyFont="1" applyFill="1" applyAlignment="1"/>
    <xf numFmtId="183" fontId="22" fillId="0" borderId="0" xfId="0" applyNumberFormat="1" applyFont="1" applyFill="1" applyBorder="1" applyAlignment="1"/>
    <xf numFmtId="183" fontId="22" fillId="7" borderId="0" xfId="0" applyNumberFormat="1" applyFont="1" applyFill="1" applyBorder="1" applyAlignment="1"/>
    <xf numFmtId="183" fontId="22" fillId="7" borderId="12" xfId="0" applyNumberFormat="1" applyFont="1" applyFill="1" applyBorder="1" applyAlignment="1"/>
    <xf numFmtId="183" fontId="22" fillId="7" borderId="19" xfId="0" applyNumberFormat="1" applyFont="1" applyFill="1" applyBorder="1" applyAlignment="1"/>
    <xf numFmtId="183" fontId="22" fillId="16" borderId="0" xfId="0" applyNumberFormat="1" applyFont="1" applyFill="1" applyBorder="1" applyAlignment="1"/>
    <xf numFmtId="183" fontId="22" fillId="10" borderId="0" xfId="0" applyNumberFormat="1" applyFont="1" applyFill="1" applyBorder="1" applyAlignment="1"/>
    <xf numFmtId="183" fontId="22" fillId="8" borderId="0" xfId="0" applyNumberFormat="1" applyFont="1" applyFill="1" applyBorder="1" applyAlignment="1"/>
    <xf numFmtId="183" fontId="22" fillId="8" borderId="19" xfId="0" applyNumberFormat="1" applyFont="1" applyFill="1" applyBorder="1" applyAlignment="1"/>
    <xf numFmtId="183" fontId="22" fillId="0" borderId="0" xfId="0" applyNumberFormat="1" applyFont="1" applyBorder="1" applyAlignment="1"/>
    <xf numFmtId="183" fontId="22" fillId="9" borderId="0" xfId="0" applyNumberFormat="1" applyFont="1" applyFill="1" applyBorder="1" applyAlignment="1"/>
    <xf numFmtId="183" fontId="22" fillId="9" borderId="19" xfId="0" applyNumberFormat="1" applyFont="1" applyFill="1" applyBorder="1" applyAlignment="1"/>
    <xf numFmtId="183" fontId="22" fillId="14" borderId="0" xfId="0" applyNumberFormat="1" applyFont="1" applyFill="1" applyBorder="1" applyAlignment="1"/>
    <xf numFmtId="183" fontId="22" fillId="14" borderId="19" xfId="0" applyNumberFormat="1" applyFont="1" applyFill="1" applyBorder="1" applyAlignment="1"/>
    <xf numFmtId="0" fontId="24" fillId="0" borderId="0" xfId="0" applyFont="1" applyAlignment="1">
      <alignment horizontal="left"/>
    </xf>
    <xf numFmtId="167" fontId="22" fillId="0" borderId="0" xfId="9" applyNumberFormat="1" applyFont="1" applyFill="1" applyAlignment="1"/>
    <xf numFmtId="167" fontId="22" fillId="0" borderId="0" xfId="9" applyNumberFormat="1" applyFont="1" applyAlignment="1"/>
    <xf numFmtId="168" fontId="64" fillId="16" borderId="0" xfId="0" applyNumberFormat="1" applyFont="1" applyFill="1" applyBorder="1" applyAlignment="1" applyProtection="1"/>
    <xf numFmtId="0" fontId="22" fillId="24" borderId="5" xfId="0" applyFont="1" applyFill="1" applyBorder="1" applyAlignment="1"/>
    <xf numFmtId="0" fontId="22" fillId="24" borderId="0" xfId="0" applyFont="1" applyFill="1" applyAlignment="1">
      <alignment horizontal="left" indent="1"/>
    </xf>
    <xf numFmtId="168" fontId="22" fillId="24" borderId="5" xfId="0" applyNumberFormat="1" applyFont="1" applyFill="1" applyBorder="1" applyAlignment="1"/>
    <xf numFmtId="167" fontId="22" fillId="24" borderId="5" xfId="0" applyNumberFormat="1" applyFont="1" applyFill="1" applyBorder="1" applyAlignment="1"/>
    <xf numFmtId="183" fontId="22" fillId="24" borderId="5" xfId="0" applyNumberFormat="1" applyFont="1" applyFill="1" applyBorder="1" applyAlignment="1"/>
    <xf numFmtId="0" fontId="22" fillId="24" borderId="0" xfId="0" applyFont="1" applyFill="1" applyAlignment="1" applyProtection="1">
      <alignment horizontal="left" indent="1"/>
    </xf>
    <xf numFmtId="0" fontId="22" fillId="24" borderId="0" xfId="0" applyFont="1" applyFill="1" applyAlignment="1"/>
    <xf numFmtId="167" fontId="48" fillId="24" borderId="0" xfId="0" applyNumberFormat="1" applyFont="1" applyFill="1" applyBorder="1" applyAlignment="1" applyProtection="1"/>
    <xf numFmtId="167" fontId="22" fillId="24" borderId="0" xfId="0" applyNumberFormat="1" applyFont="1" applyFill="1" applyBorder="1" applyAlignment="1" applyProtection="1"/>
    <xf numFmtId="183" fontId="22" fillId="24" borderId="0" xfId="9" applyNumberFormat="1" applyFont="1" applyFill="1" applyAlignment="1"/>
    <xf numFmtId="0" fontId="22" fillId="25" borderId="0" xfId="0" applyFont="1" applyFill="1" applyBorder="1" applyAlignment="1">
      <alignment horizontal="left"/>
    </xf>
    <xf numFmtId="0" fontId="22" fillId="25" borderId="0" xfId="0" applyFont="1" applyFill="1" applyBorder="1" applyAlignment="1"/>
    <xf numFmtId="167" fontId="22" fillId="25" borderId="0" xfId="0" applyNumberFormat="1" applyFont="1" applyFill="1" applyBorder="1" applyAlignment="1"/>
    <xf numFmtId="183" fontId="22" fillId="25" borderId="0" xfId="0" applyNumberFormat="1" applyFont="1" applyFill="1" applyBorder="1" applyAlignment="1"/>
    <xf numFmtId="0" fontId="22" fillId="25" borderId="0" xfId="0" applyFont="1" applyFill="1" applyBorder="1" applyAlignment="1">
      <alignment horizontal="left" indent="1"/>
    </xf>
    <xf numFmtId="0" fontId="22" fillId="25" borderId="5" xfId="0" applyFont="1" applyFill="1" applyBorder="1" applyAlignment="1"/>
    <xf numFmtId="176" fontId="24" fillId="25" borderId="5" xfId="8" applyNumberFormat="1" applyFont="1" applyFill="1" applyBorder="1" applyAlignment="1"/>
    <xf numFmtId="176" fontId="22" fillId="25" borderId="5" xfId="0" applyNumberFormat="1" applyFont="1" applyFill="1" applyBorder="1" applyAlignment="1"/>
    <xf numFmtId="0" fontId="26" fillId="23" borderId="21" xfId="0" applyFont="1" applyFill="1" applyBorder="1" applyAlignment="1"/>
    <xf numFmtId="0" fontId="26" fillId="23" borderId="22" xfId="0" applyFont="1" applyFill="1" applyBorder="1" applyAlignment="1"/>
    <xf numFmtId="0" fontId="22" fillId="23" borderId="22" xfId="0" applyFont="1" applyFill="1" applyBorder="1" applyAlignment="1"/>
    <xf numFmtId="168" fontId="48" fillId="23" borderId="22" xfId="0" applyNumberFormat="1" applyFont="1" applyFill="1" applyBorder="1" applyAlignment="1" applyProtection="1"/>
    <xf numFmtId="168" fontId="50" fillId="23" borderId="22" xfId="0" applyNumberFormat="1" applyFont="1" applyFill="1" applyBorder="1" applyAlignment="1" applyProtection="1"/>
    <xf numFmtId="0" fontId="64" fillId="11" borderId="0" xfId="0" applyFont="1" applyFill="1" applyBorder="1" applyAlignment="1">
      <alignment horizontal="center"/>
    </xf>
    <xf numFmtId="9" fontId="64" fillId="11" borderId="0" xfId="8" applyFont="1" applyFill="1" applyBorder="1" applyAlignment="1" applyProtection="1">
      <alignment horizontal="center" vertical="center"/>
      <protection locked="0"/>
    </xf>
    <xf numFmtId="9" fontId="64" fillId="11" borderId="0" xfId="8" applyFont="1" applyFill="1" applyBorder="1" applyAlignment="1" applyProtection="1">
      <alignment horizontal="center" vertical="center"/>
    </xf>
    <xf numFmtId="9" fontId="64" fillId="11" borderId="0" xfId="8" applyFont="1" applyFill="1" applyBorder="1" applyAlignment="1" applyProtection="1">
      <alignment horizontal="center"/>
      <protection locked="0"/>
    </xf>
    <xf numFmtId="9" fontId="64" fillId="11" borderId="0" xfId="8" applyFont="1" applyFill="1" applyAlignment="1">
      <alignment horizontal="center" vertical="center"/>
    </xf>
    <xf numFmtId="176" fontId="64" fillId="11" borderId="0" xfId="8" applyNumberFormat="1" applyFont="1" applyFill="1" applyBorder="1" applyAlignment="1" applyProtection="1">
      <alignment horizontal="center" vertical="center"/>
      <protection locked="0"/>
    </xf>
    <xf numFmtId="171" fontId="64" fillId="11" borderId="0" xfId="0" applyNumberFormat="1" applyFont="1" applyFill="1" applyBorder="1" applyAlignment="1" applyProtection="1">
      <alignment horizontal="center"/>
      <protection locked="0"/>
    </xf>
    <xf numFmtId="0" fontId="0" fillId="26" borderId="0" xfId="0" applyFill="1" applyAlignment="1">
      <alignment horizontal="center"/>
    </xf>
    <xf numFmtId="173" fontId="29" fillId="16" borderId="0" xfId="0" applyNumberFormat="1" applyFont="1" applyFill="1" applyBorder="1" applyAlignment="1" applyProtection="1">
      <alignment horizontal="center" vertical="center"/>
    </xf>
    <xf numFmtId="0" fontId="75" fillId="11" borderId="0" xfId="0" applyFont="1" applyFill="1" applyBorder="1" applyAlignment="1">
      <alignment horizontal="left" indent="1"/>
    </xf>
    <xf numFmtId="0" fontId="75" fillId="11" borderId="0" xfId="0" applyFont="1" applyFill="1" applyBorder="1" applyAlignment="1">
      <alignment horizontal="center"/>
    </xf>
    <xf numFmtId="9" fontId="75" fillId="11" borderId="0" xfId="8" applyFont="1" applyFill="1" applyBorder="1" applyAlignment="1" applyProtection="1">
      <alignment horizontal="center" vertical="center"/>
      <protection locked="0"/>
    </xf>
    <xf numFmtId="9" fontId="75" fillId="11" borderId="0" xfId="8" applyFont="1" applyFill="1" applyBorder="1" applyAlignment="1" applyProtection="1">
      <alignment horizontal="center" vertical="center"/>
    </xf>
    <xf numFmtId="0" fontId="22" fillId="2" borderId="2" xfId="0" applyFont="1" applyFill="1" applyBorder="1" applyAlignment="1">
      <alignment horizontal="center"/>
    </xf>
    <xf numFmtId="168" fontId="22" fillId="0" borderId="0" xfId="0" applyNumberFormat="1" applyFont="1" applyBorder="1" applyAlignment="1">
      <alignment horizontal="center"/>
    </xf>
    <xf numFmtId="176" fontId="24" fillId="0" borderId="20" xfId="12" applyNumberFormat="1" applyFont="1" applyBorder="1" applyAlignment="1"/>
    <xf numFmtId="176" fontId="22" fillId="0" borderId="20" xfId="8" applyNumberFormat="1" applyFont="1" applyFill="1" applyBorder="1" applyAlignment="1"/>
    <xf numFmtId="176" fontId="24" fillId="0" borderId="0" xfId="12" applyNumberFormat="1" applyFont="1" applyBorder="1" applyAlignment="1"/>
    <xf numFmtId="176" fontId="22" fillId="0" borderId="0" xfId="8" applyNumberFormat="1" applyFont="1" applyFill="1" applyBorder="1" applyAlignment="1"/>
    <xf numFmtId="176" fontId="24" fillId="0" borderId="0" xfId="8" applyNumberFormat="1" applyFont="1" applyBorder="1" applyAlignment="1"/>
    <xf numFmtId="176" fontId="24" fillId="0" borderId="24" xfId="8" applyNumberFormat="1" applyFont="1" applyBorder="1" applyAlignment="1"/>
    <xf numFmtId="168" fontId="22" fillId="0" borderId="0" xfId="0" applyNumberFormat="1" applyFont="1" applyFill="1" applyBorder="1" applyAlignment="1">
      <alignment horizontal="right"/>
    </xf>
    <xf numFmtId="0" fontId="21" fillId="11" borderId="0" xfId="0" applyFont="1" applyFill="1" applyBorder="1" applyAlignment="1"/>
    <xf numFmtId="0" fontId="76" fillId="11" borderId="0" xfId="0" applyFont="1" applyFill="1" applyBorder="1" applyAlignment="1"/>
    <xf numFmtId="0" fontId="21" fillId="11" borderId="0" xfId="0" applyFont="1" applyFill="1" applyBorder="1" applyAlignment="1" applyProtection="1">
      <protection locked="0"/>
    </xf>
    <xf numFmtId="0" fontId="77" fillId="11" borderId="0" xfId="0" applyFont="1" applyFill="1" applyBorder="1" applyAlignment="1" applyProtection="1">
      <protection locked="0"/>
    </xf>
    <xf numFmtId="0" fontId="53" fillId="16" borderId="0" xfId="0" applyFont="1" applyFill="1" applyBorder="1" applyAlignment="1">
      <alignment horizontal="center"/>
    </xf>
    <xf numFmtId="0" fontId="53" fillId="16" borderId="0" xfId="0" applyFont="1" applyFill="1" applyBorder="1" applyAlignment="1"/>
    <xf numFmtId="0" fontId="40" fillId="16" borderId="0" xfId="0" applyFont="1" applyFill="1" applyBorder="1" applyAlignment="1" applyProtection="1">
      <alignment horizontal="left" indent="1"/>
    </xf>
    <xf numFmtId="0" fontId="64" fillId="16" borderId="0" xfId="0" applyFont="1" applyFill="1" applyBorder="1" applyAlignment="1"/>
    <xf numFmtId="0" fontId="57" fillId="16" borderId="0" xfId="0" applyFont="1" applyFill="1" applyAlignment="1">
      <alignment horizontal="center"/>
    </xf>
    <xf numFmtId="0" fontId="26" fillId="0" borderId="5" xfId="0" applyFont="1" applyBorder="1" applyAlignment="1">
      <alignment horizontal="center"/>
    </xf>
    <xf numFmtId="168" fontId="22" fillId="16" borderId="0" xfId="0" applyNumberFormat="1" applyFont="1" applyFill="1" applyBorder="1" applyAlignment="1">
      <alignment horizontal="center"/>
    </xf>
    <xf numFmtId="9" fontId="22" fillId="0" borderId="0" xfId="8" applyFont="1" applyFill="1" applyBorder="1" applyAlignment="1">
      <alignment horizontal="center"/>
    </xf>
    <xf numFmtId="167" fontId="22" fillId="0" borderId="0" xfId="0" applyNumberFormat="1" applyFont="1" applyBorder="1" applyAlignment="1">
      <alignment horizontal="center"/>
    </xf>
    <xf numFmtId="9" fontId="22" fillId="0" borderId="0" xfId="8" applyNumberFormat="1" applyFont="1" applyFill="1" applyBorder="1" applyAlignment="1">
      <alignment horizontal="center"/>
    </xf>
    <xf numFmtId="165" fontId="22" fillId="0" borderId="5" xfId="0" applyNumberFormat="1" applyFont="1" applyFill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11" borderId="8" xfId="0" applyFont="1" applyFill="1" applyBorder="1" applyAlignment="1"/>
    <xf numFmtId="0" fontId="30" fillId="11" borderId="8" xfId="0" applyFont="1" applyFill="1" applyBorder="1" applyAlignment="1"/>
    <xf numFmtId="0" fontId="42" fillId="11" borderId="8" xfId="0" applyFont="1" applyFill="1" applyBorder="1" applyAlignment="1"/>
    <xf numFmtId="168" fontId="30" fillId="11" borderId="8" xfId="0" applyNumberFormat="1" applyFont="1" applyFill="1" applyBorder="1" applyAlignment="1">
      <alignment horizontal="right"/>
    </xf>
    <xf numFmtId="168" fontId="30" fillId="11" borderId="8" xfId="0" applyNumberFormat="1" applyFont="1" applyFill="1" applyBorder="1" applyAlignment="1">
      <alignment horizontal="center"/>
    </xf>
    <xf numFmtId="168" fontId="22" fillId="11" borderId="8" xfId="0" applyNumberFormat="1" applyFont="1" applyFill="1" applyBorder="1" applyAlignment="1">
      <alignment horizontal="right"/>
    </xf>
    <xf numFmtId="0" fontId="26" fillId="11" borderId="8" xfId="0" applyFont="1" applyFill="1" applyBorder="1" applyAlignment="1"/>
    <xf numFmtId="0" fontId="43" fillId="11" borderId="8" xfId="0" applyFont="1" applyFill="1" applyBorder="1" applyAlignment="1"/>
    <xf numFmtId="168" fontId="26" fillId="11" borderId="8" xfId="0" applyNumberFormat="1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24" fillId="2" borderId="0" xfId="0" applyFont="1" applyFill="1" applyAlignment="1"/>
    <xf numFmtId="0" fontId="24" fillId="2" borderId="2" xfId="0" applyFont="1" applyFill="1" applyBorder="1" applyAlignment="1">
      <alignment horizontal="center"/>
    </xf>
    <xf numFmtId="0" fontId="24" fillId="2" borderId="2" xfId="0" applyFont="1" applyFill="1" applyBorder="1" applyAlignment="1"/>
    <xf numFmtId="0" fontId="44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68" fontId="24" fillId="0" borderId="0" xfId="0" applyNumberFormat="1" applyFont="1" applyBorder="1" applyAlignment="1"/>
    <xf numFmtId="0" fontId="24" fillId="0" borderId="0" xfId="0" applyFont="1" applyBorder="1" applyAlignment="1"/>
    <xf numFmtId="0" fontId="24" fillId="0" borderId="0" xfId="0" applyFont="1" applyBorder="1" applyAlignment="1">
      <alignment horizontal="center"/>
    </xf>
    <xf numFmtId="176" fontId="22" fillId="16" borderId="0" xfId="8" applyNumberFormat="1" applyFont="1" applyFill="1" applyBorder="1" applyAlignment="1" applyProtection="1"/>
    <xf numFmtId="168" fontId="22" fillId="0" borderId="0" xfId="8" applyNumberFormat="1" applyFont="1" applyFill="1" applyBorder="1" applyAlignment="1">
      <alignment horizontal="center"/>
    </xf>
    <xf numFmtId="168" fontId="22" fillId="0" borderId="0" xfId="8" applyNumberFormat="1" applyFont="1" applyBorder="1" applyAlignment="1"/>
    <xf numFmtId="1" fontId="51" fillId="0" borderId="0" xfId="0" applyNumberFormat="1" applyFont="1" applyAlignment="1">
      <alignment horizontal="center" vertical="center"/>
    </xf>
    <xf numFmtId="167" fontId="24" fillId="0" borderId="5" xfId="0" applyNumberFormat="1" applyFont="1" applyBorder="1" applyAlignment="1">
      <alignment horizontal="center"/>
    </xf>
    <xf numFmtId="0" fontId="24" fillId="0" borderId="5" xfId="0" applyFont="1" applyBorder="1" applyAlignment="1">
      <alignment horizontal="left"/>
    </xf>
    <xf numFmtId="0" fontId="22" fillId="16" borderId="0" xfId="0" applyFont="1" applyFill="1" applyBorder="1" applyAlignment="1"/>
    <xf numFmtId="0" fontId="30" fillId="16" borderId="0" xfId="0" applyFont="1" applyFill="1" applyBorder="1" applyAlignment="1"/>
    <xf numFmtId="0" fontId="42" fillId="16" borderId="0" xfId="0" applyFont="1" applyFill="1" applyBorder="1" applyAlignment="1"/>
    <xf numFmtId="168" fontId="30" fillId="16" borderId="0" xfId="0" applyNumberFormat="1" applyFont="1" applyFill="1" applyBorder="1" applyAlignment="1">
      <alignment horizontal="center"/>
    </xf>
    <xf numFmtId="0" fontId="64" fillId="16" borderId="0" xfId="0" applyFont="1" applyFill="1" applyBorder="1" applyAlignment="1">
      <alignment horizontal="left" indent="1"/>
    </xf>
    <xf numFmtId="0" fontId="64" fillId="16" borderId="0" xfId="0" applyFont="1" applyFill="1" applyBorder="1" applyAlignment="1">
      <alignment horizontal="center"/>
    </xf>
    <xf numFmtId="176" fontId="64" fillId="16" borderId="0" xfId="8" applyNumberFormat="1" applyFont="1" applyFill="1" applyBorder="1" applyAlignment="1" applyProtection="1">
      <alignment horizontal="center" vertical="center"/>
      <protection locked="0"/>
    </xf>
    <xf numFmtId="176" fontId="22" fillId="16" borderId="0" xfId="8" applyNumberFormat="1" applyFont="1" applyFill="1" applyBorder="1" applyAlignment="1">
      <alignment horizontal="right"/>
    </xf>
    <xf numFmtId="3" fontId="21" fillId="16" borderId="0" xfId="0" applyNumberFormat="1" applyFont="1" applyFill="1" applyAlignment="1">
      <alignment horizontal="center"/>
    </xf>
    <xf numFmtId="0" fontId="0" fillId="16" borderId="0" xfId="0" applyFill="1" applyBorder="1" applyAlignment="1">
      <alignment horizontal="center"/>
    </xf>
    <xf numFmtId="37" fontId="21" fillId="16" borderId="0" xfId="0" applyNumberFormat="1" applyFont="1" applyFill="1" applyAlignment="1">
      <alignment horizontal="center"/>
    </xf>
    <xf numFmtId="0" fontId="21" fillId="16" borderId="0" xfId="0" applyFont="1" applyFill="1" applyBorder="1" applyAlignment="1">
      <alignment horizontal="center" vertical="center" wrapText="1"/>
    </xf>
    <xf numFmtId="0" fontId="65" fillId="17" borderId="0" xfId="0" applyFont="1" applyFill="1" applyBorder="1" applyAlignment="1">
      <alignment horizontal="center" vertical="center" wrapText="1"/>
    </xf>
    <xf numFmtId="168" fontId="64" fillId="16" borderId="13" xfId="0" applyNumberFormat="1" applyFont="1" applyFill="1" applyBorder="1" applyAlignment="1">
      <alignment horizontal="center" vertical="center"/>
    </xf>
    <xf numFmtId="0" fontId="59" fillId="16" borderId="0" xfId="0" applyFont="1" applyFill="1" applyAlignment="1">
      <alignment horizontal="center"/>
    </xf>
    <xf numFmtId="0" fontId="42" fillId="12" borderId="0" xfId="0" applyFont="1" applyFill="1" applyBorder="1" applyAlignment="1"/>
    <xf numFmtId="0" fontId="22" fillId="12" borderId="0" xfId="0" applyFont="1" applyFill="1" applyBorder="1" applyAlignment="1"/>
    <xf numFmtId="0" fontId="22" fillId="13" borderId="0" xfId="0" applyFont="1" applyFill="1" applyBorder="1" applyAlignment="1"/>
    <xf numFmtId="173" fontId="82" fillId="13" borderId="0" xfId="0" applyNumberFormat="1" applyFont="1" applyFill="1" applyBorder="1" applyAlignment="1" applyProtection="1">
      <protection locked="0"/>
    </xf>
    <xf numFmtId="173" fontId="83" fillId="12" borderId="0" xfId="0" applyNumberFormat="1" applyFont="1" applyFill="1" applyBorder="1" applyAlignment="1" applyProtection="1">
      <protection locked="0"/>
    </xf>
    <xf numFmtId="9" fontId="83" fillId="12" borderId="0" xfId="8" applyFont="1" applyFill="1" applyBorder="1" applyAlignment="1" applyProtection="1">
      <protection locked="0"/>
    </xf>
    <xf numFmtId="0" fontId="22" fillId="13" borderId="0" xfId="0" applyFont="1" applyFill="1" applyBorder="1" applyAlignment="1" applyProtection="1">
      <protection locked="0"/>
    </xf>
    <xf numFmtId="173" fontId="82" fillId="13" borderId="0" xfId="0" applyNumberFormat="1" applyFont="1" applyFill="1" applyBorder="1" applyAlignment="1"/>
    <xf numFmtId="168" fontId="83" fillId="12" borderId="0" xfId="0" applyNumberFormat="1" applyFont="1" applyFill="1" applyBorder="1" applyAlignment="1" applyProtection="1">
      <alignment horizontal="left" indent="2"/>
      <protection locked="0"/>
    </xf>
    <xf numFmtId="0" fontId="22" fillId="0" borderId="0" xfId="0" applyFont="1" applyFill="1" applyBorder="1" applyAlignment="1" applyProtection="1">
      <protection locked="0"/>
    </xf>
    <xf numFmtId="169" fontId="83" fillId="0" borderId="0" xfId="0" applyNumberFormat="1" applyFont="1" applyFill="1" applyBorder="1" applyAlignment="1" applyProtection="1">
      <protection locked="0"/>
    </xf>
    <xf numFmtId="169" fontId="29" fillId="12" borderId="0" xfId="0" applyNumberFormat="1" applyFont="1" applyFill="1" applyBorder="1" applyAlignment="1"/>
    <xf numFmtId="169" fontId="29" fillId="12" borderId="0" xfId="0" applyNumberFormat="1" applyFont="1" applyFill="1" applyBorder="1" applyAlignment="1" applyProtection="1">
      <protection locked="0"/>
    </xf>
    <xf numFmtId="169" fontId="83" fillId="12" borderId="0" xfId="0" applyNumberFormat="1" applyFont="1" applyFill="1" applyBorder="1" applyAlignment="1" applyProtection="1">
      <protection locked="0"/>
    </xf>
    <xf numFmtId="173" fontId="29" fillId="12" borderId="0" xfId="0" applyNumberFormat="1" applyFont="1" applyFill="1" applyBorder="1" applyAlignment="1" applyProtection="1">
      <protection locked="0"/>
    </xf>
    <xf numFmtId="0" fontId="57" fillId="16" borderId="0" xfId="0" applyFont="1" applyFill="1" applyBorder="1" applyAlignment="1">
      <alignment horizontal="right" indent="1"/>
    </xf>
    <xf numFmtId="0" fontId="0" fillId="16" borderId="0" xfId="0" applyFill="1" applyAlignment="1">
      <alignment horizontal="left"/>
    </xf>
    <xf numFmtId="0" fontId="55" fillId="12" borderId="13" xfId="0" applyFont="1" applyFill="1" applyBorder="1" applyAlignment="1">
      <alignment horizontal="center" vertical="center"/>
    </xf>
    <xf numFmtId="0" fontId="65" fillId="17" borderId="13" xfId="0" applyFont="1" applyFill="1" applyBorder="1" applyAlignment="1">
      <alignment horizontal="center" vertical="center" wrapText="1"/>
    </xf>
    <xf numFmtId="174" fontId="55" fillId="16" borderId="12" xfId="0" applyNumberFormat="1" applyFont="1" applyFill="1" applyBorder="1" applyAlignment="1" applyProtection="1">
      <alignment horizontal="center" vertical="center"/>
    </xf>
    <xf numFmtId="1" fontId="66" fillId="16" borderId="0" xfId="0" applyNumberFormat="1" applyFont="1" applyFill="1" applyBorder="1" applyAlignment="1" applyProtection="1">
      <alignment horizontal="center"/>
    </xf>
    <xf numFmtId="0" fontId="57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 vertical="center"/>
    </xf>
    <xf numFmtId="187" fontId="0" fillId="16" borderId="0" xfId="0" applyNumberFormat="1" applyFill="1" applyAlignment="1">
      <alignment horizontal="center" vertical="center"/>
    </xf>
    <xf numFmtId="0" fontId="0" fillId="16" borderId="0" xfId="0" applyFill="1" applyAlignment="1">
      <alignment horizontal="left" vertical="center"/>
    </xf>
    <xf numFmtId="1" fontId="24" fillId="0" borderId="0" xfId="0" applyNumberFormat="1" applyFont="1" applyAlignment="1">
      <alignment horizontal="center" vertical="center"/>
    </xf>
    <xf numFmtId="0" fontId="65" fillId="18" borderId="25" xfId="0" applyFont="1" applyFill="1" applyBorder="1" applyAlignment="1">
      <alignment horizontal="center" vertical="center" wrapText="1"/>
    </xf>
    <xf numFmtId="0" fontId="55" fillId="19" borderId="26" xfId="0" applyFont="1" applyFill="1" applyBorder="1" applyAlignment="1">
      <alignment horizontal="center" vertical="center"/>
    </xf>
    <xf numFmtId="9" fontId="55" fillId="15" borderId="26" xfId="0" applyNumberFormat="1" applyFont="1" applyFill="1" applyBorder="1" applyAlignment="1">
      <alignment horizontal="center" vertical="center"/>
    </xf>
    <xf numFmtId="9" fontId="65" fillId="27" borderId="25" xfId="0" applyNumberFormat="1" applyFont="1" applyFill="1" applyBorder="1" applyAlignment="1">
      <alignment horizontal="center" vertical="center" wrapText="1"/>
    </xf>
    <xf numFmtId="176" fontId="22" fillId="16" borderId="0" xfId="8" applyNumberFormat="1" applyFont="1" applyFill="1" applyBorder="1" applyAlignment="1"/>
    <xf numFmtId="0" fontId="22" fillId="16" borderId="0" xfId="0" applyFont="1" applyFill="1" applyBorder="1" applyAlignment="1">
      <alignment horizontal="left" indent="1"/>
    </xf>
    <xf numFmtId="9" fontId="22" fillId="16" borderId="0" xfId="8" applyNumberFormat="1" applyFont="1" applyFill="1" applyBorder="1" applyAlignment="1"/>
    <xf numFmtId="3" fontId="22" fillId="16" borderId="0" xfId="8" applyNumberFormat="1" applyFont="1" applyFill="1" applyBorder="1" applyAlignment="1">
      <alignment horizontal="center"/>
    </xf>
    <xf numFmtId="0" fontId="22" fillId="16" borderId="0" xfId="0" applyFont="1" applyFill="1" applyBorder="1" applyAlignment="1">
      <alignment horizontal="center"/>
    </xf>
    <xf numFmtId="0" fontId="24" fillId="0" borderId="3" xfId="0" applyFont="1" applyBorder="1" applyAlignment="1"/>
    <xf numFmtId="0" fontId="24" fillId="11" borderId="8" xfId="0" applyFont="1" applyFill="1" applyBorder="1" applyAlignment="1">
      <alignment horizontal="left" indent="1"/>
    </xf>
    <xf numFmtId="0" fontId="24" fillId="11" borderId="8" xfId="0" applyFont="1" applyFill="1" applyBorder="1" applyAlignment="1"/>
    <xf numFmtId="168" fontId="24" fillId="11" borderId="8" xfId="0" applyNumberFormat="1" applyFont="1" applyFill="1" applyBorder="1" applyAlignment="1">
      <alignment horizontal="center"/>
    </xf>
    <xf numFmtId="9" fontId="75" fillId="11" borderId="0" xfId="8" applyFont="1" applyFill="1" applyBorder="1" applyAlignment="1" applyProtection="1">
      <alignment horizontal="center"/>
      <protection locked="0"/>
    </xf>
    <xf numFmtId="176" fontId="75" fillId="11" borderId="0" xfId="8" applyNumberFormat="1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Border="1" applyAlignment="1">
      <alignment horizontal="center"/>
    </xf>
    <xf numFmtId="174" fontId="22" fillId="16" borderId="0" xfId="0" applyNumberFormat="1" applyFont="1" applyFill="1" applyBorder="1" applyAlignment="1" applyProtection="1">
      <alignment horizontal="center"/>
    </xf>
    <xf numFmtId="0" fontId="42" fillId="16" borderId="0" xfId="0" applyFont="1" applyFill="1" applyAlignment="1"/>
    <xf numFmtId="0" fontId="22" fillId="16" borderId="0" xfId="0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0" fontId="24" fillId="16" borderId="0" xfId="0" applyFont="1" applyFill="1" applyAlignment="1"/>
    <xf numFmtId="0" fontId="22" fillId="16" borderId="2" xfId="0" applyFont="1" applyFill="1" applyBorder="1" applyAlignment="1"/>
    <xf numFmtId="0" fontId="42" fillId="16" borderId="2" xfId="0" applyFont="1" applyFill="1" applyBorder="1" applyAlignment="1"/>
    <xf numFmtId="0" fontId="22" fillId="16" borderId="2" xfId="0" applyFont="1" applyFill="1" applyBorder="1" applyAlignment="1">
      <alignment horizontal="center"/>
    </xf>
    <xf numFmtId="0" fontId="24" fillId="16" borderId="2" xfId="0" applyFont="1" applyFill="1" applyBorder="1" applyAlignment="1">
      <alignment horizontal="center"/>
    </xf>
    <xf numFmtId="0" fontId="24" fillId="16" borderId="2" xfId="0" applyFont="1" applyFill="1" applyBorder="1" applyAlignment="1"/>
    <xf numFmtId="0" fontId="22" fillId="16" borderId="12" xfId="0" applyFont="1" applyFill="1" applyBorder="1" applyAlignment="1"/>
    <xf numFmtId="0" fontId="42" fillId="16" borderId="3" xfId="0" applyFont="1" applyFill="1" applyBorder="1" applyAlignment="1">
      <alignment horizontal="center"/>
    </xf>
    <xf numFmtId="0" fontId="42" fillId="16" borderId="0" xfId="0" applyFont="1" applyFill="1" applyAlignment="1">
      <alignment horizontal="center"/>
    </xf>
    <xf numFmtId="0" fontId="44" fillId="16" borderId="0" xfId="0" applyFont="1" applyFill="1" applyAlignment="1">
      <alignment horizontal="center"/>
    </xf>
    <xf numFmtId="0" fontId="23" fillId="16" borderId="0" xfId="0" applyFont="1" applyFill="1" applyAlignment="1"/>
    <xf numFmtId="1" fontId="24" fillId="16" borderId="0" xfId="0" applyNumberFormat="1" applyFont="1" applyFill="1" applyAlignment="1">
      <alignment horizontal="center" vertical="center"/>
    </xf>
    <xf numFmtId="1" fontId="51" fillId="16" borderId="0" xfId="0" applyNumberFormat="1" applyFont="1" applyFill="1" applyAlignment="1">
      <alignment horizontal="center" vertical="center"/>
    </xf>
    <xf numFmtId="167" fontId="24" fillId="16" borderId="5" xfId="0" applyNumberFormat="1" applyFont="1" applyFill="1" applyBorder="1" applyAlignment="1">
      <alignment horizontal="center"/>
    </xf>
    <xf numFmtId="0" fontId="24" fillId="16" borderId="5" xfId="0" applyFont="1" applyFill="1" applyBorder="1" applyAlignment="1">
      <alignment horizontal="left"/>
    </xf>
    <xf numFmtId="0" fontId="22" fillId="16" borderId="5" xfId="0" applyFont="1" applyFill="1" applyBorder="1" applyAlignment="1">
      <alignment horizontal="left"/>
    </xf>
    <xf numFmtId="0" fontId="22" fillId="16" borderId="5" xfId="0" applyFont="1" applyFill="1" applyBorder="1" applyAlignment="1">
      <alignment horizontal="centerContinuous"/>
    </xf>
    <xf numFmtId="0" fontId="28" fillId="16" borderId="0" xfId="0" applyFont="1" applyFill="1" applyAlignment="1"/>
    <xf numFmtId="171" fontId="22" fillId="16" borderId="0" xfId="0" applyNumberFormat="1" applyFont="1" applyFill="1" applyBorder="1" applyAlignment="1"/>
    <xf numFmtId="168" fontId="24" fillId="16" borderId="0" xfId="0" applyNumberFormat="1" applyFont="1" applyFill="1" applyBorder="1" applyAlignment="1"/>
    <xf numFmtId="0" fontId="22" fillId="16" borderId="0" xfId="0" applyFont="1" applyFill="1" applyAlignment="1">
      <alignment horizontal="left" indent="2"/>
    </xf>
    <xf numFmtId="0" fontId="22" fillId="16" borderId="8" xfId="0" applyFont="1" applyFill="1" applyBorder="1" applyAlignment="1"/>
    <xf numFmtId="0" fontId="30" fillId="16" borderId="8" xfId="0" applyFont="1" applyFill="1" applyBorder="1" applyAlignment="1"/>
    <xf numFmtId="0" fontId="42" fillId="16" borderId="8" xfId="0" applyFont="1" applyFill="1" applyBorder="1" applyAlignment="1"/>
    <xf numFmtId="0" fontId="26" fillId="16" borderId="8" xfId="0" applyFont="1" applyFill="1" applyBorder="1" applyAlignment="1"/>
    <xf numFmtId="0" fontId="43" fillId="16" borderId="8" xfId="0" applyFont="1" applyFill="1" applyBorder="1" applyAlignment="1"/>
    <xf numFmtId="0" fontId="44" fillId="16" borderId="0" xfId="0" applyFont="1" applyFill="1" applyBorder="1" applyAlignment="1"/>
    <xf numFmtId="0" fontId="40" fillId="16" borderId="0" xfId="0" applyFont="1" applyFill="1" applyBorder="1" applyAlignment="1"/>
    <xf numFmtId="0" fontId="24" fillId="16" borderId="0" xfId="0" applyFont="1" applyFill="1" applyBorder="1" applyAlignment="1">
      <alignment horizontal="center"/>
    </xf>
    <xf numFmtId="0" fontId="24" fillId="16" borderId="0" xfId="0" applyFont="1" applyFill="1" applyBorder="1" applyAlignment="1"/>
    <xf numFmtId="0" fontId="85" fillId="16" borderId="0" xfId="0" applyFont="1" applyFill="1" applyAlignment="1">
      <alignment horizontal="left" indent="1"/>
    </xf>
    <xf numFmtId="0" fontId="24" fillId="16" borderId="3" xfId="0" applyFont="1" applyFill="1" applyBorder="1" applyAlignment="1"/>
    <xf numFmtId="0" fontId="24" fillId="16" borderId="8" xfId="0" applyFont="1" applyFill="1" applyBorder="1" applyAlignment="1">
      <alignment horizontal="left" indent="1"/>
    </xf>
    <xf numFmtId="0" fontId="24" fillId="16" borderId="8" xfId="0" applyFont="1" applyFill="1" applyBorder="1" applyAlignment="1"/>
    <xf numFmtId="0" fontId="44" fillId="16" borderId="8" xfId="0" applyFont="1" applyFill="1" applyBorder="1" applyAlignment="1"/>
    <xf numFmtId="0" fontId="51" fillId="16" borderId="0" xfId="0" applyFont="1" applyFill="1" applyBorder="1" applyAlignment="1">
      <alignment horizontal="left" indent="1"/>
    </xf>
    <xf numFmtId="0" fontId="22" fillId="16" borderId="0" xfId="0" applyFont="1" applyFill="1" applyBorder="1" applyAlignment="1">
      <alignment horizontal="left"/>
    </xf>
    <xf numFmtId="0" fontId="78" fillId="16" borderId="0" xfId="0" applyFont="1" applyFill="1" applyAlignment="1"/>
    <xf numFmtId="0" fontId="78" fillId="16" borderId="3" xfId="0" applyFont="1" applyFill="1" applyBorder="1" applyAlignment="1"/>
    <xf numFmtId="0" fontId="78" fillId="16" borderId="0" xfId="0" applyFont="1" applyFill="1" applyBorder="1" applyAlignment="1"/>
    <xf numFmtId="0" fontId="62" fillId="16" borderId="0" xfId="0" applyFont="1" applyFill="1" applyBorder="1" applyAlignment="1"/>
    <xf numFmtId="0" fontId="81" fillId="16" borderId="0" xfId="10" applyFont="1" applyFill="1" applyBorder="1" applyAlignment="1"/>
    <xf numFmtId="0" fontId="26" fillId="16" borderId="0" xfId="0" applyFont="1" applyFill="1" applyBorder="1" applyAlignment="1"/>
    <xf numFmtId="0" fontId="43" fillId="16" borderId="0" xfId="0" applyFont="1" applyFill="1" applyBorder="1" applyAlignment="1"/>
    <xf numFmtId="9" fontId="24" fillId="16" borderId="0" xfId="8" applyNumberFormat="1" applyFont="1" applyFill="1" applyBorder="1" applyAlignment="1">
      <alignment horizontal="center"/>
    </xf>
    <xf numFmtId="9" fontId="24" fillId="16" borderId="0" xfId="8" applyNumberFormat="1" applyFont="1" applyFill="1" applyBorder="1" applyAlignment="1"/>
    <xf numFmtId="0" fontId="62" fillId="16" borderId="0" xfId="0" applyFont="1" applyFill="1" applyAlignment="1"/>
    <xf numFmtId="0" fontId="62" fillId="16" borderId="3" xfId="0" applyFont="1" applyFill="1" applyBorder="1" applyAlignment="1"/>
    <xf numFmtId="0" fontId="86" fillId="16" borderId="0" xfId="0" applyFont="1" applyFill="1" applyBorder="1" applyAlignment="1">
      <alignment horizontal="left" indent="2"/>
    </xf>
    <xf numFmtId="0" fontId="73" fillId="16" borderId="0" xfId="0" applyFont="1" applyFill="1" applyBorder="1" applyAlignment="1"/>
    <xf numFmtId="0" fontId="73" fillId="16" borderId="0" xfId="0" applyFont="1" applyFill="1" applyAlignment="1"/>
    <xf numFmtId="0" fontId="73" fillId="16" borderId="3" xfId="0" applyFont="1" applyFill="1" applyBorder="1" applyAlignment="1"/>
    <xf numFmtId="0" fontId="86" fillId="16" borderId="0" xfId="0" applyFont="1" applyFill="1" applyBorder="1" applyAlignment="1"/>
    <xf numFmtId="0" fontId="86" fillId="16" borderId="0" xfId="0" applyFont="1" applyFill="1" applyBorder="1" applyAlignment="1">
      <alignment horizontal="left" indent="1"/>
    </xf>
    <xf numFmtId="171" fontId="24" fillId="16" borderId="0" xfId="8" applyNumberFormat="1" applyFont="1" applyFill="1" applyBorder="1" applyAlignment="1">
      <alignment horizontal="right"/>
    </xf>
    <xf numFmtId="0" fontId="42" fillId="16" borderId="0" xfId="0" applyFont="1" applyFill="1" applyAlignment="1">
      <alignment horizontal="right"/>
    </xf>
    <xf numFmtId="0" fontId="22" fillId="16" borderId="0" xfId="0" applyFont="1" applyFill="1" applyAlignment="1">
      <alignment horizontal="right"/>
    </xf>
    <xf numFmtId="0" fontId="42" fillId="16" borderId="24" xfId="0" applyFont="1" applyFill="1" applyBorder="1" applyAlignment="1">
      <alignment horizontal="right"/>
    </xf>
    <xf numFmtId="0" fontId="22" fillId="16" borderId="2" xfId="0" applyFont="1" applyFill="1" applyBorder="1" applyAlignment="1">
      <alignment horizontal="right"/>
    </xf>
    <xf numFmtId="1" fontId="40" fillId="16" borderId="0" xfId="0" applyNumberFormat="1" applyFont="1" applyFill="1" applyAlignment="1">
      <alignment horizontal="right" vertical="center"/>
    </xf>
    <xf numFmtId="0" fontId="26" fillId="16" borderId="5" xfId="0" applyFont="1" applyFill="1" applyBorder="1" applyAlignment="1">
      <alignment horizontal="right"/>
    </xf>
    <xf numFmtId="165" fontId="22" fillId="16" borderId="5" xfId="0" applyNumberFormat="1" applyFont="1" applyFill="1" applyBorder="1" applyAlignment="1">
      <alignment horizontal="right"/>
    </xf>
    <xf numFmtId="0" fontId="22" fillId="16" borderId="5" xfId="0" applyFont="1" applyFill="1" applyBorder="1" applyAlignment="1">
      <alignment horizontal="right"/>
    </xf>
    <xf numFmtId="168" fontId="86" fillId="16" borderId="0" xfId="0" applyNumberFormat="1" applyFont="1" applyFill="1" applyBorder="1" applyAlignment="1">
      <alignment horizontal="right"/>
    </xf>
    <xf numFmtId="0" fontId="22" fillId="16" borderId="0" xfId="0" applyFont="1" applyFill="1" applyBorder="1" applyAlignment="1">
      <alignment horizontal="right"/>
    </xf>
    <xf numFmtId="168" fontId="30" fillId="16" borderId="8" xfId="0" applyNumberFormat="1" applyFont="1" applyFill="1" applyBorder="1" applyAlignment="1">
      <alignment horizontal="right"/>
    </xf>
    <xf numFmtId="167" fontId="78" fillId="16" borderId="0" xfId="0" applyNumberFormat="1" applyFont="1" applyFill="1" applyBorder="1" applyAlignment="1">
      <alignment horizontal="right"/>
    </xf>
    <xf numFmtId="168" fontId="78" fillId="16" borderId="0" xfId="0" applyNumberFormat="1" applyFont="1" applyFill="1" applyBorder="1" applyAlignment="1">
      <alignment horizontal="right"/>
    </xf>
    <xf numFmtId="0" fontId="42" fillId="16" borderId="0" xfId="0" applyFont="1" applyFill="1" applyBorder="1" applyAlignment="1">
      <alignment horizontal="right"/>
    </xf>
    <xf numFmtId="0" fontId="24" fillId="16" borderId="0" xfId="0" applyFont="1" applyFill="1" applyAlignment="1" applyProtection="1">
      <alignment horizontal="right" indent="2"/>
    </xf>
    <xf numFmtId="168" fontId="30" fillId="16" borderId="0" xfId="0" applyNumberFormat="1" applyFont="1" applyFill="1" applyBorder="1" applyAlignment="1">
      <alignment horizontal="right"/>
    </xf>
    <xf numFmtId="168" fontId="26" fillId="16" borderId="8" xfId="0" applyNumberFormat="1" applyFont="1" applyFill="1" applyBorder="1" applyAlignment="1">
      <alignment horizontal="right"/>
    </xf>
    <xf numFmtId="168" fontId="73" fillId="16" borderId="0" xfId="0" applyNumberFormat="1" applyFont="1" applyFill="1" applyBorder="1" applyAlignment="1">
      <alignment horizontal="right"/>
    </xf>
    <xf numFmtId="168" fontId="24" fillId="16" borderId="8" xfId="0" applyNumberFormat="1" applyFont="1" applyFill="1" applyBorder="1" applyAlignment="1">
      <alignment horizontal="right"/>
    </xf>
    <xf numFmtId="0" fontId="44" fillId="16" borderId="0" xfId="0" applyFont="1" applyFill="1" applyBorder="1" applyAlignment="1">
      <alignment horizontal="right"/>
    </xf>
    <xf numFmtId="168" fontId="24" fillId="16" borderId="0" xfId="0" applyNumberFormat="1" applyFont="1" applyFill="1" applyBorder="1" applyAlignment="1">
      <alignment horizontal="right"/>
    </xf>
    <xf numFmtId="168" fontId="62" fillId="16" borderId="0" xfId="0" applyNumberFormat="1" applyFont="1" applyFill="1" applyBorder="1" applyAlignment="1">
      <alignment horizontal="right"/>
    </xf>
    <xf numFmtId="10" fontId="78" fillId="16" borderId="0" xfId="8" applyNumberFormat="1" applyFont="1" applyFill="1" applyBorder="1" applyAlignment="1">
      <alignment horizontal="right"/>
    </xf>
    <xf numFmtId="168" fontId="78" fillId="16" borderId="0" xfId="8" applyNumberFormat="1" applyFont="1" applyFill="1" applyBorder="1" applyAlignment="1">
      <alignment horizontal="right"/>
    </xf>
    <xf numFmtId="0" fontId="24" fillId="16" borderId="0" xfId="0" applyFont="1" applyFill="1" applyBorder="1" applyAlignment="1">
      <alignment horizontal="right"/>
    </xf>
    <xf numFmtId="9" fontId="22" fillId="16" borderId="0" xfId="8" applyNumberFormat="1" applyFont="1" applyFill="1" applyBorder="1" applyAlignment="1">
      <alignment horizontal="right"/>
    </xf>
    <xf numFmtId="9" fontId="22" fillId="16" borderId="0" xfId="8" applyFont="1" applyFill="1" applyBorder="1" applyAlignment="1">
      <alignment horizontal="right"/>
    </xf>
    <xf numFmtId="172" fontId="27" fillId="16" borderId="6" xfId="0" applyNumberFormat="1" applyFont="1" applyFill="1" applyBorder="1" applyAlignment="1">
      <alignment horizontal="center" vertical="center"/>
    </xf>
    <xf numFmtId="172" fontId="27" fillId="16" borderId="6" xfId="0" applyNumberFormat="1" applyFont="1" applyFill="1" applyBorder="1" applyAlignment="1">
      <alignment horizontal="center"/>
    </xf>
    <xf numFmtId="164" fontId="27" fillId="16" borderId="6" xfId="0" applyNumberFormat="1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left"/>
    </xf>
    <xf numFmtId="168" fontId="26" fillId="16" borderId="0" xfId="0" applyNumberFormat="1" applyFont="1" applyFill="1" applyBorder="1" applyAlignment="1">
      <alignment horizontal="right"/>
    </xf>
    <xf numFmtId="9" fontId="75" fillId="11" borderId="0" xfId="8" applyFont="1" applyFill="1" applyAlignment="1">
      <alignment horizontal="center" vertical="center"/>
    </xf>
    <xf numFmtId="9" fontId="22" fillId="0" borderId="0" xfId="8" applyFont="1" applyFill="1" applyAlignment="1"/>
    <xf numFmtId="0" fontId="24" fillId="16" borderId="0" xfId="0" applyFont="1" applyFill="1" applyBorder="1" applyAlignment="1">
      <alignment horizontal="left"/>
    </xf>
    <xf numFmtId="0" fontId="51" fillId="16" borderId="0" xfId="0" applyFont="1" applyFill="1" applyBorder="1" applyAlignment="1"/>
    <xf numFmtId="0" fontId="89" fillId="16" borderId="0" xfId="10" applyFont="1" applyFill="1" applyBorder="1" applyAlignment="1"/>
    <xf numFmtId="0" fontId="21" fillId="16" borderId="0" xfId="0" applyFont="1" applyFill="1" applyAlignment="1">
      <alignment horizontal="left" vertical="center"/>
    </xf>
    <xf numFmtId="168" fontId="51" fillId="16" borderId="0" xfId="0" applyNumberFormat="1" applyFont="1" applyFill="1" applyBorder="1" applyAlignment="1">
      <alignment horizontal="right"/>
    </xf>
    <xf numFmtId="7" fontId="22" fillId="0" borderId="5" xfId="0" applyNumberFormat="1" applyFont="1" applyBorder="1" applyAlignment="1">
      <alignment horizontal="centerContinuous"/>
    </xf>
    <xf numFmtId="177" fontId="22" fillId="0" borderId="0" xfId="0" applyNumberFormat="1" applyFont="1" applyAlignment="1"/>
    <xf numFmtId="10" fontId="40" fillId="16" borderId="0" xfId="8" applyNumberFormat="1" applyFont="1" applyFill="1" applyAlignment="1"/>
    <xf numFmtId="168" fontId="40" fillId="16" borderId="0" xfId="0" applyNumberFormat="1" applyFont="1" applyFill="1" applyAlignment="1"/>
    <xf numFmtId="176" fontId="30" fillId="16" borderId="0" xfId="8" applyNumberFormat="1" applyFont="1" applyFill="1" applyBorder="1" applyAlignment="1">
      <alignment horizontal="right"/>
    </xf>
    <xf numFmtId="176" fontId="24" fillId="16" borderId="0" xfId="8" applyNumberFormat="1" applyFont="1" applyFill="1" applyBorder="1" applyAlignment="1">
      <alignment horizontal="right"/>
    </xf>
    <xf numFmtId="0" fontId="22" fillId="0" borderId="0" xfId="0" applyNumberFormat="1" applyFont="1" applyBorder="1" applyAlignment="1"/>
    <xf numFmtId="0" fontId="22" fillId="0" borderId="0" xfId="2" applyNumberFormat="1" applyFont="1" applyBorder="1" applyAlignment="1"/>
    <xf numFmtId="0" fontId="22" fillId="0" borderId="0" xfId="0" applyNumberFormat="1" applyFont="1" applyFill="1" applyBorder="1" applyAlignment="1"/>
    <xf numFmtId="0" fontId="22" fillId="0" borderId="0" xfId="2" applyNumberFormat="1" applyFont="1" applyFill="1" applyBorder="1" applyAlignment="1"/>
    <xf numFmtId="0" fontId="24" fillId="0" borderId="0" xfId="0" applyFont="1" applyFill="1" applyBorder="1" applyAlignment="1">
      <alignment horizontal="left" indent="1"/>
    </xf>
    <xf numFmtId="0" fontId="24" fillId="0" borderId="0" xfId="0" applyFont="1" applyFill="1" applyBorder="1" applyAlignment="1"/>
    <xf numFmtId="168" fontId="24" fillId="0" borderId="0" xfId="0" applyNumberFormat="1" applyFont="1" applyFill="1" applyBorder="1" applyAlignment="1">
      <alignment horizontal="center"/>
    </xf>
    <xf numFmtId="176" fontId="75" fillId="16" borderId="0" xfId="8" applyNumberFormat="1" applyFont="1" applyFill="1" applyBorder="1" applyAlignment="1" applyProtection="1">
      <alignment horizontal="center" vertical="center"/>
      <protection locked="0"/>
    </xf>
    <xf numFmtId="168" fontId="21" fillId="16" borderId="0" xfId="0" applyNumberFormat="1" applyFont="1" applyFill="1" applyBorder="1" applyAlignment="1">
      <alignment horizontal="center" vertical="center"/>
    </xf>
    <xf numFmtId="3" fontId="64" fillId="16" borderId="0" xfId="0" applyNumberFormat="1" applyFont="1" applyFill="1" applyAlignment="1">
      <alignment horizontal="center"/>
    </xf>
    <xf numFmtId="173" fontId="44" fillId="16" borderId="0" xfId="0" applyNumberFormat="1" applyFont="1" applyFill="1" applyBorder="1" applyAlignment="1" applyProtection="1">
      <alignment horizontal="center"/>
      <protection locked="0"/>
    </xf>
    <xf numFmtId="168" fontId="64" fillId="16" borderId="0" xfId="0" applyNumberFormat="1" applyFont="1" applyFill="1" applyBorder="1" applyAlignment="1">
      <alignment horizontal="center" vertical="center"/>
    </xf>
    <xf numFmtId="0" fontId="65" fillId="18" borderId="13" xfId="0" applyNumberFormat="1" applyFont="1" applyFill="1" applyBorder="1" applyAlignment="1" applyProtection="1">
      <alignment horizontal="center" vertical="center"/>
    </xf>
    <xf numFmtId="0" fontId="53" fillId="0" borderId="0" xfId="0" applyFont="1" applyAlignment="1"/>
    <xf numFmtId="174" fontId="63" fillId="0" borderId="13" xfId="0" applyNumberFormat="1" applyFont="1" applyFill="1" applyBorder="1" applyAlignment="1" applyProtection="1">
      <alignment horizontal="center" vertical="center"/>
    </xf>
    <xf numFmtId="176" fontId="22" fillId="16" borderId="0" xfId="8" applyNumberFormat="1" applyFont="1" applyFill="1" applyAlignment="1">
      <alignment horizontal="right" vertical="center"/>
    </xf>
    <xf numFmtId="0" fontId="51" fillId="16" borderId="0" xfId="10" applyFont="1" applyFill="1" applyAlignment="1"/>
    <xf numFmtId="0" fontId="51" fillId="16" borderId="3" xfId="10" applyFont="1" applyFill="1" applyBorder="1" applyAlignment="1"/>
    <xf numFmtId="0" fontId="51" fillId="16" borderId="0" xfId="10" applyFont="1" applyFill="1" applyBorder="1" applyAlignment="1"/>
    <xf numFmtId="0" fontId="51" fillId="16" borderId="0" xfId="10" applyFont="1" applyFill="1" applyBorder="1" applyAlignment="1">
      <alignment horizontal="right"/>
    </xf>
    <xf numFmtId="0" fontId="51" fillId="16" borderId="0" xfId="0" applyFont="1" applyFill="1" applyBorder="1" applyAlignment="1">
      <alignment horizontal="right"/>
    </xf>
    <xf numFmtId="168" fontId="51" fillId="16" borderId="0" xfId="10" applyNumberFormat="1" applyFont="1" applyFill="1" applyBorder="1" applyAlignment="1">
      <alignment horizontal="right"/>
    </xf>
    <xf numFmtId="0" fontId="40" fillId="16" borderId="0" xfId="0" applyFont="1" applyFill="1" applyAlignment="1"/>
    <xf numFmtId="0" fontId="40" fillId="16" borderId="3" xfId="0" applyFont="1" applyFill="1" applyBorder="1" applyAlignment="1"/>
    <xf numFmtId="0" fontId="40" fillId="16" borderId="0" xfId="0" applyFont="1" applyFill="1" applyBorder="1" applyAlignment="1">
      <alignment horizontal="right"/>
    </xf>
    <xf numFmtId="168" fontId="40" fillId="16" borderId="0" xfId="0" applyNumberFormat="1" applyFont="1" applyFill="1" applyBorder="1" applyAlignment="1">
      <alignment horizontal="right"/>
    </xf>
    <xf numFmtId="176" fontId="22" fillId="0" borderId="0" xfId="0" applyNumberFormat="1" applyFont="1" applyBorder="1" applyAlignment="1"/>
    <xf numFmtId="9" fontId="40" fillId="0" borderId="0" xfId="0" applyNumberFormat="1" applyFont="1" applyAlignment="1"/>
    <xf numFmtId="7" fontId="40" fillId="0" borderId="0" xfId="0" applyNumberFormat="1" applyFont="1" applyAlignment="1"/>
    <xf numFmtId="177" fontId="40" fillId="0" borderId="0" xfId="0" applyNumberFormat="1" applyFont="1" applyAlignment="1"/>
    <xf numFmtId="168" fontId="40" fillId="0" borderId="0" xfId="0" applyNumberFormat="1" applyFont="1" applyAlignment="1">
      <alignment horizontal="right"/>
    </xf>
    <xf numFmtId="0" fontId="40" fillId="16" borderId="0" xfId="0" applyFont="1" applyFill="1" applyBorder="1" applyAlignment="1">
      <alignment horizontal="left"/>
    </xf>
    <xf numFmtId="167" fontId="90" fillId="16" borderId="0" xfId="0" applyNumberFormat="1" applyFont="1" applyFill="1" applyBorder="1" applyAlignment="1" applyProtection="1"/>
    <xf numFmtId="168" fontId="91" fillId="0" borderId="0" xfId="0" applyNumberFormat="1" applyFont="1" applyAlignment="1"/>
    <xf numFmtId="168" fontId="90" fillId="0" borderId="0" xfId="0" applyNumberFormat="1" applyFont="1" applyAlignment="1"/>
    <xf numFmtId="168" fontId="26" fillId="16" borderId="0" xfId="0" applyNumberFormat="1" applyFont="1" applyFill="1" applyAlignment="1"/>
    <xf numFmtId="168" fontId="22" fillId="6" borderId="0" xfId="0" applyNumberFormat="1" applyFont="1" applyFill="1" applyAlignment="1"/>
    <xf numFmtId="173" fontId="44" fillId="19" borderId="0" xfId="0" applyNumberFormat="1" applyFont="1" applyFill="1" applyBorder="1" applyAlignment="1" applyProtection="1">
      <alignment horizontal="center"/>
      <protection locked="0"/>
    </xf>
    <xf numFmtId="173" fontId="44" fillId="19" borderId="12" xfId="0" applyNumberFormat="1" applyFont="1" applyFill="1" applyBorder="1" applyAlignment="1" applyProtection="1">
      <alignment horizontal="center"/>
      <protection locked="0"/>
    </xf>
    <xf numFmtId="173" fontId="44" fillId="16" borderId="12" xfId="0" applyNumberFormat="1" applyFont="1" applyFill="1" applyBorder="1" applyAlignment="1" applyProtection="1">
      <alignment horizontal="center"/>
      <protection locked="0"/>
    </xf>
    <xf numFmtId="173" fontId="44" fillId="16" borderId="0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Alignment="1" applyProtection="1">
      <alignment horizontal="left" indent="2"/>
    </xf>
    <xf numFmtId="0" fontId="22" fillId="6" borderId="0" xfId="0" applyFont="1" applyFill="1" applyBorder="1" applyAlignment="1" applyProtection="1">
      <alignment horizontal="left" indent="1"/>
    </xf>
    <xf numFmtId="0" fontId="22" fillId="6" borderId="0" xfId="0" applyFont="1" applyFill="1" applyBorder="1" applyAlignment="1" applyProtection="1">
      <alignment horizontal="left" indent="2"/>
    </xf>
  </cellXfs>
  <cellStyles count="89">
    <cellStyle name="Comma" xfId="9" builtinId="3"/>
    <cellStyle name="Comma 2" xfId="11"/>
    <cellStyle name="Comma 2 2" xfId="39"/>
    <cellStyle name="Comma 3" xfId="17"/>
    <cellStyle name="Comma 3 2" xfId="27"/>
    <cellStyle name="Comma 4" xfId="44"/>
    <cellStyle name="Comma 4 2" xfId="65"/>
    <cellStyle name="Comma 5" xfId="49"/>
    <cellStyle name="Currency 2" xfId="15"/>
    <cellStyle name="Currency 3" xfId="86"/>
    <cellStyle name="Currency 4" xfId="88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Normal" xfId="0" builtinId="0"/>
    <cellStyle name="Normal 10" xfId="87"/>
    <cellStyle name="Normal 2" xfId="1"/>
    <cellStyle name="Normal 2 2" xfId="14"/>
    <cellStyle name="Normal 2 3" xfId="40"/>
    <cellStyle name="Normal 3" xfId="10"/>
    <cellStyle name="Normal 4" xfId="13"/>
    <cellStyle name="Normal 5" xfId="16"/>
    <cellStyle name="Normal 5 2" xfId="26"/>
    <cellStyle name="Normal 5 3" xfId="30"/>
    <cellStyle name="Normal 5 3 2" xfId="37"/>
    <cellStyle name="Normal 5 3 3" xfId="84"/>
    <cellStyle name="Normal 6" xfId="28"/>
    <cellStyle name="Normal 7" xfId="29"/>
    <cellStyle name="Normal 8" xfId="31"/>
    <cellStyle name="Normal 8 2" xfId="32"/>
    <cellStyle name="Normal 8 2 2" xfId="43"/>
    <cellStyle name="Normal 8 2 2 2" xfId="62"/>
    <cellStyle name="Normal 8 2 2 2 2" xfId="73"/>
    <cellStyle name="Normal 8 2 2 3" xfId="71"/>
    <cellStyle name="Normal 8 2 3" xfId="45"/>
    <cellStyle name="Normal 8 2 4" xfId="51"/>
    <cellStyle name="Normal 8 2 4 2" xfId="54"/>
    <cellStyle name="Normal 8 2 4 2 2" xfId="75"/>
    <cellStyle name="Normal 8 2 4 3" xfId="64"/>
    <cellStyle name="Normal 8 2 5" xfId="57"/>
    <cellStyle name="Normal 8 2 5 2" xfId="83"/>
    <cellStyle name="Normal 8 2 6" xfId="68"/>
    <cellStyle name="Normal 8 2 7" xfId="80"/>
    <cellStyle name="Normal 8 3" xfId="33"/>
    <cellStyle name="Normal 8 3 2" xfId="48"/>
    <cellStyle name="Normal 8 3 2 2" xfId="78"/>
    <cellStyle name="Normal 8 3 3" xfId="53"/>
    <cellStyle name="Normal 8 3 3 2" xfId="67"/>
    <cellStyle name="Normal 8 3 4" xfId="61"/>
    <cellStyle name="Normal 8 3 5" xfId="77"/>
    <cellStyle name="Normal 8 4" xfId="34"/>
    <cellStyle name="Normal 8 4 2" xfId="42"/>
    <cellStyle name="Normal 8 4 2 2" xfId="59"/>
    <cellStyle name="Normal 8 4 2 2 2" xfId="74"/>
    <cellStyle name="Normal 8 4 3" xfId="46"/>
    <cellStyle name="Normal 8 4 3 2" xfId="79"/>
    <cellStyle name="Normal 8 4 4" xfId="50"/>
    <cellStyle name="Normal 8 4 4 2" xfId="55"/>
    <cellStyle name="Normal 8 4 4 2 2" xfId="76"/>
    <cellStyle name="Normal 8 4 4 3" xfId="63"/>
    <cellStyle name="Normal 8 4 5" xfId="56"/>
    <cellStyle name="Normal 8 4 5 2" xfId="82"/>
    <cellStyle name="Normal 8 4 6" xfId="69"/>
    <cellStyle name="Normal 8 5" xfId="35"/>
    <cellStyle name="Normal 8 6" xfId="36"/>
    <cellStyle name="Normal 8 6 2" xfId="60"/>
    <cellStyle name="Normal 8 6 3" xfId="72"/>
    <cellStyle name="Normal 8 7" xfId="38"/>
    <cellStyle name="Normal 8 7 2" xfId="47"/>
    <cellStyle name="Normal 8 7 3" xfId="52"/>
    <cellStyle name="Normal 8 7 3 2" xfId="66"/>
    <cellStyle name="Normal 8 7 4" xfId="58"/>
    <cellStyle name="Normal 8 7 4 2" xfId="81"/>
    <cellStyle name="Normal 8 7 5" xfId="70"/>
    <cellStyle name="Normal 9" xfId="85"/>
    <cellStyle name="Percent" xfId="8" builtinId="5"/>
    <cellStyle name="Percent 2" xfId="12"/>
    <cellStyle name="Percent 3" xfId="41"/>
    <cellStyle name="PSChar" xfId="2"/>
    <cellStyle name="PSDate" xfId="3"/>
    <cellStyle name="PSDec" xfId="4"/>
    <cellStyle name="PSHeading" xfId="5"/>
    <cellStyle name="PSInt" xfId="6"/>
    <cellStyle name="Style 1" xfId="7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6666FF"/>
      <rgbColor rgb="0033CC33"/>
      <rgbColor rgb="00FFCC00"/>
      <rgbColor rgb="00DC241F"/>
      <rgbColor rgb="0033CCCC"/>
      <rgbColor rgb="00008000"/>
      <rgbColor rgb="00800080"/>
      <rgbColor rgb="00FF6600"/>
      <rgbColor rgb="00003082"/>
      <rgbColor rgb="00FF00FF"/>
      <rgbColor rgb="00D1C2BA"/>
      <rgbColor rgb="00FFF05F"/>
      <rgbColor rgb="00FFFFFF"/>
      <rgbColor rgb="00FFFFFF"/>
      <rgbColor rgb="00BED8EC"/>
      <rgbColor rgb="00003082"/>
      <rgbColor rgb="00C0C0C0"/>
      <rgbColor rgb="0000A8EC"/>
      <rgbColor rgb="00969696"/>
      <rgbColor rgb="004E728F"/>
      <rgbColor rgb="0099CCE1"/>
      <rgbColor rgb="00808080"/>
      <rgbColor rgb="00BED8EC"/>
      <rgbColor rgb="00003082"/>
      <rgbColor rgb="00C0C0C0"/>
      <rgbColor rgb="0000A8EC"/>
      <rgbColor rgb="00969696"/>
      <rgbColor rgb="004E728F"/>
      <rgbColor rgb="0099CCE1"/>
      <rgbColor rgb="00808080"/>
      <rgbColor rgb="0069FFFF"/>
      <rgbColor rgb="00CCFFCC"/>
      <rgbColor rgb="00FFFF99"/>
      <rgbColor rgb="00A6CAF0"/>
      <rgbColor rgb="00CC99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  <rgbColor rgb="00333333"/>
    </indexedColors>
    <mruColors>
      <color rgb="FF0000FF"/>
      <color rgb="FF29FF8A"/>
      <color rgb="FF4C9BC8"/>
      <color rgb="FFFF3F3F"/>
      <color rgb="FFFF5B5B"/>
      <color rgb="FF85A7D1"/>
      <color rgb="FFA5CCED"/>
      <color rgb="FFB9FFD9"/>
      <color rgb="FFFFC8CE"/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Operating Income (Base Case)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5582561459458384E-2"/>
          <c:y val="0.15140400553379105"/>
          <c:w val="0.8874813317914243"/>
          <c:h val="0.812134517668050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Simplified_Income_Statement!$E$48:$J$48</c:f>
              <c:strCache>
                <c:ptCount val="1"/>
                <c:pt idx="0">
                  <c:v>Gross Operating Income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Simplified_Income_Statement!$K$47:$Q$47</c:f>
              <c:numCache>
                <c:formatCode>General"F"</c:formatCode>
                <c:ptCount val="7"/>
                <c:pt idx="0" formatCode="General&quot;A&quot;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cat>
          <c:val>
            <c:numRef>
              <c:f>Simplified_Income_Statement!$K$48:$Q$48</c:f>
              <c:numCache>
                <c:formatCode>"$"#,##0_%_);\("$"#,##0\)_%;\-\-_%_);@_%_)</c:formatCode>
                <c:ptCount val="7"/>
                <c:pt idx="0">
                  <c:v>369000</c:v>
                </c:pt>
                <c:pt idx="1">
                  <c:v>346000</c:v>
                </c:pt>
                <c:pt idx="2">
                  <c:v>-300728.4687173015</c:v>
                </c:pt>
                <c:pt idx="3">
                  <c:v>-311591.08570085862</c:v>
                </c:pt>
                <c:pt idx="4">
                  <c:v>-323964.59767596377</c:v>
                </c:pt>
                <c:pt idx="5">
                  <c:v>-337939.14205997624</c:v>
                </c:pt>
                <c:pt idx="6">
                  <c:v>-353607.32341111731</c:v>
                </c:pt>
              </c:numCache>
            </c:numRef>
          </c:val>
        </c:ser>
        <c:ser>
          <c:idx val="1"/>
          <c:order val="1"/>
          <c:tx>
            <c:strRef>
              <c:f>Simplified_Income_Statement!$E$49:$J$49</c:f>
              <c:strCache>
                <c:ptCount val="1"/>
                <c:pt idx="0">
                  <c:v>Total Depreciation and Interest Expense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Simplified_Income_Statement!$K$47:$Q$47</c:f>
              <c:numCache>
                <c:formatCode>General"F"</c:formatCode>
                <c:ptCount val="7"/>
                <c:pt idx="0" formatCode="General&quot;A&quot;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cat>
          <c:val>
            <c:numRef>
              <c:f>Simplified_Income_Statement!$K$49:$Q$49</c:f>
              <c:numCache>
                <c:formatCode>"$"#,##0_%_);\("$"#,##0\)_%;\-\-_%_);@_%_)</c:formatCode>
                <c:ptCount val="7"/>
                <c:pt idx="0">
                  <c:v>-121000</c:v>
                </c:pt>
                <c:pt idx="1">
                  <c:v>-121000</c:v>
                </c:pt>
                <c:pt idx="2">
                  <c:v>-124024.99999999999</c:v>
                </c:pt>
                <c:pt idx="3">
                  <c:v>-127125.62499999997</c:v>
                </c:pt>
                <c:pt idx="4">
                  <c:v>-130303.76562499996</c:v>
                </c:pt>
                <c:pt idx="5">
                  <c:v>-133561.35976562495</c:v>
                </c:pt>
                <c:pt idx="6">
                  <c:v>-136900.39375976555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7598848"/>
        <c:axId val="457600384"/>
      </c:barChart>
      <c:lineChart>
        <c:grouping val="standard"/>
        <c:varyColors val="0"/>
        <c:ser>
          <c:idx val="2"/>
          <c:order val="2"/>
          <c:tx>
            <c:strRef>
              <c:f>Simplified_Income_Statement!$E$50</c:f>
              <c:strCache>
                <c:ptCount val="1"/>
                <c:pt idx="0">
                  <c:v>Net Operating Income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Simplified_Income_Statement!$K$47:$Q$47</c:f>
              <c:numCache>
                <c:formatCode>General"F"</c:formatCode>
                <c:ptCount val="7"/>
                <c:pt idx="0" formatCode="General&quot;A&quot;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cat>
          <c:val>
            <c:numRef>
              <c:f>Simplified_Income_Statement!$K$50:$Q$50</c:f>
              <c:numCache>
                <c:formatCode>"$"#,##0_%_);\("$"#,##0\)_%;\-\-_%_);@_%_)</c:formatCode>
                <c:ptCount val="7"/>
                <c:pt idx="0">
                  <c:v>248000</c:v>
                </c:pt>
                <c:pt idx="1">
                  <c:v>225000</c:v>
                </c:pt>
                <c:pt idx="2">
                  <c:v>-424753.4687173015</c:v>
                </c:pt>
                <c:pt idx="3">
                  <c:v>-438716.71070085862</c:v>
                </c:pt>
                <c:pt idx="4">
                  <c:v>-454268.36330096371</c:v>
                </c:pt>
                <c:pt idx="5">
                  <c:v>-471500.50182560121</c:v>
                </c:pt>
                <c:pt idx="6">
                  <c:v>-490507.71717088285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98848"/>
        <c:axId val="457600384"/>
      </c:lineChart>
      <c:catAx>
        <c:axId val="457598848"/>
        <c:scaling>
          <c:orientation val="minMax"/>
        </c:scaling>
        <c:delete val="0"/>
        <c:axPos val="b"/>
        <c:numFmt formatCode="General&quot;A&quot;" sourceLinked="1"/>
        <c:majorTickMark val="out"/>
        <c:minorTickMark val="none"/>
        <c:tickLblPos val="nextTo"/>
        <c:txPr>
          <a:bodyPr/>
          <a:lstStyle/>
          <a:p>
            <a:pPr>
              <a:defRPr i="1"/>
            </a:pPr>
            <a:endParaRPr lang="en-US"/>
          </a:p>
        </c:txPr>
        <c:crossAx val="457600384"/>
        <c:crosses val="autoZero"/>
        <c:auto val="1"/>
        <c:lblAlgn val="ctr"/>
        <c:lblOffset val="100"/>
        <c:noMultiLvlLbl val="0"/>
      </c:catAx>
      <c:valAx>
        <c:axId val="4576003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&quot;$&quot;#,##0_%_);\(&quot;$&quot;#,##0\)_%;\-\-_%_);@_%_)" sourceLinked="1"/>
        <c:majorTickMark val="out"/>
        <c:minorTickMark val="none"/>
        <c:tickLblPos val="nextTo"/>
        <c:crossAx val="457598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25010132519377"/>
          <c:y val="6.5909784532747363E-3"/>
          <c:w val="0.24374993149058224"/>
          <c:h val="0.14574253799670389"/>
        </c:manualLayout>
      </c:layout>
      <c:overlay val="0"/>
      <c:txPr>
        <a:bodyPr/>
        <a:lstStyle/>
        <a:p>
          <a:pPr>
            <a:defRPr sz="800" i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Ending Cash &amp; Investment Balance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Simplified_Cash_Flow!$E$84</c:f>
              <c:strCache>
                <c:ptCount val="1"/>
                <c:pt idx="0">
                  <c:v>Ending Cash &amp; Investment Balance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Simplified_Cash_Flow!$L$9:$R$9</c:f>
              <c:numCache>
                <c:formatCode>General"A"</c:formatCode>
                <c:ptCount val="7"/>
                <c:pt idx="0">
                  <c:v>2014</c:v>
                </c:pt>
                <c:pt idx="1">
                  <c:v>2015</c:v>
                </c:pt>
                <c:pt idx="2" formatCode="General&quot;F&quot;">
                  <c:v>2016</c:v>
                </c:pt>
                <c:pt idx="3" formatCode="General&quot;F&quot;">
                  <c:v>2017</c:v>
                </c:pt>
                <c:pt idx="4" formatCode="General&quot;F&quot;">
                  <c:v>2018</c:v>
                </c:pt>
                <c:pt idx="5" formatCode="General&quot;F&quot;">
                  <c:v>2019</c:v>
                </c:pt>
                <c:pt idx="6" formatCode="General&quot;F&quot;">
                  <c:v>2020</c:v>
                </c:pt>
              </c:numCache>
            </c:numRef>
          </c:cat>
          <c:val>
            <c:numRef>
              <c:f>Simplified_Cash_Flow!$L$84:$R$84</c:f>
              <c:numCache>
                <c:formatCode>"$"#,##0_%_);\("$"#,##0\)_%;\-\-_%_);@_%_)</c:formatCode>
                <c:ptCount val="7"/>
                <c:pt idx="0">
                  <c:v>1501291</c:v>
                </c:pt>
                <c:pt idx="1">
                  <c:v>1588795.4916956802</c:v>
                </c:pt>
                <c:pt idx="2">
                  <c:v>1121135.3601046843</c:v>
                </c:pt>
                <c:pt idx="3">
                  <c:v>619295.76560853631</c:v>
                </c:pt>
                <c:pt idx="4">
                  <c:v>72120.013384956634</c:v>
                </c:pt>
                <c:pt idx="5">
                  <c:v>-517217.61343424534</c:v>
                </c:pt>
                <c:pt idx="6">
                  <c:v>-1131485.9869572762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510336"/>
        <c:axId val="458513024"/>
      </c:barChart>
      <c:catAx>
        <c:axId val="458510336"/>
        <c:scaling>
          <c:orientation val="minMax"/>
        </c:scaling>
        <c:delete val="0"/>
        <c:axPos val="b"/>
        <c:numFmt formatCode="General&quot;A&quot;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58513024"/>
        <c:crosses val="autoZero"/>
        <c:auto val="1"/>
        <c:lblAlgn val="ctr"/>
        <c:lblOffset val="100"/>
        <c:noMultiLvlLbl val="0"/>
      </c:catAx>
      <c:valAx>
        <c:axId val="458513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&quot;$&quot;#,##0_%_);\(&quot;$&quot;#,##0\)_%;\-\-_%_);@_%_)" sourceLinked="1"/>
        <c:majorTickMark val="out"/>
        <c:minorTickMark val="none"/>
        <c:tickLblPos val="nextTo"/>
        <c:crossAx val="458510336"/>
        <c:crosses val="autoZero"/>
        <c:crossBetween val="between"/>
      </c:valAx>
    </c:plotArea>
    <c:legend>
      <c:legendPos val="r"/>
      <c:legendEntry>
        <c:idx val="0"/>
        <c:delete val="1"/>
      </c:legendEntry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Simplified_Cash_Flow!$E$84</c:f>
              <c:strCache>
                <c:ptCount val="1"/>
                <c:pt idx="0">
                  <c:v>Ending Cash &amp; Investment Balance 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Simplified_Cash_Flow!$L$9:$R$9</c:f>
              <c:numCache>
                <c:formatCode>General"A"</c:formatCode>
                <c:ptCount val="7"/>
                <c:pt idx="0">
                  <c:v>2014</c:v>
                </c:pt>
                <c:pt idx="1">
                  <c:v>2015</c:v>
                </c:pt>
                <c:pt idx="2" formatCode="General&quot;F&quot;">
                  <c:v>2016</c:v>
                </c:pt>
                <c:pt idx="3" formatCode="General&quot;F&quot;">
                  <c:v>2017</c:v>
                </c:pt>
                <c:pt idx="4" formatCode="General&quot;F&quot;">
                  <c:v>2018</c:v>
                </c:pt>
                <c:pt idx="5" formatCode="General&quot;F&quot;">
                  <c:v>2019</c:v>
                </c:pt>
                <c:pt idx="6" formatCode="General&quot;F&quot;">
                  <c:v>2020</c:v>
                </c:pt>
              </c:numCache>
            </c:numRef>
          </c:cat>
          <c:val>
            <c:numRef>
              <c:f>Simplified_Cash_Flow!$L$84:$R$84</c:f>
              <c:numCache>
                <c:formatCode>"$"#,##0_%_);\("$"#,##0\)_%;\-\-_%_);@_%_)</c:formatCode>
                <c:ptCount val="7"/>
                <c:pt idx="0">
                  <c:v>1501291</c:v>
                </c:pt>
                <c:pt idx="1">
                  <c:v>1588795.4916956802</c:v>
                </c:pt>
                <c:pt idx="2">
                  <c:v>1121135.3601046843</c:v>
                </c:pt>
                <c:pt idx="3">
                  <c:v>619295.76560853631</c:v>
                </c:pt>
                <c:pt idx="4">
                  <c:v>72120.013384956634</c:v>
                </c:pt>
                <c:pt idx="5">
                  <c:v>-517217.61343424534</c:v>
                </c:pt>
                <c:pt idx="6">
                  <c:v>-1131485.9869572762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900416"/>
        <c:axId val="459901952"/>
      </c:barChart>
      <c:catAx>
        <c:axId val="459900416"/>
        <c:scaling>
          <c:orientation val="minMax"/>
        </c:scaling>
        <c:delete val="0"/>
        <c:axPos val="b"/>
        <c:numFmt formatCode="General&quot;A&quot;" sourceLinked="1"/>
        <c:majorTickMark val="out"/>
        <c:minorTickMark val="none"/>
        <c:tickLblPos val="nextTo"/>
        <c:crossAx val="459901952"/>
        <c:crosses val="autoZero"/>
        <c:auto val="1"/>
        <c:lblAlgn val="ctr"/>
        <c:lblOffset val="100"/>
        <c:noMultiLvlLbl val="0"/>
      </c:catAx>
      <c:valAx>
        <c:axId val="459901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&quot;$&quot;#,##0_%_);\(&quot;$&quot;#,##0\)_%;\-\-_%_);@_%_)" sourceLinked="1"/>
        <c:majorTickMark val="out"/>
        <c:minorTickMark val="none"/>
        <c:tickLblPos val="nextTo"/>
        <c:crossAx val="459900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Scenarios!$J$28</c:f>
          <c:strCache>
            <c:ptCount val="1"/>
            <c:pt idx="0">
              <c:v>Net Income</c:v>
            </c:pt>
          </c:strCache>
        </c:strRef>
      </c:tx>
      <c:layout>
        <c:manualLayout>
          <c:xMode val="edge"/>
          <c:yMode val="edge"/>
          <c:x val="0.49550281817864772"/>
          <c:y val="1.3254673707082918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982956693068605E-2"/>
          <c:y val="0.15078063412307399"/>
          <c:w val="0.90343824696422304"/>
          <c:h val="0.81416313878301705"/>
        </c:manualLayout>
      </c:layout>
      <c:lineChart>
        <c:grouping val="standard"/>
        <c:varyColors val="0"/>
        <c:ser>
          <c:idx val="1"/>
          <c:order val="0"/>
          <c:tx>
            <c:strRef>
              <c:f>Scenarios!$K$30</c:f>
              <c:strCache>
                <c:ptCount val="1"/>
                <c:pt idx="0">
                  <c:v>Base Case</c:v>
                </c:pt>
              </c:strCache>
            </c:strRef>
          </c:tx>
          <c:spPr>
            <a:ln w="28575">
              <a:solidFill>
                <a:srgbClr val="0070C0"/>
              </a:solidFill>
              <a:prstDash val="solid"/>
            </a:ln>
          </c:spPr>
          <c:marker>
            <c:symbol val="none"/>
          </c:marker>
          <c:cat>
            <c:numRef>
              <c:f>Scenarios!$J$31:$J$38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cat>
          <c:val>
            <c:numRef>
              <c:f>Scenarios!$K$31:$K$38</c:f>
              <c:numCache>
                <c:formatCode>"$"#,##0_%_);\("$"#,##0\)_%;\-\-_%_);@_%_)</c:formatCode>
                <c:ptCount val="7"/>
                <c:pt idx="0">
                  <c:v>-145435.375</c:v>
                </c:pt>
                <c:pt idx="1">
                  <c:v>-114389.49169568019</c:v>
                </c:pt>
                <c:pt idx="2">
                  <c:v>-133673.74078884674</c:v>
                </c:pt>
                <c:pt idx="3">
                  <c:v>-125071.9292338863</c:v>
                </c:pt>
                <c:pt idx="4">
                  <c:v>-126881.08282362286</c:v>
                </c:pt>
                <c:pt idx="5">
                  <c:v>-135041.70722936344</c:v>
                </c:pt>
                <c:pt idx="6">
                  <c:v>-147353.66358216561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Scenarios!$L$30</c:f>
              <c:strCache>
                <c:ptCount val="1"/>
                <c:pt idx="0">
                  <c:v>Scenario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cat>
            <c:numRef>
              <c:f>Scenarios!$J$31:$J$38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cat>
          <c:val>
            <c:numRef>
              <c:f>Scenarios!$L$31:$L$38</c:f>
              <c:numCache>
                <c:formatCode>"$"#,##0_%_);\("$"#,##0\)_%;\-\-_%_);@_%_)</c:formatCode>
                <c:ptCount val="7"/>
                <c:pt idx="0">
                  <c:v>248000</c:v>
                </c:pt>
                <c:pt idx="1">
                  <c:v>225000</c:v>
                </c:pt>
                <c:pt idx="2">
                  <c:v>-424753.4687173015</c:v>
                </c:pt>
                <c:pt idx="3">
                  <c:v>-438716.71070085862</c:v>
                </c:pt>
                <c:pt idx="4">
                  <c:v>-454268.36330096371</c:v>
                </c:pt>
                <c:pt idx="5">
                  <c:v>-471500.50182560121</c:v>
                </c:pt>
                <c:pt idx="6">
                  <c:v>-490507.71717088285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43648"/>
        <c:axId val="500845184"/>
      </c:lineChart>
      <c:catAx>
        <c:axId val="500843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500845184"/>
        <c:crosses val="autoZero"/>
        <c:auto val="1"/>
        <c:lblAlgn val="ctr"/>
        <c:lblOffset val="100"/>
        <c:noMultiLvlLbl val="0"/>
      </c:catAx>
      <c:valAx>
        <c:axId val="500845184"/>
        <c:scaling>
          <c:orientation val="minMax"/>
          <c:max val="400000"/>
          <c:min val="-400000"/>
        </c:scaling>
        <c:delete val="0"/>
        <c:axPos val="l"/>
        <c:numFmt formatCode="&quot;$&quot;#,##0;[Red]&quot;$&quot;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500843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8.4019812290896473E-2"/>
          <c:y val="0.35430030103744559"/>
          <c:w val="0.13064919276307851"/>
          <c:h val="0.15549456317960256"/>
        </c:manualLayout>
      </c:layout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Campus</a:t>
            </a:r>
            <a:r>
              <a:rPr lang="en-US" sz="1800" baseline="0"/>
              <a:t> </a:t>
            </a:r>
            <a:r>
              <a:rPr lang="en-US" sz="1800"/>
              <a:t>Bottom Line Projection with Confidence Intervals</a:t>
            </a:r>
          </a:p>
        </c:rich>
      </c:tx>
      <c:layout>
        <c:manualLayout>
          <c:xMode val="edge"/>
          <c:yMode val="edge"/>
          <c:x val="0.18550550982639499"/>
          <c:y val="1.378982406086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474829722396999E-2"/>
          <c:y val="0.159080387030445"/>
          <c:w val="0.90525152248488905"/>
          <c:h val="0.81675086470612301"/>
        </c:manualLayout>
      </c:layout>
      <c:areaChart>
        <c:grouping val="stacked"/>
        <c:varyColors val="0"/>
        <c:ser>
          <c:idx val="0"/>
          <c:order val="1"/>
          <c:tx>
            <c:v/>
          </c:tx>
          <c:spPr>
            <a:noFill/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Chart_data'!$C$42:$N$42</c:f>
              <c:numCache>
                <c:formatCode>#,##0</c:formatCode>
                <c:ptCount val="12"/>
                <c:pt idx="0">
                  <c:v>59573.498559999978</c:v>
                </c:pt>
                <c:pt idx="1">
                  <c:v>142542</c:v>
                </c:pt>
                <c:pt idx="2">
                  <c:v>220291.52192999981</c:v>
                </c:pt>
                <c:pt idx="3">
                  <c:v>49124</c:v>
                </c:pt>
                <c:pt idx="4">
                  <c:v>-43486.870000000112</c:v>
                </c:pt>
                <c:pt idx="5">
                  <c:v>248000</c:v>
                </c:pt>
                <c:pt idx="6">
                  <c:v>225000</c:v>
                </c:pt>
                <c:pt idx="7">
                  <c:v>-393627.96512041579</c:v>
                </c:pt>
                <c:pt idx="8">
                  <c:v>-393090.57069234806</c:v>
                </c:pt>
                <c:pt idx="9">
                  <c:v>-396341.83150473831</c:v>
                </c:pt>
                <c:pt idx="10">
                  <c:v>-402156.74533132929</c:v>
                </c:pt>
                <c:pt idx="11">
                  <c:v>-410123.27445270662</c:v>
                </c:pt>
              </c:numCache>
            </c:numRef>
          </c:val>
        </c:ser>
        <c:ser>
          <c:idx val="1"/>
          <c:order val="2"/>
          <c:tx>
            <c:strRef>
              <c:f>'Fan Chart_data'!$B$42</c:f>
              <c:strCache>
                <c:ptCount val="1"/>
                <c:pt idx="0">
                  <c:v>90% Above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Chart_data'!$C$43:$N$43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-9357.4853429276845</c:v>
                </c:pt>
                <c:pt idx="8">
                  <c:v>-13716.916581125581</c:v>
                </c:pt>
                <c:pt idx="9">
                  <c:v>-17414.872359014582</c:v>
                </c:pt>
                <c:pt idx="10">
                  <c:v>-20847.315224921273</c:v>
                </c:pt>
                <c:pt idx="11">
                  <c:v>-24166.55660504743</c:v>
                </c:pt>
              </c:numCache>
            </c:numRef>
          </c:val>
        </c:ser>
        <c:ser>
          <c:idx val="2"/>
          <c:order val="3"/>
          <c:tx>
            <c:strRef>
              <c:f>'Fan Chart_data'!$B$43</c:f>
              <c:strCache>
                <c:ptCount val="1"/>
                <c:pt idx="0">
                  <c:v>75% Above</c:v>
                </c:pt>
              </c:strCache>
            </c:strRef>
          </c:tx>
          <c:spPr>
            <a:solidFill>
              <a:srgbClr val="A5CCFF"/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Chart_data'!$C$44:$N$44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-9004.6739649588126</c:v>
                </c:pt>
                <c:pt idx="8">
                  <c:v>-13199.738721570699</c:v>
                </c:pt>
                <c:pt idx="9">
                  <c:v>-16758.268058930931</c:v>
                </c:pt>
                <c:pt idx="10">
                  <c:v>-20061.295290942362</c:v>
                </c:pt>
                <c:pt idx="11">
                  <c:v>-23255.389146683796</c:v>
                </c:pt>
              </c:numCache>
            </c:numRef>
          </c:val>
        </c:ser>
        <c:ser>
          <c:idx val="3"/>
          <c:order val="4"/>
          <c:tx>
            <c:strRef>
              <c:f>'Fan Chart_data'!$B$44</c:f>
              <c:strCache>
                <c:ptCount val="1"/>
                <c:pt idx="0">
                  <c:v>50% Above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Chart_data'!$C$45:$N$45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-6733.74353506224</c:v>
                </c:pt>
                <c:pt idx="8">
                  <c:v>-9870.835482414288</c:v>
                </c:pt>
                <c:pt idx="9">
                  <c:v>-12531.922825834656</c:v>
                </c:pt>
                <c:pt idx="10">
                  <c:v>-15001.944323142001</c:v>
                </c:pt>
                <c:pt idx="11">
                  <c:v>-17390.504856835818</c:v>
                </c:pt>
              </c:numCache>
            </c:numRef>
          </c:val>
        </c:ser>
        <c:ser>
          <c:idx val="4"/>
          <c:order val="5"/>
          <c:tx>
            <c:strRef>
              <c:f>'Fan Chart_data'!$B$45</c:f>
              <c:strCache>
                <c:ptCount val="1"/>
                <c:pt idx="0">
                  <c:v>25% Above</c:v>
                </c:pt>
              </c:strCache>
            </c:strRef>
          </c:tx>
          <c:spPr>
            <a:solidFill>
              <a:srgbClr val="4C9BC8"/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Chart_data'!$C$46:$N$46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-3651.7157923576306</c:v>
                </c:pt>
                <c:pt idx="8">
                  <c:v>-5352.9638643362559</c:v>
                </c:pt>
                <c:pt idx="9">
                  <c:v>-6796.0741678713821</c:v>
                </c:pt>
                <c:pt idx="10">
                  <c:v>-8135.5692737087375</c:v>
                </c:pt>
                <c:pt idx="11">
                  <c:v>-9430.8880182488356</c:v>
                </c:pt>
              </c:numCache>
            </c:numRef>
          </c:val>
        </c:ser>
        <c:ser>
          <c:idx val="5"/>
          <c:order val="6"/>
          <c:tx>
            <c:strRef>
              <c:f>'Fan Chart_data'!$B$46</c:f>
              <c:strCache>
                <c:ptCount val="1"/>
                <c:pt idx="0">
                  <c:v>10% Above/Below</c:v>
                </c:pt>
              </c:strCache>
            </c:strRef>
          </c:tx>
          <c:spPr>
            <a:solidFill>
              <a:srgbClr val="0070C0"/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Chart_data'!$C$47:$N$47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-4755.7699231586885</c:v>
                </c:pt>
                <c:pt idx="8">
                  <c:v>-6971.3707181274658</c:v>
                </c:pt>
                <c:pt idx="9">
                  <c:v>-8850.7887691477081</c:v>
                </c:pt>
                <c:pt idx="10">
                  <c:v>-10595.26476311509</c:v>
                </c:pt>
                <c:pt idx="11">
                  <c:v>-12282.2081827207</c:v>
                </c:pt>
              </c:numCache>
            </c:numRef>
          </c:val>
        </c:ser>
        <c:ser>
          <c:idx val="6"/>
          <c:order val="7"/>
          <c:tx>
            <c:strRef>
              <c:f>'Fan Chart_data'!$B$48</c:f>
              <c:strCache>
                <c:ptCount val="1"/>
                <c:pt idx="0">
                  <c:v>25% Below</c:v>
                </c:pt>
              </c:strCache>
            </c:strRef>
          </c:tx>
          <c:spPr>
            <a:solidFill>
              <a:srgbClr val="4C9BC8"/>
            </a:solidFill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Chart_data'!$C$48:$N$48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-3651.7157923576306</c:v>
                </c:pt>
                <c:pt idx="8">
                  <c:v>-5352.9638643362559</c:v>
                </c:pt>
                <c:pt idx="9">
                  <c:v>-6796.0741678713821</c:v>
                </c:pt>
                <c:pt idx="10">
                  <c:v>-8135.5692737087375</c:v>
                </c:pt>
                <c:pt idx="11">
                  <c:v>-9430.8880182488356</c:v>
                </c:pt>
              </c:numCache>
            </c:numRef>
          </c:val>
        </c:ser>
        <c:ser>
          <c:idx val="7"/>
          <c:order val="8"/>
          <c:tx>
            <c:strRef>
              <c:f>'Fan Chart_data'!$B$49</c:f>
              <c:strCache>
                <c:ptCount val="1"/>
                <c:pt idx="0">
                  <c:v>50% Below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Chart_data'!$C$49:$N$49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-6733.74353506224</c:v>
                </c:pt>
                <c:pt idx="8">
                  <c:v>-9870.835482414288</c:v>
                </c:pt>
                <c:pt idx="9">
                  <c:v>-12531.922825834656</c:v>
                </c:pt>
                <c:pt idx="10">
                  <c:v>-15001.944323142001</c:v>
                </c:pt>
                <c:pt idx="11">
                  <c:v>-17390.504856835818</c:v>
                </c:pt>
              </c:numCache>
            </c:numRef>
          </c:val>
        </c:ser>
        <c:ser>
          <c:idx val="8"/>
          <c:order val="9"/>
          <c:tx>
            <c:strRef>
              <c:f>'Fan Chart_data'!$B$50</c:f>
              <c:strCache>
                <c:ptCount val="1"/>
                <c:pt idx="0">
                  <c:v>75% Below</c:v>
                </c:pt>
              </c:strCache>
            </c:strRef>
          </c:tx>
          <c:spPr>
            <a:solidFill>
              <a:srgbClr val="A5CCFF"/>
            </a:solidFill>
            <a:ln w="25400">
              <a:noFill/>
            </a:ln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Chart_data'!$C$50:$N$50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-9004.6739649588126</c:v>
                </c:pt>
                <c:pt idx="8">
                  <c:v>-13199.738721570699</c:v>
                </c:pt>
                <c:pt idx="9">
                  <c:v>-16758.268058930931</c:v>
                </c:pt>
                <c:pt idx="10">
                  <c:v>-20061.295290942362</c:v>
                </c:pt>
                <c:pt idx="11">
                  <c:v>-23255.389146683854</c:v>
                </c:pt>
              </c:numCache>
            </c:numRef>
          </c:val>
        </c:ser>
        <c:ser>
          <c:idx val="9"/>
          <c:order val="10"/>
          <c:tx>
            <c:strRef>
              <c:f>'Fan Chart_data'!$B$51</c:f>
              <c:strCache>
                <c:ptCount val="1"/>
                <c:pt idx="0">
                  <c:v>90% Below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Chart_data'!$C$51:$N$51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-9357.4853429276845</c:v>
                </c:pt>
                <c:pt idx="8">
                  <c:v>-13716.916581125581</c:v>
                </c:pt>
                <c:pt idx="9">
                  <c:v>-17414.872359014582</c:v>
                </c:pt>
                <c:pt idx="10">
                  <c:v>-20847.315224921273</c:v>
                </c:pt>
                <c:pt idx="11">
                  <c:v>-24166.556605047313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68512"/>
        <c:axId val="626370048"/>
      </c:areaChart>
      <c:lineChart>
        <c:grouping val="standard"/>
        <c:varyColors val="0"/>
        <c:ser>
          <c:idx val="10"/>
          <c:order val="0"/>
          <c:tx>
            <c:strRef>
              <c:f>'Fan Chart_data'!$B$41</c:f>
              <c:strCache>
                <c:ptCount val="1"/>
                <c:pt idx="0">
                  <c:v>Projected</c:v>
                </c:pt>
              </c:strCache>
            </c:strRef>
          </c:tx>
          <c:spPr>
            <a:ln>
              <a:solidFill>
                <a:srgbClr val="1D4779"/>
              </a:solidFill>
            </a:ln>
          </c:spPr>
          <c:marker>
            <c:symbol val="none"/>
          </c:marker>
          <c:cat>
            <c:numRef>
              <c:f>'Fan Chart_data'!$C$40:$N$40</c:f>
              <c:numCache>
                <c:formatCode>General</c:formatCode>
                <c:ptCount val="1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cat>
          <c:val>
            <c:numRef>
              <c:f>'Fan Chart_data'!$C$41:$N$41</c:f>
              <c:numCache>
                <c:formatCode>#,##0</c:formatCode>
                <c:ptCount val="12"/>
                <c:pt idx="0">
                  <c:v>59573.498559999978</c:v>
                </c:pt>
                <c:pt idx="1">
                  <c:v>142542</c:v>
                </c:pt>
                <c:pt idx="2">
                  <c:v>220291.52192999981</c:v>
                </c:pt>
                <c:pt idx="3">
                  <c:v>49124</c:v>
                </c:pt>
                <c:pt idx="4">
                  <c:v>-43486.870000000112</c:v>
                </c:pt>
                <c:pt idx="5">
                  <c:v>248000</c:v>
                </c:pt>
                <c:pt idx="6">
                  <c:v>225000</c:v>
                </c:pt>
                <c:pt idx="7">
                  <c:v>-424753.4687173015</c:v>
                </c:pt>
                <c:pt idx="8">
                  <c:v>-438716.71070085862</c:v>
                </c:pt>
                <c:pt idx="9">
                  <c:v>-454268.36330096371</c:v>
                </c:pt>
                <c:pt idx="10">
                  <c:v>-471500.50182560121</c:v>
                </c:pt>
                <c:pt idx="11">
                  <c:v>-490507.71717088285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368512"/>
        <c:axId val="626370048"/>
      </c:lineChart>
      <c:catAx>
        <c:axId val="62636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6370048"/>
        <c:crosses val="autoZero"/>
        <c:auto val="1"/>
        <c:lblAlgn val="ctr"/>
        <c:lblOffset val="100"/>
        <c:noMultiLvlLbl val="0"/>
      </c:catAx>
      <c:valAx>
        <c:axId val="626370048"/>
        <c:scaling>
          <c:orientation val="minMax"/>
          <c:max val="300000"/>
          <c:min val="-5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Bottom Line (millions)</a:t>
                </a:r>
              </a:p>
            </c:rich>
          </c:tx>
          <c:layout>
            <c:manualLayout>
              <c:xMode val="edge"/>
              <c:yMode val="edge"/>
              <c:x val="1.6939670682941801E-2"/>
              <c:y val="0.39086247081795999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626368512"/>
        <c:crosses val="autoZero"/>
        <c:crossBetween val="between"/>
        <c:majorUnit val="50000"/>
        <c:dispUnits>
          <c:builtInUnit val="thousands"/>
        </c:dispUnits>
      </c:valAx>
    </c:plotArea>
    <c:plotVisOnly val="1"/>
    <c:dispBlanksAs val="zero"/>
    <c:showDLblsOverMax val="0"/>
  </c:chart>
  <c:spPr>
    <a:ln>
      <a:noFill/>
    </a:ln>
  </c:sp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Probability of Running a 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 w="381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'Fan Chart_data'!$I$40:$N$40</c:f>
              <c:numCache>
                <c:formatCode>General</c:formatCode>
                <c:ptCount val="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</c:numCache>
            </c:numRef>
          </c:cat>
          <c:val>
            <c:numRef>
              <c:f>'Fan Chart_data'!$I$38:$N$38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26078848"/>
        <c:axId val="626085888"/>
      </c:barChart>
      <c:catAx>
        <c:axId val="6260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en-US"/>
          </a:p>
        </c:txPr>
        <c:crossAx val="626085888"/>
        <c:crosses val="autoZero"/>
        <c:auto val="1"/>
        <c:lblAlgn val="ctr"/>
        <c:lblOffset val="100"/>
        <c:noMultiLvlLbl val="0"/>
      </c:catAx>
      <c:valAx>
        <c:axId val="626085888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en-US"/>
          </a:p>
        </c:txPr>
        <c:crossAx val="626078848"/>
        <c:crosses val="autoZero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44"/>
  <sheetViews>
    <sheetView zoomScale="85" workbookViewId="0"/>
  </sheetViews>
  <pageMargins left="0.25" right="0.25" top="0.75" bottom="0.75" header="0.3" footer="0.3"/>
  <pageSetup orientation="landscape" horizontalDpi="4294967292" verticalDpi="4294967292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published="0" codeName="Chart41"/>
  <sheetViews>
    <sheetView zoomScale="80" workbookViewId="0"/>
  </sheetViews>
  <pageMargins left="0.75" right="0.75" top="1" bottom="1" header="0.5" footer="0.5"/>
  <pageSetup orientation="landscape" horizontalDpi="4294967292" verticalDpi="4294967292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9526</xdr:colOff>
      <xdr:row>45</xdr:row>
      <xdr:rowOff>123825</xdr:rowOff>
    </xdr:from>
    <xdr:to>
      <xdr:col>17</xdr:col>
      <xdr:colOff>9526</xdr:colOff>
      <xdr:row>72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474521</xdr:colOff>
      <xdr:row>85</xdr:row>
      <xdr:rowOff>129020</xdr:rowOff>
    </xdr:from>
    <xdr:to>
      <xdr:col>19</xdr:col>
      <xdr:colOff>513487</xdr:colOff>
      <xdr:row>116</xdr:row>
      <xdr:rowOff>64078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166</xdr:row>
      <xdr:rowOff>0</xdr:rowOff>
    </xdr:from>
    <xdr:to>
      <xdr:col>19</xdr:col>
      <xdr:colOff>276225</xdr:colOff>
      <xdr:row>193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1107282</xdr:colOff>
      <xdr:row>29</xdr:row>
      <xdr:rowOff>273843</xdr:rowOff>
    </xdr:from>
    <xdr:to>
      <xdr:col>13</xdr:col>
      <xdr:colOff>0</xdr:colOff>
      <xdr:row>38</xdr:row>
      <xdr:rowOff>83344</xdr:rowOff>
    </xdr:to>
    <xdr:sp macro="" textlink="">
      <xdr:nvSpPr>
        <xdr:cNvPr id="5" name="Rectangle 4" descr="5644c2bb-fba9-43af-9006-4c8970684e56"/>
        <xdr:cNvSpPr/>
      </xdr:nvSpPr>
      <xdr:spPr bwMode="auto">
        <a:xfrm>
          <a:off x="7762876" y="928687"/>
          <a:ext cx="95249" cy="1678782"/>
        </a:xfrm>
        <a:prstGeom prst="rect">
          <a:avLst/>
        </a:prstGeom>
        <a:solidFill>
          <a:schemeClr val="bg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66</xdr:row>
          <xdr:rowOff>180975</xdr:rowOff>
        </xdr:from>
        <xdr:to>
          <xdr:col>8</xdr:col>
          <xdr:colOff>1190625</xdr:colOff>
          <xdr:row>68</xdr:row>
          <xdr:rowOff>180975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COST&gt;&gt;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1381125</xdr:colOff>
          <xdr:row>66</xdr:row>
          <xdr:rowOff>180975</xdr:rowOff>
        </xdr:from>
        <xdr:to>
          <xdr:col>8</xdr:col>
          <xdr:colOff>2400300</xdr:colOff>
          <xdr:row>68</xdr:row>
          <xdr:rowOff>171450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40821</xdr:colOff>
      <xdr:row>134</xdr:row>
      <xdr:rowOff>163287</xdr:rowOff>
    </xdr:from>
    <xdr:to>
      <xdr:col>15</xdr:col>
      <xdr:colOff>54427</xdr:colOff>
      <xdr:row>159</xdr:row>
      <xdr:rowOff>27215</xdr:rowOff>
    </xdr:to>
    <xdr:graphicFrame macro="">
      <xdr:nvGraphicFramePr>
        <xdr:cNvPr id="7" name="Bottom Lin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502588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0.83107</cdr:x>
      <cdr:y>0.08062</cdr:y>
    </cdr:from>
    <cdr:to>
      <cdr:x>0.99639</cdr:x>
      <cdr:y>0.10347</cdr:y>
    </cdr:to>
    <cdr:grpSp>
      <cdr:nvGrpSpPr>
        <cdr:cNvPr id="6" name="Group 5"/>
        <cdr:cNvGrpSpPr/>
      </cdr:nvGrpSpPr>
      <cdr:grpSpPr>
        <a:xfrm xmlns:a="http://schemas.openxmlformats.org/drawingml/2006/main">
          <a:off x="7897316" y="507721"/>
          <a:ext cx="1570968" cy="143903"/>
          <a:chOff x="7010400" y="528637"/>
          <a:chExt cx="1419225" cy="133350"/>
        </a:xfrm>
      </cdr:grpSpPr>
      <cdr:sp macro="" textlink="">
        <cdr:nvSpPr>
          <cdr:cNvPr id="2" name="Rectangle 1"/>
          <cdr:cNvSpPr/>
        </cdr:nvSpPr>
        <cdr:spPr bwMode="auto">
          <a:xfrm xmlns:a="http://schemas.openxmlformats.org/drawingml/2006/main">
            <a:off x="7010400" y="533400"/>
            <a:ext cx="333375" cy="12382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20000"/>
              <a:lumOff val="80000"/>
            </a:schemeClr>
          </a:solidFill>
          <a:ln xmlns:a="http://schemas.openxmlformats.org/drawingml/2006/main" w="9525" cap="flat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</cdr:spPr>
        <cdr:txBody>
          <a:bodyPr xmlns:a="http://schemas.openxmlformats.org/drawingml/2006/main" vertOverflow="clip" wrap="square" lIns="18288" tIns="0" rIns="0" bIns="0" upright="1"/>
          <a:lstStyle xmlns:a="http://schemas.openxmlformats.org/drawingml/2006/main"/>
          <a:p xmlns:a="http://schemas.openxmlformats.org/drawingml/2006/main">
            <a:endParaRPr lang="en-US"/>
          </a:p>
        </cdr:txBody>
      </cdr:sp>
      <cdr:sp macro="" textlink="">
        <cdr:nvSpPr>
          <cdr:cNvPr id="3" name="TextBox 2"/>
          <cdr:cNvSpPr txBox="1"/>
        </cdr:nvSpPr>
        <cdr:spPr>
          <a:xfrm xmlns:a="http://schemas.openxmlformats.org/drawingml/2006/main">
            <a:off x="7439025" y="528637"/>
            <a:ext cx="990600" cy="13335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rIns="0" rtlCol="0" anchor="ctr"/>
          <a:lstStyle xmlns:a="http://schemas.openxmlformats.org/drawingml/2006/main"/>
          <a:p xmlns:a="http://schemas.openxmlformats.org/drawingml/2006/main">
            <a:r>
              <a:rPr lang="en-US" sz="1000" i="1"/>
              <a:t>90% Confidence</a:t>
            </a:r>
          </a:p>
        </cdr:txBody>
      </cdr:sp>
    </cdr:grpSp>
  </cdr:relSizeAnchor>
  <cdr:relSizeAnchor xmlns:cdr="http://schemas.openxmlformats.org/drawingml/2006/chartDrawing">
    <cdr:from>
      <cdr:x>0.63504</cdr:x>
      <cdr:y>0.08062</cdr:y>
    </cdr:from>
    <cdr:to>
      <cdr:x>0.80037</cdr:x>
      <cdr:y>0.10347</cdr:y>
    </cdr:to>
    <cdr:grpSp>
      <cdr:nvGrpSpPr>
        <cdr:cNvPr id="7" name="Group 6"/>
        <cdr:cNvGrpSpPr/>
      </cdr:nvGrpSpPr>
      <cdr:grpSpPr>
        <a:xfrm xmlns:a="http://schemas.openxmlformats.org/drawingml/2006/main">
          <a:off x="6034523" y="507721"/>
          <a:ext cx="1571063" cy="143903"/>
          <a:chOff x="5394325" y="536575"/>
          <a:chExt cx="1419225" cy="133350"/>
        </a:xfrm>
      </cdr:grpSpPr>
      <cdr:sp macro="" textlink="">
        <cdr:nvSpPr>
          <cdr:cNvPr id="4" name="Rectangle 3"/>
          <cdr:cNvSpPr/>
        </cdr:nvSpPr>
        <cdr:spPr bwMode="auto">
          <a:xfrm xmlns:a="http://schemas.openxmlformats.org/drawingml/2006/main">
            <a:off x="5394325" y="541338"/>
            <a:ext cx="333375" cy="123825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A5CCFF"/>
          </a:solidFill>
          <a:ln xmlns:a="http://schemas.openxmlformats.org/drawingml/2006/main" w="9525" cap="flat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</cdr:spPr>
        <cdr:txBody>
          <a:bodyPr xmlns:a="http://schemas.openxmlformats.org/drawingml/2006/main" wrap="square" lIns="18288" tIns="0" rIns="0" bIns="0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5" name="TextBox 2"/>
          <cdr:cNvSpPr txBox="1"/>
        </cdr:nvSpPr>
        <cdr:spPr>
          <a:xfrm xmlns:a="http://schemas.openxmlformats.org/drawingml/2006/main">
            <a:off x="5822950" y="536575"/>
            <a:ext cx="990600" cy="13335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rIns="0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00" i="1"/>
              <a:t>75% Confidence</a:t>
            </a:r>
          </a:p>
        </cdr:txBody>
      </cdr:sp>
    </cdr:grpSp>
  </cdr:relSizeAnchor>
  <cdr:relSizeAnchor xmlns:cdr="http://schemas.openxmlformats.org/drawingml/2006/chartDrawing">
    <cdr:from>
      <cdr:x>0.43902</cdr:x>
      <cdr:y>0.08062</cdr:y>
    </cdr:from>
    <cdr:to>
      <cdr:x>0.60435</cdr:x>
      <cdr:y>0.10347</cdr:y>
    </cdr:to>
    <cdr:grpSp>
      <cdr:nvGrpSpPr>
        <cdr:cNvPr id="8" name="Group 7"/>
        <cdr:cNvGrpSpPr/>
      </cdr:nvGrpSpPr>
      <cdr:grpSpPr>
        <a:xfrm xmlns:a="http://schemas.openxmlformats.org/drawingml/2006/main">
          <a:off x="4171826" y="507721"/>
          <a:ext cx="1571063" cy="143903"/>
          <a:chOff x="0" y="0"/>
          <a:chExt cx="1419225" cy="133350"/>
        </a:xfrm>
      </cdr:grpSpPr>
      <cdr:sp macro="" textlink="">
        <cdr:nvSpPr>
          <cdr:cNvPr id="9" name="Rectangle 8"/>
          <cdr:cNvSpPr/>
        </cdr:nvSpPr>
        <cdr:spPr bwMode="auto">
          <a:xfrm xmlns:a="http://schemas.openxmlformats.org/drawingml/2006/main">
            <a:off x="0" y="4763"/>
            <a:ext cx="333375" cy="12382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60000"/>
              <a:lumOff val="40000"/>
            </a:schemeClr>
          </a:solidFill>
          <a:ln xmlns:a="http://schemas.openxmlformats.org/drawingml/2006/main" w="9525" cap="flat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</cdr:spPr>
        <cdr:txBody>
          <a:bodyPr xmlns:a="http://schemas.openxmlformats.org/drawingml/2006/main" wrap="square" lIns="18288" tIns="0" rIns="0" bIns="0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10" name="TextBox 2"/>
          <cdr:cNvSpPr txBox="1"/>
        </cdr:nvSpPr>
        <cdr:spPr>
          <a:xfrm xmlns:a="http://schemas.openxmlformats.org/drawingml/2006/main">
            <a:off x="428625" y="0"/>
            <a:ext cx="990600" cy="13335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rIns="0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00" i="1"/>
              <a:t>50% Confidence</a:t>
            </a:r>
          </a:p>
        </cdr:txBody>
      </cdr:sp>
    </cdr:grpSp>
  </cdr:relSizeAnchor>
  <cdr:relSizeAnchor xmlns:cdr="http://schemas.openxmlformats.org/drawingml/2006/chartDrawing">
    <cdr:from>
      <cdr:x>0.243</cdr:x>
      <cdr:y>0.08062</cdr:y>
    </cdr:from>
    <cdr:to>
      <cdr:x>0.40832</cdr:x>
      <cdr:y>0.10347</cdr:y>
    </cdr:to>
    <cdr:grpSp>
      <cdr:nvGrpSpPr>
        <cdr:cNvPr id="11" name="Group 10"/>
        <cdr:cNvGrpSpPr/>
      </cdr:nvGrpSpPr>
      <cdr:grpSpPr>
        <a:xfrm xmlns:a="http://schemas.openxmlformats.org/drawingml/2006/main">
          <a:off x="2309129" y="507721"/>
          <a:ext cx="1570968" cy="143903"/>
          <a:chOff x="0" y="0"/>
          <a:chExt cx="1419225" cy="133350"/>
        </a:xfrm>
      </cdr:grpSpPr>
      <cdr:sp macro="" textlink="">
        <cdr:nvSpPr>
          <cdr:cNvPr id="12" name="Rectangle 11"/>
          <cdr:cNvSpPr/>
        </cdr:nvSpPr>
        <cdr:spPr bwMode="auto">
          <a:xfrm xmlns:a="http://schemas.openxmlformats.org/drawingml/2006/main">
            <a:off x="0" y="4763"/>
            <a:ext cx="333375" cy="123825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4C9BC8"/>
          </a:solidFill>
          <a:ln xmlns:a="http://schemas.openxmlformats.org/drawingml/2006/main" w="9525" cap="flat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</cdr:spPr>
        <cdr:txBody>
          <a:bodyPr xmlns:a="http://schemas.openxmlformats.org/drawingml/2006/main" wrap="square" lIns="18288" tIns="0" rIns="0" bIns="0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13" name="TextBox 2"/>
          <cdr:cNvSpPr txBox="1"/>
        </cdr:nvSpPr>
        <cdr:spPr>
          <a:xfrm xmlns:a="http://schemas.openxmlformats.org/drawingml/2006/main">
            <a:off x="428625" y="0"/>
            <a:ext cx="990600" cy="13335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rIns="0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00" i="1"/>
              <a:t>25% Confidence</a:t>
            </a:r>
          </a:p>
        </cdr:txBody>
      </cdr:sp>
    </cdr:grpSp>
  </cdr:relSizeAnchor>
  <cdr:relSizeAnchor xmlns:cdr="http://schemas.openxmlformats.org/drawingml/2006/chartDrawing">
    <cdr:from>
      <cdr:x>0.04697</cdr:x>
      <cdr:y>0.08062</cdr:y>
    </cdr:from>
    <cdr:to>
      <cdr:x>0.2123</cdr:x>
      <cdr:y>0.10347</cdr:y>
    </cdr:to>
    <cdr:grpSp>
      <cdr:nvGrpSpPr>
        <cdr:cNvPr id="19" name="Group 18"/>
        <cdr:cNvGrpSpPr/>
      </cdr:nvGrpSpPr>
      <cdr:grpSpPr>
        <a:xfrm xmlns:a="http://schemas.openxmlformats.org/drawingml/2006/main">
          <a:off x="446337" y="507721"/>
          <a:ext cx="1571062" cy="143903"/>
          <a:chOff x="446064" y="549938"/>
          <a:chExt cx="1570006" cy="143909"/>
        </a:xfrm>
      </cdr:grpSpPr>
      <cdr:sp macro="" textlink="">
        <cdr:nvSpPr>
          <cdr:cNvPr id="15" name="Rectangle 14"/>
          <cdr:cNvSpPr/>
        </cdr:nvSpPr>
        <cdr:spPr bwMode="auto">
          <a:xfrm xmlns:a="http://schemas.openxmlformats.org/drawingml/2006/main">
            <a:off x="446064" y="555078"/>
            <a:ext cx="368793" cy="13363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0070C0"/>
          </a:solidFill>
          <a:ln xmlns:a="http://schemas.openxmlformats.org/drawingml/2006/main" w="9525" cap="flat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</cdr:spPr>
        <cdr:txBody>
          <a:bodyPr xmlns:a="http://schemas.openxmlformats.org/drawingml/2006/main" wrap="square" lIns="18288" tIns="0" rIns="0" bIns="0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16" name="TextBox 2"/>
          <cdr:cNvSpPr txBox="1"/>
        </cdr:nvSpPr>
        <cdr:spPr>
          <a:xfrm xmlns:a="http://schemas.openxmlformats.org/drawingml/2006/main">
            <a:off x="920227" y="549938"/>
            <a:ext cx="1095843" cy="14390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rIns="0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00" i="1"/>
              <a:t>10% Confidence</a:t>
            </a:r>
          </a:p>
        </cdr:txBody>
      </cdr:sp>
    </cdr:grpSp>
  </cdr:relSizeAnchor>
  <cdr:relSizeAnchor xmlns:cdr="http://schemas.openxmlformats.org/drawingml/2006/chartDrawing">
    <cdr:from>
      <cdr:x>0.00423</cdr:x>
      <cdr:y>0.00807</cdr:y>
    </cdr:from>
    <cdr:to>
      <cdr:x>0.12593</cdr:x>
      <cdr:y>0.03362</cdr:y>
    </cdr:to>
    <cdr:sp macro="" textlink="">
      <cdr:nvSpPr>
        <cdr:cNvPr id="17" name="TextBox 2"/>
        <cdr:cNvSpPr txBox="1"/>
      </cdr:nvSpPr>
      <cdr:spPr>
        <a:xfrm xmlns:a="http://schemas.openxmlformats.org/drawingml/2006/main">
          <a:off x="40217" y="50800"/>
          <a:ext cx="1155700" cy="1608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i="1"/>
            <a:t>Uncertainty</a:t>
          </a:r>
          <a:r>
            <a:rPr lang="en-US" sz="800" i="1" baseline="0"/>
            <a:t> Revenue:</a:t>
          </a:r>
          <a:endParaRPr lang="en-US" sz="800" i="1"/>
        </a:p>
      </cdr:txBody>
    </cdr:sp>
  </cdr:relSizeAnchor>
  <cdr:relSizeAnchor xmlns:cdr="http://schemas.openxmlformats.org/drawingml/2006/chartDrawing">
    <cdr:from>
      <cdr:x>0.00423</cdr:x>
      <cdr:y>0.03412</cdr:y>
    </cdr:from>
    <cdr:to>
      <cdr:x>0.11963</cdr:x>
      <cdr:y>0.05698</cdr:y>
    </cdr:to>
    <cdr:sp macro="" textlink="">
      <cdr:nvSpPr>
        <cdr:cNvPr id="18" name="TextBox 2"/>
        <cdr:cNvSpPr txBox="1"/>
      </cdr:nvSpPr>
      <cdr:spPr>
        <a:xfrm xmlns:a="http://schemas.openxmlformats.org/drawingml/2006/main">
          <a:off x="40217" y="214842"/>
          <a:ext cx="1095843" cy="1439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i="1"/>
            <a:t>Uncertainty</a:t>
          </a:r>
          <a:r>
            <a:rPr lang="en-US" sz="800" i="1" baseline="0"/>
            <a:t> Expense:</a:t>
          </a:r>
          <a:endParaRPr lang="en-US" sz="800" i="1"/>
        </a:p>
      </cdr:txBody>
    </cdr:sp>
  </cdr:relSizeAnchor>
  <cdr:relSizeAnchor xmlns:cdr="http://schemas.openxmlformats.org/drawingml/2006/chartDrawing">
    <cdr:from>
      <cdr:x>0.12627</cdr:x>
      <cdr:y>0.0084</cdr:y>
    </cdr:from>
    <cdr:to>
      <cdr:x>0.16215</cdr:x>
      <cdr:y>0.03059</cdr:y>
    </cdr:to>
    <cdr:sp macro="" textlink="'Fan Chart_data'!$A$15">
      <cdr:nvSpPr>
        <cdr:cNvPr id="20" name="TextBox 2"/>
        <cdr:cNvSpPr txBox="1"/>
      </cdr:nvSpPr>
      <cdr:spPr>
        <a:xfrm xmlns:a="http://schemas.openxmlformats.org/drawingml/2006/main">
          <a:off x="1199092" y="52904"/>
          <a:ext cx="340783" cy="139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656F453-DA57-4147-9873-37611A748475}" type="TxLink">
            <a:rPr lang="en-US" sz="800" b="0" i="1" u="none" strike="noStrike">
              <a:solidFill>
                <a:srgbClr val="000000"/>
              </a:solidFill>
              <a:latin typeface="+mn-lt"/>
              <a:ea typeface="Verdana"/>
              <a:cs typeface="Verdana"/>
            </a:rPr>
            <a:pPr algn="ctr"/>
            <a:t>1.0%</a:t>
          </a:fld>
          <a:endParaRPr lang="en-US" sz="800" i="1">
            <a:latin typeface="+mn-lt"/>
          </a:endParaRPr>
        </a:p>
      </cdr:txBody>
    </cdr:sp>
  </cdr:relSizeAnchor>
  <cdr:relSizeAnchor xmlns:cdr="http://schemas.openxmlformats.org/drawingml/2006/chartDrawing">
    <cdr:from>
      <cdr:x>0.12627</cdr:x>
      <cdr:y>0.03446</cdr:y>
    </cdr:from>
    <cdr:to>
      <cdr:x>0.16215</cdr:x>
      <cdr:y>0.05665</cdr:y>
    </cdr:to>
    <cdr:sp macro="" textlink="'Fan Chart_data'!$A$16">
      <cdr:nvSpPr>
        <cdr:cNvPr id="21" name="TextBox 2"/>
        <cdr:cNvSpPr txBox="1"/>
      </cdr:nvSpPr>
      <cdr:spPr>
        <a:xfrm xmlns:a="http://schemas.openxmlformats.org/drawingml/2006/main">
          <a:off x="1199092" y="216946"/>
          <a:ext cx="340783" cy="139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44F6514-75E3-4137-8DC7-83C6F1A44CF8}" type="TxLink">
            <a:rPr lang="en-US" sz="800" b="0" i="1" u="none" strike="noStrike">
              <a:solidFill>
                <a:srgbClr val="000000"/>
              </a:solidFill>
              <a:latin typeface="+mn-lt"/>
              <a:ea typeface="Verdana"/>
              <a:cs typeface="Verdana"/>
            </a:rPr>
            <a:pPr algn="ctr"/>
            <a:t>1.0%</a:t>
          </a:fld>
          <a:endParaRPr lang="en-US" sz="800" i="1">
            <a:latin typeface="+mn-lt"/>
          </a:endParaRPr>
        </a:p>
      </cdr:txBody>
    </cdr:sp>
  </cdr:relSizeAnchor>
  <cdr:relSizeAnchor xmlns:cdr="http://schemas.openxmlformats.org/drawingml/2006/chartDrawing">
    <cdr:from>
      <cdr:x>0.66511</cdr:x>
      <cdr:y>0.13078</cdr:y>
    </cdr:from>
    <cdr:to>
      <cdr:x>0.7868</cdr:x>
      <cdr:y>0.15633</cdr:y>
    </cdr:to>
    <cdr:sp macro="" textlink="">
      <cdr:nvSpPr>
        <cdr:cNvPr id="22" name="TextBox 2"/>
        <cdr:cNvSpPr txBox="1"/>
      </cdr:nvSpPr>
      <cdr:spPr>
        <a:xfrm xmlns:a="http://schemas.openxmlformats.org/drawingml/2006/main">
          <a:off x="6316134" y="823384"/>
          <a:ext cx="1155700" cy="1608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 i="0"/>
            <a:t>PROJECTIONS</a:t>
          </a:r>
        </a:p>
      </cdr:txBody>
    </cdr:sp>
  </cdr:relSizeAnchor>
  <cdr:relSizeAnchor xmlns:cdr="http://schemas.openxmlformats.org/drawingml/2006/chartDrawing">
    <cdr:from>
      <cdr:x>0.51265</cdr:x>
      <cdr:y>0.14288</cdr:y>
    </cdr:from>
    <cdr:to>
      <cdr:x>0.67536</cdr:x>
      <cdr:y>0.14288</cdr:y>
    </cdr:to>
    <cdr:cxnSp macro="">
      <cdr:nvCxnSpPr>
        <cdr:cNvPr id="24" name="Straight Arrow Connector 23"/>
        <cdr:cNvCxnSpPr/>
      </cdr:nvCxnSpPr>
      <cdr:spPr bwMode="auto">
        <a:xfrm xmlns:a="http://schemas.openxmlformats.org/drawingml/2006/main" flipH="1">
          <a:off x="4868333" y="899583"/>
          <a:ext cx="1545167" cy="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FFFFE1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triangl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0.88036</cdr:x>
      <cdr:y>0.02116</cdr:y>
    </cdr:from>
    <cdr:to>
      <cdr:x>0.96763</cdr:x>
      <cdr:y>0.04507</cdr:y>
    </cdr:to>
    <cdr:sp macro="" textlink="'Fan Chart_data'!$A$8">
      <cdr:nvSpPr>
        <cdr:cNvPr id="26" name="TextBox 2"/>
        <cdr:cNvSpPr txBox="1"/>
      </cdr:nvSpPr>
      <cdr:spPr>
        <a:xfrm xmlns:a="http://schemas.openxmlformats.org/drawingml/2006/main">
          <a:off x="7110844" y="113284"/>
          <a:ext cx="704897" cy="127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E2C5335-225C-4560-AD80-4B0A21D75AFB}" type="TxLink">
            <a:rPr lang="en-US" sz="1200" b="0" i="1" u="none" strike="noStrike">
              <a:solidFill>
                <a:srgbClr val="000000"/>
              </a:solidFill>
              <a:latin typeface="+mn-lt"/>
              <a:ea typeface="Verdana"/>
              <a:cs typeface="Verdana"/>
            </a:rPr>
            <a:pPr algn="ctr"/>
            <a:t>Scenario</a:t>
          </a:fld>
          <a:endParaRPr lang="en-US" sz="1200" b="0" i="1">
            <a:latin typeface="+mn-lt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0.63939</cdr:x>
      <cdr:y>0.0102</cdr:y>
    </cdr:from>
    <cdr:to>
      <cdr:x>0.80721</cdr:x>
      <cdr:y>0.06531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8781" y="59531"/>
          <a:ext cx="1440657" cy="3214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800" b="1"/>
        </a:p>
      </cdr:txBody>
    </cdr:sp>
  </cdr:relSizeAnchor>
  <cdr:relSizeAnchor xmlns:cdr="http://schemas.openxmlformats.org/drawingml/2006/chartDrawing">
    <cdr:from>
      <cdr:x>0.63991</cdr:x>
      <cdr:y>0.02119</cdr:y>
    </cdr:from>
    <cdr:to>
      <cdr:x>0.77998</cdr:x>
      <cdr:y>0.07221</cdr:y>
    </cdr:to>
    <cdr:sp macro="" textlink="'Fan Chart_data'!$A$38">
      <cdr:nvSpPr>
        <cdr:cNvPr id="3" name="TextBox 2"/>
        <cdr:cNvSpPr txBox="1"/>
      </cdr:nvSpPr>
      <cdr:spPr>
        <a:xfrm xmlns:a="http://schemas.openxmlformats.org/drawingml/2006/main">
          <a:off x="4394574" y="98914"/>
          <a:ext cx="961935" cy="2381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fld id="{E87BD063-2500-40E7-A4BA-6E9006744651}" type="TxLink">
            <a:rPr lang="en-US" sz="1600" b="1" i="0" u="none" strike="noStrike">
              <a:solidFill>
                <a:srgbClr val="000000"/>
              </a:solidFill>
              <a:latin typeface="+mn-lt"/>
              <a:ea typeface="Verdana"/>
              <a:cs typeface="Verdana"/>
            </a:rPr>
            <a:pPr/>
            <a:t>Surplus</a:t>
          </a:fld>
          <a:endParaRPr lang="en-US" sz="1600" b="1">
            <a:latin typeface="+mn-lt"/>
          </a:endParaRPr>
        </a:p>
      </cdr:txBody>
    </cdr:sp>
  </cdr:relSizeAnchor>
  <cdr:relSizeAnchor xmlns:cdr="http://schemas.openxmlformats.org/drawingml/2006/chartDrawing">
    <cdr:from>
      <cdr:x>0.11096</cdr:x>
      <cdr:y>0.52041</cdr:y>
    </cdr:from>
    <cdr:to>
      <cdr:x>1</cdr:x>
      <cdr:y>0.52041</cdr:y>
    </cdr:to>
    <cdr:cxnSp macro="">
      <cdr:nvCxnSpPr>
        <cdr:cNvPr id="9" name="Straight Connector 8"/>
        <cdr:cNvCxnSpPr/>
      </cdr:nvCxnSpPr>
      <cdr:spPr bwMode="auto">
        <a:xfrm xmlns:a="http://schemas.openxmlformats.org/drawingml/2006/main">
          <a:off x="762000" y="2428875"/>
          <a:ext cx="6105525" cy="9"/>
        </a:xfrm>
        <a:prstGeom xmlns:a="http://schemas.openxmlformats.org/drawingml/2006/main" prst="line">
          <a:avLst/>
        </a:prstGeom>
        <a:solidFill xmlns:a="http://schemas.openxmlformats.org/drawingml/2006/main">
          <a:srgbClr val="FFFFE1"/>
        </a:solidFill>
        <a:ln xmlns:a="http://schemas.openxmlformats.org/drawingml/2006/main" w="28575" cap="flat" cmpd="sng" algn="ctr">
          <a:solidFill>
            <a:sysClr val="windowText" lastClr="000000"/>
          </a:solidFill>
          <a:prstDash val="sysDash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0.82524</cdr:x>
      <cdr:y>0.01687</cdr:y>
    </cdr:from>
    <cdr:to>
      <cdr:x>0.96362</cdr:x>
      <cdr:y>0.05102</cdr:y>
    </cdr:to>
    <cdr:sp macro="" textlink="'Fan Chart_data'!$A$8">
      <cdr:nvSpPr>
        <cdr:cNvPr id="5" name="TextBox 2"/>
        <cdr:cNvSpPr txBox="1"/>
      </cdr:nvSpPr>
      <cdr:spPr>
        <a:xfrm xmlns:a="http://schemas.openxmlformats.org/drawingml/2006/main">
          <a:off x="5667375" y="78737"/>
          <a:ext cx="950309" cy="1593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50DA37A-7BD2-44D7-8F76-38A779F5E116}" type="TxLink">
            <a:rPr lang="en-US" sz="1200" b="0" i="1" u="none" strike="noStrike">
              <a:solidFill>
                <a:srgbClr val="000000"/>
              </a:solidFill>
              <a:latin typeface="+mn-lt"/>
              <a:ea typeface="Verdana"/>
              <a:cs typeface="Verdana"/>
            </a:rPr>
            <a:pPr algn="ctr"/>
            <a:t>Scenario</a:t>
          </a:fld>
          <a:endParaRPr lang="en-US" sz="1200" b="0" i="1">
            <a:latin typeface="+mn-lt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PB%20Budget\Special%20Projects\MTSF\Costing\Central%20Campus%20Model%20vCost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PB%20Budget\Special%20Projects\MTSF\Costing\Review%20and%20Reduce%20Commitments%20-%20Costing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pecial%20Projects\MTSF\New%20Initiatives\Framework\Strategic%20Initiative%20Framework%20v9%2007171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PB%20Budget\Private\2012-13%20ZABUDGET\5yr%20Forecast\Mini%20Model%20FY12%202012030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ini%20Model_Metrics_Real_v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ficit%20Mitigation%20Ideas%20v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Use"/>
      <sheetName val="Summary Control Sheet"/>
      <sheetName val="Transfers - Commitments"/>
      <sheetName val="SRECNA"/>
      <sheetName val="Revenue"/>
      <sheetName val="Transfers - General Allocation"/>
      <sheetName val="Commitments - Salaries,Benefits"/>
      <sheetName val="Transfers&amp;Capital - Initiatives"/>
      <sheetName val="Transfers - Gift fee"/>
      <sheetName val="Lists"/>
    </sheetNames>
    <sheetDataSet>
      <sheetData sheetId="0"/>
      <sheetData sheetId="1">
        <row r="5">
          <cell r="E5">
            <v>0.04</v>
          </cell>
          <cell r="F5">
            <v>0.04</v>
          </cell>
          <cell r="G5">
            <v>0.04</v>
          </cell>
          <cell r="H5">
            <v>0.04</v>
          </cell>
          <cell r="I5">
            <v>0.04</v>
          </cell>
          <cell r="J5">
            <v>0.04</v>
          </cell>
        </row>
        <row r="6">
          <cell r="E6">
            <v>0</v>
          </cell>
          <cell r="F6">
            <v>0</v>
          </cell>
          <cell r="G6">
            <v>2.5000000000000001E-2</v>
          </cell>
          <cell r="H6">
            <v>2.5000000000000001E-2</v>
          </cell>
          <cell r="I6">
            <v>2.5000000000000001E-2</v>
          </cell>
          <cell r="J6">
            <v>2.5000000000000001E-2</v>
          </cell>
        </row>
        <row r="7">
          <cell r="E7">
            <v>0.08</v>
          </cell>
          <cell r="F7">
            <v>0.08</v>
          </cell>
          <cell r="G7">
            <v>0.05</v>
          </cell>
          <cell r="H7">
            <v>0.05</v>
          </cell>
          <cell r="I7">
            <v>0.05</v>
          </cell>
          <cell r="J7">
            <v>0.05</v>
          </cell>
        </row>
        <row r="8">
          <cell r="E8">
            <v>0.01</v>
          </cell>
          <cell r="F8">
            <v>0.01</v>
          </cell>
          <cell r="G8">
            <v>0.01</v>
          </cell>
          <cell r="H8">
            <v>0.01</v>
          </cell>
          <cell r="I8">
            <v>0.01</v>
          </cell>
          <cell r="J8">
            <v>0.01</v>
          </cell>
        </row>
        <row r="9">
          <cell r="E9">
            <v>0.25</v>
          </cell>
          <cell r="F9">
            <v>0.25</v>
          </cell>
          <cell r="G9">
            <v>0.25</v>
          </cell>
          <cell r="H9">
            <v>0.25</v>
          </cell>
          <cell r="I9">
            <v>0.25</v>
          </cell>
          <cell r="J9">
            <v>0.25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D11">
            <v>0.04</v>
          </cell>
          <cell r="E11">
            <v>17271985.120000001</v>
          </cell>
          <cell r="F11">
            <v>17962864.524800003</v>
          </cell>
          <cell r="G11">
            <v>18681379.105792005</v>
          </cell>
          <cell r="H11">
            <v>19428634.270023685</v>
          </cell>
          <cell r="I11">
            <v>20205779.640824635</v>
          </cell>
          <cell r="J11">
            <v>21014010.82645762</v>
          </cell>
        </row>
        <row r="12">
          <cell r="D12">
            <v>0.09</v>
          </cell>
          <cell r="E12">
            <v>30670025.425714277</v>
          </cell>
          <cell r="F12">
            <v>31590126.188485704</v>
          </cell>
          <cell r="G12">
            <v>32537829.974140279</v>
          </cell>
          <cell r="H12">
            <v>33513964.87336449</v>
          </cell>
          <cell r="I12">
            <v>34519383.819565423</v>
          </cell>
          <cell r="J12">
            <v>35554965.334152386</v>
          </cell>
        </row>
        <row r="15"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E16">
            <v>0.03</v>
          </cell>
          <cell r="F16">
            <v>0.03</v>
          </cell>
          <cell r="G16">
            <v>0.03</v>
          </cell>
          <cell r="H16">
            <v>0.03</v>
          </cell>
          <cell r="I16">
            <v>0.03</v>
          </cell>
          <cell r="J16">
            <v>0.03</v>
          </cell>
        </row>
        <row r="17">
          <cell r="E17" t="b">
            <v>1</v>
          </cell>
          <cell r="F17" t="b">
            <v>1</v>
          </cell>
          <cell r="G17" t="b">
            <v>1</v>
          </cell>
          <cell r="H17" t="b">
            <v>1</v>
          </cell>
          <cell r="I17" t="b">
            <v>1</v>
          </cell>
          <cell r="J17" t="b">
            <v>1</v>
          </cell>
        </row>
        <row r="18">
          <cell r="E18" t="b">
            <v>1</v>
          </cell>
          <cell r="F18" t="b">
            <v>1</v>
          </cell>
          <cell r="G18" t="b">
            <v>1</v>
          </cell>
          <cell r="H18" t="b">
            <v>1</v>
          </cell>
          <cell r="I18" t="b">
            <v>1</v>
          </cell>
          <cell r="J18" t="b">
            <v>1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E20">
            <v>0.03</v>
          </cell>
          <cell r="F20">
            <v>0.03</v>
          </cell>
          <cell r="G20">
            <v>0.03</v>
          </cell>
          <cell r="H20">
            <v>0.03</v>
          </cell>
          <cell r="I20">
            <v>0.03</v>
          </cell>
          <cell r="J20">
            <v>0.03</v>
          </cell>
        </row>
        <row r="21">
          <cell r="E21" t="b">
            <v>0</v>
          </cell>
          <cell r="F21" t="b">
            <v>1</v>
          </cell>
          <cell r="G21" t="b">
            <v>1</v>
          </cell>
          <cell r="H21" t="b">
            <v>1</v>
          </cell>
          <cell r="I21" t="b">
            <v>1</v>
          </cell>
          <cell r="J21" t="b">
            <v>1</v>
          </cell>
        </row>
        <row r="22">
          <cell r="E22" t="b">
            <v>0</v>
          </cell>
          <cell r="F22" t="b">
            <v>1</v>
          </cell>
          <cell r="G22" t="b">
            <v>1</v>
          </cell>
          <cell r="H22" t="b">
            <v>1</v>
          </cell>
          <cell r="I22" t="b">
            <v>1</v>
          </cell>
          <cell r="J22" t="b">
            <v>1</v>
          </cell>
        </row>
        <row r="23"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E24">
            <v>0.03</v>
          </cell>
          <cell r="F24">
            <v>0.03</v>
          </cell>
          <cell r="G24">
            <v>0.03</v>
          </cell>
          <cell r="H24">
            <v>0.03</v>
          </cell>
          <cell r="I24">
            <v>0.03</v>
          </cell>
          <cell r="J24">
            <v>0.03</v>
          </cell>
        </row>
        <row r="25">
          <cell r="E25" t="b">
            <v>0</v>
          </cell>
          <cell r="F25" t="b">
            <v>1</v>
          </cell>
          <cell r="G25" t="b">
            <v>1</v>
          </cell>
          <cell r="H25" t="b">
            <v>1</v>
          </cell>
          <cell r="I25" t="b">
            <v>1</v>
          </cell>
          <cell r="J25" t="b">
            <v>1</v>
          </cell>
        </row>
        <row r="26">
          <cell r="E26" t="b">
            <v>0</v>
          </cell>
          <cell r="F26" t="b">
            <v>1</v>
          </cell>
          <cell r="G26" t="b">
            <v>1</v>
          </cell>
          <cell r="H26" t="b">
            <v>1</v>
          </cell>
          <cell r="I26" t="b">
            <v>1</v>
          </cell>
          <cell r="J26" t="b">
            <v>1</v>
          </cell>
        </row>
        <row r="27"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>
            <v>-1826727.0675500021</v>
          </cell>
          <cell r="F28">
            <v>-1854782.4694629908</v>
          </cell>
          <cell r="G28">
            <v>-5543584.4464704329</v>
          </cell>
          <cell r="H28">
            <v>-5737609.9020969085</v>
          </cell>
          <cell r="I28">
            <v>-5938426.248670293</v>
          </cell>
          <cell r="J28">
            <v>-6146271.1673737653</v>
          </cell>
        </row>
        <row r="29">
          <cell r="D29">
            <v>0.02</v>
          </cell>
          <cell r="E29">
            <v>-7848929.5800000001</v>
          </cell>
          <cell r="F29">
            <v>-8005908.1716</v>
          </cell>
          <cell r="G29">
            <v>-8166026.3350320002</v>
          </cell>
          <cell r="H29">
            <v>-8329346.8617326403</v>
          </cell>
          <cell r="I29">
            <v>-8495933.7989672925</v>
          </cell>
          <cell r="J29">
            <v>-8665852.4749466386</v>
          </cell>
        </row>
        <row r="30">
          <cell r="D30">
            <v>0.02</v>
          </cell>
          <cell r="E30">
            <v>-7599000</v>
          </cell>
          <cell r="F30">
            <v>-7750980</v>
          </cell>
          <cell r="G30">
            <v>-7905999.6000000006</v>
          </cell>
          <cell r="H30">
            <v>-8064119.5920000011</v>
          </cell>
          <cell r="I30">
            <v>-8225401.9838400008</v>
          </cell>
          <cell r="J30">
            <v>-8389910.0235168003</v>
          </cell>
        </row>
        <row r="31">
          <cell r="D31">
            <v>0.02</v>
          </cell>
          <cell r="E31">
            <v>-15337564.560000001</v>
          </cell>
          <cell r="F31">
            <v>-15644315.851200001</v>
          </cell>
          <cell r="G31">
            <v>-15957202.168224001</v>
          </cell>
          <cell r="H31">
            <v>-16276346.211588481</v>
          </cell>
          <cell r="I31">
            <v>-16601873.135820251</v>
          </cell>
          <cell r="J31">
            <v>-16933910.598536655</v>
          </cell>
        </row>
        <row r="32">
          <cell r="D32">
            <v>0.02</v>
          </cell>
          <cell r="E32">
            <v>-32887954.860000003</v>
          </cell>
          <cell r="F32">
            <v>-33545713.957200006</v>
          </cell>
          <cell r="G32">
            <v>-34216628.236344002</v>
          </cell>
          <cell r="H32">
            <v>-34900960.801070876</v>
          </cell>
          <cell r="I32">
            <v>-35598980.017092295</v>
          </cell>
          <cell r="J32">
            <v>-36310959.617434144</v>
          </cell>
        </row>
        <row r="33">
          <cell r="D33">
            <v>0.02</v>
          </cell>
          <cell r="E33">
            <v>17843584.199999999</v>
          </cell>
          <cell r="F33">
            <v>18200455.884</v>
          </cell>
          <cell r="G33">
            <v>18564465.001680002</v>
          </cell>
          <cell r="H33">
            <v>18935754.301713601</v>
          </cell>
          <cell r="I33">
            <v>19314469.387747873</v>
          </cell>
          <cell r="J33">
            <v>19700758.775502831</v>
          </cell>
        </row>
        <row r="34">
          <cell r="D34">
            <v>0</v>
          </cell>
          <cell r="E34">
            <v>120000000</v>
          </cell>
          <cell r="F34">
            <v>120000000</v>
          </cell>
          <cell r="G34">
            <v>120000000</v>
          </cell>
          <cell r="H34">
            <v>120000000</v>
          </cell>
          <cell r="I34">
            <v>120000000</v>
          </cell>
          <cell r="J34">
            <v>120000000</v>
          </cell>
        </row>
        <row r="35"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36">
          <cell r="E36">
            <v>-5387000</v>
          </cell>
          <cell r="F36">
            <v>-9127000</v>
          </cell>
          <cell r="G36">
            <v>-15488000</v>
          </cell>
          <cell r="H36">
            <v>-11212000</v>
          </cell>
          <cell r="I36">
            <v>-8537000</v>
          </cell>
          <cell r="J36">
            <v>-8537000</v>
          </cell>
        </row>
        <row r="37">
          <cell r="D37" t="b">
            <v>1</v>
          </cell>
          <cell r="E37">
            <v>0</v>
          </cell>
          <cell r="F37">
            <v>-21711190</v>
          </cell>
          <cell r="G37">
            <v>-9825628</v>
          </cell>
          <cell r="H37">
            <v>0</v>
          </cell>
          <cell r="I37">
            <v>0</v>
          </cell>
          <cell r="J37">
            <v>0</v>
          </cell>
        </row>
        <row r="38">
          <cell r="D38" t="b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39">
          <cell r="D39" t="b">
            <v>1</v>
          </cell>
          <cell r="E39">
            <v>-5000000</v>
          </cell>
          <cell r="F39">
            <v>-4000000</v>
          </cell>
          <cell r="G39">
            <v>-3000000</v>
          </cell>
          <cell r="H39">
            <v>-2000000</v>
          </cell>
          <cell r="I39">
            <v>-1000000</v>
          </cell>
          <cell r="J39">
            <v>-1000000</v>
          </cell>
        </row>
        <row r="40">
          <cell r="D40" t="b">
            <v>1</v>
          </cell>
          <cell r="E40">
            <v>-5000000</v>
          </cell>
          <cell r="F40">
            <v>-3000000</v>
          </cell>
          <cell r="G40">
            <v>-3000000</v>
          </cell>
          <cell r="H40">
            <v>-3000000</v>
          </cell>
          <cell r="I40">
            <v>-3000000</v>
          </cell>
          <cell r="J40">
            <v>-3000000</v>
          </cell>
        </row>
        <row r="41">
          <cell r="D41" t="b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D42" t="b">
            <v>0</v>
          </cell>
        </row>
        <row r="45">
          <cell r="D45" t="b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D46" t="b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D47" t="b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  <row r="48">
          <cell r="D48" t="b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</row>
        <row r="53">
          <cell r="C53">
            <v>200000000</v>
          </cell>
        </row>
      </sheetData>
      <sheetData sheetId="2"/>
      <sheetData sheetId="3">
        <row r="12">
          <cell r="B12">
            <v>-890413683</v>
          </cell>
          <cell r="C12">
            <v>-990841977</v>
          </cell>
          <cell r="D12">
            <v>-1029700465</v>
          </cell>
          <cell r="E12">
            <v>-1055834707.5244144</v>
          </cell>
          <cell r="F12">
            <v>-1106863334.4574487</v>
          </cell>
          <cell r="G12">
            <v>-1130851464.2042918</v>
          </cell>
          <cell r="H12">
            <v>-1147056028.9016936</v>
          </cell>
          <cell r="I12">
            <v>-1173727316.8713977</v>
          </cell>
          <cell r="J12">
            <v>-1202056067.9936182</v>
          </cell>
        </row>
        <row r="32">
          <cell r="B32">
            <v>-20392959</v>
          </cell>
          <cell r="C32">
            <v>-27257203</v>
          </cell>
          <cell r="D32">
            <v>-31862197</v>
          </cell>
          <cell r="E32">
            <v>-34000000</v>
          </cell>
          <cell r="F32">
            <v>-36000000</v>
          </cell>
          <cell r="G32">
            <v>-41000000</v>
          </cell>
          <cell r="H32">
            <v>-42000000</v>
          </cell>
          <cell r="I32">
            <v>-43000000</v>
          </cell>
          <cell r="J32">
            <v>-43000000</v>
          </cell>
        </row>
        <row r="33">
          <cell r="B33">
            <v>-14583386</v>
          </cell>
          <cell r="C33">
            <v>-20863909</v>
          </cell>
          <cell r="D33">
            <v>-18953817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54">
          <cell r="B54">
            <v>-890413683</v>
          </cell>
          <cell r="C54">
            <v>-990841977</v>
          </cell>
          <cell r="D54">
            <v>-1029700465</v>
          </cell>
          <cell r="E54">
            <v>-1055834707.5244144</v>
          </cell>
          <cell r="F54">
            <v>-1106863334.4574487</v>
          </cell>
          <cell r="G54">
            <v>-1130851464.2042918</v>
          </cell>
          <cell r="H54">
            <v>-1147056028.9016936</v>
          </cell>
          <cell r="I54">
            <v>-1173727316.8713977</v>
          </cell>
          <cell r="J54">
            <v>-1202056067.9936182</v>
          </cell>
        </row>
        <row r="66">
          <cell r="B66">
            <v>-45088000</v>
          </cell>
          <cell r="C66">
            <v>-64324332</v>
          </cell>
          <cell r="D66">
            <v>-64559833</v>
          </cell>
          <cell r="E66">
            <v>-65851029.660000004</v>
          </cell>
          <cell r="F66">
            <v>-67168050.253200009</v>
          </cell>
          <cell r="G66">
            <v>-68511411.258264005</v>
          </cell>
          <cell r="H66">
            <v>-69881639.483429283</v>
          </cell>
          <cell r="I66">
            <v>-71279272.273097873</v>
          </cell>
          <cell r="J66">
            <v>-72704857.718559831</v>
          </cell>
        </row>
        <row r="67">
          <cell r="B67">
            <v>22544000</v>
          </cell>
          <cell r="C67">
            <v>32162166</v>
          </cell>
          <cell r="D67">
            <v>32316740</v>
          </cell>
          <cell r="E67">
            <v>32963074.800000001</v>
          </cell>
          <cell r="F67">
            <v>33622336.296000004</v>
          </cell>
          <cell r="G67">
            <v>34294783.021920003</v>
          </cell>
          <cell r="H67">
            <v>34980678.682358406</v>
          </cell>
          <cell r="I67">
            <v>35680292.256005578</v>
          </cell>
          <cell r="J67">
            <v>36393898.101125687</v>
          </cell>
        </row>
        <row r="85">
          <cell r="B85">
            <v>328246311</v>
          </cell>
          <cell r="C85">
            <v>254120716</v>
          </cell>
          <cell r="D85">
            <v>256207944</v>
          </cell>
          <cell r="E85">
            <v>219359406.69389141</v>
          </cell>
          <cell r="F85">
            <v>159439186.98763645</v>
          </cell>
          <cell r="G85">
            <v>103771747.49424689</v>
          </cell>
          <cell r="H85">
            <v>76362733.861199021</v>
          </cell>
          <cell r="I85">
            <v>66795142.11544735</v>
          </cell>
          <cell r="J85">
            <v>73455691.458064228</v>
          </cell>
        </row>
      </sheetData>
      <sheetData sheetId="4">
        <row r="3">
          <cell r="B3">
            <v>289761708</v>
          </cell>
          <cell r="C3">
            <v>315769770</v>
          </cell>
          <cell r="D3">
            <v>338592328</v>
          </cell>
          <cell r="E3">
            <v>347000000</v>
          </cell>
          <cell r="F3">
            <v>359091412.62979996</v>
          </cell>
          <cell r="G3">
            <v>371606024.70164293</v>
          </cell>
          <cell r="H3">
            <v>384558648.1960004</v>
          </cell>
          <cell r="I3">
            <v>397964613.51266038</v>
          </cell>
          <cell r="J3">
            <v>411839787.61540347</v>
          </cell>
        </row>
        <row r="6">
          <cell r="B6">
            <v>562416244</v>
          </cell>
          <cell r="C6">
            <v>595245900</v>
          </cell>
          <cell r="D6">
            <v>603253229</v>
          </cell>
          <cell r="E6">
            <v>631267645.63259149</v>
          </cell>
          <cell r="F6">
            <v>651979449.03690803</v>
          </cell>
          <cell r="G6">
            <v>678131725.17699099</v>
          </cell>
          <cell r="H6">
            <v>705388110.64235103</v>
          </cell>
          <cell r="I6">
            <v>733797183.05204237</v>
          </cell>
          <cell r="J6">
            <v>763409741.30791116</v>
          </cell>
        </row>
        <row r="15">
          <cell r="B15">
            <v>11297548</v>
          </cell>
          <cell r="C15">
            <v>13984048</v>
          </cell>
          <cell r="D15">
            <v>16607678</v>
          </cell>
          <cell r="E15">
            <v>17271985.120000001</v>
          </cell>
          <cell r="F15">
            <v>17962864.524800003</v>
          </cell>
          <cell r="G15">
            <v>18681379.105792005</v>
          </cell>
          <cell r="H15">
            <v>19428634.270023685</v>
          </cell>
          <cell r="I15">
            <v>20205779.640824635</v>
          </cell>
          <cell r="J15">
            <v>21014010.82645762</v>
          </cell>
        </row>
        <row r="17">
          <cell r="B17">
            <v>38001712</v>
          </cell>
          <cell r="C17">
            <v>26711529</v>
          </cell>
          <cell r="D17">
            <v>172754451</v>
          </cell>
          <cell r="E17">
            <v>43300000</v>
          </cell>
          <cell r="F17">
            <v>43300000</v>
          </cell>
          <cell r="G17">
            <v>43300000</v>
          </cell>
          <cell r="H17">
            <v>43300000</v>
          </cell>
          <cell r="I17">
            <v>43300000</v>
          </cell>
          <cell r="J17">
            <v>43300000</v>
          </cell>
        </row>
        <row r="20">
          <cell r="B20">
            <v>27151144</v>
          </cell>
          <cell r="C20">
            <v>31378759</v>
          </cell>
          <cell r="D20">
            <v>24454442</v>
          </cell>
          <cell r="E20">
            <v>32003636.465714276</v>
          </cell>
          <cell r="F20">
            <v>32963745.559685703</v>
          </cell>
          <cell r="G20">
            <v>33952657.926476277</v>
          </cell>
          <cell r="H20">
            <v>34971237.664270572</v>
          </cell>
          <cell r="I20">
            <v>36020374.794198684</v>
          </cell>
          <cell r="J20">
            <v>37100986.038024649</v>
          </cell>
        </row>
        <row r="21">
          <cell r="B21">
            <v>22192940</v>
          </cell>
          <cell r="C21">
            <v>21660582</v>
          </cell>
          <cell r="D21">
            <v>23159674</v>
          </cell>
          <cell r="E21">
            <v>30670025.425714277</v>
          </cell>
          <cell r="F21">
            <v>31590126.188485704</v>
          </cell>
          <cell r="G21">
            <v>32537829.974140279</v>
          </cell>
          <cell r="H21">
            <v>33513964.87336449</v>
          </cell>
          <cell r="I21">
            <v>34519383.819565423</v>
          </cell>
          <cell r="J21">
            <v>35554965.334152386</v>
          </cell>
        </row>
        <row r="23">
          <cell r="B23">
            <v>3830874</v>
          </cell>
          <cell r="C23">
            <v>0</v>
          </cell>
          <cell r="D23">
            <v>5392903</v>
          </cell>
          <cell r="E23">
            <v>5392903</v>
          </cell>
          <cell r="F23">
            <v>5392903</v>
          </cell>
          <cell r="G23">
            <v>5392903</v>
          </cell>
          <cell r="H23">
            <v>5392903</v>
          </cell>
          <cell r="I23">
            <v>5392903</v>
          </cell>
          <cell r="J23">
            <v>5392903</v>
          </cell>
        </row>
        <row r="26">
          <cell r="C26" t="str">
            <v>General State Support Growth</v>
          </cell>
          <cell r="E26">
            <v>0.04</v>
          </cell>
          <cell r="F26">
            <v>0.04</v>
          </cell>
          <cell r="G26">
            <v>0.04</v>
          </cell>
          <cell r="H26">
            <v>0.04</v>
          </cell>
          <cell r="I26">
            <v>0.04</v>
          </cell>
          <cell r="J26">
            <v>0.04</v>
          </cell>
        </row>
        <row r="27">
          <cell r="C27" t="str">
            <v>Tuition Growth</v>
          </cell>
          <cell r="E27">
            <v>0</v>
          </cell>
          <cell r="F27">
            <v>0</v>
          </cell>
          <cell r="G27">
            <v>2.5000000000000001E-2</v>
          </cell>
          <cell r="H27">
            <v>2.5000000000000001E-2</v>
          </cell>
          <cell r="I27">
            <v>2.5000000000000001E-2</v>
          </cell>
          <cell r="J27">
            <v>2.5000000000000001E-2</v>
          </cell>
        </row>
        <row r="28">
          <cell r="E28">
            <v>0.08</v>
          </cell>
          <cell r="F28">
            <v>0.08</v>
          </cell>
          <cell r="G28">
            <v>0.05</v>
          </cell>
          <cell r="H28">
            <v>0.05</v>
          </cell>
          <cell r="I28">
            <v>0.05</v>
          </cell>
          <cell r="J28">
            <v>0.05</v>
          </cell>
        </row>
        <row r="29">
          <cell r="E29">
            <v>0.01</v>
          </cell>
          <cell r="F29">
            <v>0.01</v>
          </cell>
          <cell r="G29">
            <v>0.01</v>
          </cell>
          <cell r="H29">
            <v>0.01</v>
          </cell>
          <cell r="I29">
            <v>0.01</v>
          </cell>
          <cell r="J29">
            <v>0.01</v>
          </cell>
        </row>
        <row r="30">
          <cell r="D30">
            <v>0.246</v>
          </cell>
          <cell r="E30">
            <v>0.25</v>
          </cell>
          <cell r="F30">
            <v>0.25</v>
          </cell>
          <cell r="G30">
            <v>0.25</v>
          </cell>
          <cell r="H30">
            <v>0.25</v>
          </cell>
          <cell r="I30">
            <v>0.25</v>
          </cell>
          <cell r="J30">
            <v>0.25</v>
          </cell>
        </row>
        <row r="31">
          <cell r="E31">
            <v>0.04</v>
          </cell>
          <cell r="F31">
            <v>0.04</v>
          </cell>
          <cell r="G31">
            <v>0.04</v>
          </cell>
          <cell r="H31">
            <v>0.04</v>
          </cell>
          <cell r="I31">
            <v>0.04</v>
          </cell>
          <cell r="J31">
            <v>0.04</v>
          </cell>
        </row>
        <row r="32">
          <cell r="C32" t="str">
            <v>AFC Rate</v>
          </cell>
          <cell r="E32">
            <v>0.09</v>
          </cell>
          <cell r="F32">
            <v>0.09</v>
          </cell>
          <cell r="G32">
            <v>0.09</v>
          </cell>
          <cell r="H32">
            <v>0.09</v>
          </cell>
          <cell r="I32">
            <v>0.09</v>
          </cell>
          <cell r="J32">
            <v>0.09</v>
          </cell>
        </row>
        <row r="33">
          <cell r="C33" t="str">
            <v>Student Serv Fee (Reg Fee)</v>
          </cell>
          <cell r="E33">
            <v>2.5000000000000001E-2</v>
          </cell>
          <cell r="F33">
            <v>2.5000000000000001E-2</v>
          </cell>
          <cell r="G33">
            <v>2.5000000000000001E-2</v>
          </cell>
          <cell r="H33">
            <v>2.5000000000000001E-2</v>
          </cell>
          <cell r="I33">
            <v>2.5000000000000001E-2</v>
          </cell>
          <cell r="J33">
            <v>2.5000000000000001E-2</v>
          </cell>
        </row>
        <row r="34">
          <cell r="C34" t="str">
            <v>Application Fee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>
            <v>0.02</v>
          </cell>
          <cell r="F35">
            <v>0.02</v>
          </cell>
          <cell r="G35">
            <v>0.02</v>
          </cell>
          <cell r="H35">
            <v>0.02</v>
          </cell>
          <cell r="I35">
            <v>0.02</v>
          </cell>
          <cell r="J35">
            <v>0.02</v>
          </cell>
        </row>
        <row r="36">
          <cell r="C36" t="str">
            <v>Self-Supporting Program Taxes</v>
          </cell>
          <cell r="E36">
            <v>0.03</v>
          </cell>
          <cell r="F36">
            <v>0.03</v>
          </cell>
          <cell r="G36">
            <v>0.03</v>
          </cell>
          <cell r="H36">
            <v>0.03</v>
          </cell>
          <cell r="I36">
            <v>0.03</v>
          </cell>
          <cell r="J36">
            <v>0.03</v>
          </cell>
        </row>
        <row r="37">
          <cell r="C37" t="str">
            <v>Other Student Fees</v>
          </cell>
          <cell r="E37">
            <v>0.04</v>
          </cell>
          <cell r="F37">
            <v>0.04</v>
          </cell>
          <cell r="G37">
            <v>0.04</v>
          </cell>
          <cell r="H37">
            <v>0.04</v>
          </cell>
          <cell r="I37">
            <v>0.04</v>
          </cell>
          <cell r="J37">
            <v>0.04</v>
          </cell>
        </row>
        <row r="38">
          <cell r="C38" t="str">
            <v>Other State Appropriations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39">
          <cell r="C39" t="str">
            <v>STIP payout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</row>
        <row r="40">
          <cell r="C40" t="str">
            <v>TRIP payout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</row>
        <row r="41">
          <cell r="C41" t="str">
            <v>Sales and Services</v>
          </cell>
          <cell r="E41">
            <v>0.03</v>
          </cell>
          <cell r="F41">
            <v>0.03</v>
          </cell>
          <cell r="G41">
            <v>0.03</v>
          </cell>
          <cell r="H41">
            <v>0.03</v>
          </cell>
          <cell r="I41">
            <v>0.03</v>
          </cell>
          <cell r="J41">
            <v>0.03</v>
          </cell>
        </row>
        <row r="44">
          <cell r="B44">
            <v>289761708</v>
          </cell>
          <cell r="C44">
            <v>315769770</v>
          </cell>
          <cell r="D44">
            <v>338592328</v>
          </cell>
          <cell r="E44">
            <v>347000000</v>
          </cell>
          <cell r="F44">
            <v>359091412.62979996</v>
          </cell>
          <cell r="G44">
            <v>371606024.70164293</v>
          </cell>
          <cell r="H44">
            <v>384558648.1960004</v>
          </cell>
          <cell r="I44">
            <v>397964613.51266038</v>
          </cell>
          <cell r="J44">
            <v>411839787.61540347</v>
          </cell>
        </row>
        <row r="47">
          <cell r="B47">
            <v>562416244</v>
          </cell>
          <cell r="C47">
            <v>595245900</v>
          </cell>
          <cell r="D47">
            <v>603253229</v>
          </cell>
          <cell r="E47">
            <v>631267645.63259149</v>
          </cell>
          <cell r="F47">
            <v>651979449.03690803</v>
          </cell>
          <cell r="G47">
            <v>678131725.17699099</v>
          </cell>
          <cell r="H47">
            <v>705388110.64235103</v>
          </cell>
          <cell r="I47">
            <v>733797183.05204237</v>
          </cell>
          <cell r="J47">
            <v>763409741.30791116</v>
          </cell>
        </row>
        <row r="56">
          <cell r="B56">
            <v>11297548</v>
          </cell>
          <cell r="C56">
            <v>13984048</v>
          </cell>
          <cell r="D56">
            <v>16607678</v>
          </cell>
          <cell r="E56">
            <v>17271985.120000001</v>
          </cell>
          <cell r="F56">
            <v>17962864.524800003</v>
          </cell>
          <cell r="G56">
            <v>18681379.105792005</v>
          </cell>
          <cell r="H56">
            <v>19428634.270023685</v>
          </cell>
          <cell r="I56">
            <v>20205779.640824635</v>
          </cell>
          <cell r="J56">
            <v>21014010.82645762</v>
          </cell>
        </row>
        <row r="58">
          <cell r="B58">
            <v>38001712</v>
          </cell>
          <cell r="C58">
            <v>26711529</v>
          </cell>
          <cell r="D58">
            <v>172754451</v>
          </cell>
          <cell r="E58">
            <v>43300000</v>
          </cell>
          <cell r="F58">
            <v>43300000</v>
          </cell>
          <cell r="G58">
            <v>43300000</v>
          </cell>
          <cell r="H58">
            <v>43300000</v>
          </cell>
          <cell r="I58">
            <v>43300000</v>
          </cell>
          <cell r="J58">
            <v>43300000</v>
          </cell>
        </row>
        <row r="62">
          <cell r="B62">
            <v>27151144</v>
          </cell>
          <cell r="C62">
            <v>31378759</v>
          </cell>
          <cell r="D62">
            <v>24454442</v>
          </cell>
          <cell r="E62">
            <v>32003636.465714276</v>
          </cell>
          <cell r="F62">
            <v>32963745.559685703</v>
          </cell>
          <cell r="G62">
            <v>33952657.926476277</v>
          </cell>
          <cell r="H62">
            <v>34971237.664270572</v>
          </cell>
          <cell r="I62">
            <v>36020374.794198684</v>
          </cell>
          <cell r="J62">
            <v>37100986.038024649</v>
          </cell>
        </row>
        <row r="63">
          <cell r="B63">
            <v>22192940</v>
          </cell>
          <cell r="C63">
            <v>21660582</v>
          </cell>
          <cell r="D63">
            <v>23159674</v>
          </cell>
          <cell r="E63">
            <v>30670025.425714277</v>
          </cell>
          <cell r="F63">
            <v>31590126.188485704</v>
          </cell>
          <cell r="G63">
            <v>32537829.974140279</v>
          </cell>
          <cell r="H63">
            <v>33513964.87336449</v>
          </cell>
          <cell r="I63">
            <v>34519383.819565423</v>
          </cell>
          <cell r="J63">
            <v>35554965.334152386</v>
          </cell>
        </row>
        <row r="65">
          <cell r="B65">
            <v>3830874</v>
          </cell>
          <cell r="C65">
            <v>0</v>
          </cell>
          <cell r="D65">
            <v>5392903</v>
          </cell>
          <cell r="E65">
            <v>5392903</v>
          </cell>
          <cell r="F65">
            <v>5392903</v>
          </cell>
          <cell r="G65">
            <v>5392903</v>
          </cell>
          <cell r="H65">
            <v>5392903</v>
          </cell>
          <cell r="I65">
            <v>5392903</v>
          </cell>
          <cell r="J65">
            <v>5392903</v>
          </cell>
        </row>
        <row r="68">
          <cell r="E68">
            <v>2.5000000000000001E-2</v>
          </cell>
          <cell r="F68">
            <v>2.5000000000000001E-2</v>
          </cell>
          <cell r="G68">
            <v>2.5000000000000001E-2</v>
          </cell>
          <cell r="H68">
            <v>2.5000000000000001E-2</v>
          </cell>
          <cell r="I68">
            <v>2.5000000000000001E-2</v>
          </cell>
          <cell r="J68">
            <v>2.5000000000000001E-2</v>
          </cell>
        </row>
        <row r="69">
          <cell r="C69" t="str">
            <v>Application Fee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</row>
        <row r="70">
          <cell r="E70">
            <v>0.02</v>
          </cell>
          <cell r="F70">
            <v>0.02</v>
          </cell>
          <cell r="G70">
            <v>0.02</v>
          </cell>
          <cell r="H70">
            <v>0.02</v>
          </cell>
          <cell r="I70">
            <v>0.02</v>
          </cell>
          <cell r="J70">
            <v>0.02</v>
          </cell>
        </row>
        <row r="71">
          <cell r="E71">
            <v>0.03</v>
          </cell>
          <cell r="F71">
            <v>0.03</v>
          </cell>
          <cell r="G71">
            <v>0.03</v>
          </cell>
          <cell r="H71">
            <v>0.03</v>
          </cell>
          <cell r="I71">
            <v>0.03</v>
          </cell>
          <cell r="J71">
            <v>0.03</v>
          </cell>
        </row>
        <row r="72">
          <cell r="C72" t="str">
            <v>Other Student Fees</v>
          </cell>
          <cell r="E72">
            <v>0.04</v>
          </cell>
          <cell r="F72">
            <v>0.04</v>
          </cell>
          <cell r="G72">
            <v>0.04</v>
          </cell>
          <cell r="H72">
            <v>0.04</v>
          </cell>
          <cell r="I72">
            <v>0.04</v>
          </cell>
          <cell r="J72">
            <v>0.04</v>
          </cell>
        </row>
        <row r="74">
          <cell r="C74" t="str">
            <v>STIP payout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</row>
        <row r="75">
          <cell r="C75" t="str">
            <v>TRIP payout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C76" t="str">
            <v>Sales and Services</v>
          </cell>
          <cell r="E76">
            <v>0.03</v>
          </cell>
          <cell r="F76">
            <v>0.03</v>
          </cell>
          <cell r="G76">
            <v>0.03</v>
          </cell>
          <cell r="H76">
            <v>0.03</v>
          </cell>
          <cell r="I76">
            <v>0.03</v>
          </cell>
          <cell r="J76">
            <v>0.03</v>
          </cell>
        </row>
        <row r="79">
          <cell r="E79">
            <v>0.875</v>
          </cell>
          <cell r="F79">
            <v>0.875</v>
          </cell>
          <cell r="G79">
            <v>0.875</v>
          </cell>
          <cell r="H79">
            <v>0.875</v>
          </cell>
          <cell r="I79">
            <v>0.875</v>
          </cell>
          <cell r="J79">
            <v>0.875</v>
          </cell>
        </row>
      </sheetData>
      <sheetData sheetId="5">
        <row r="2">
          <cell r="B2">
            <v>-859182891</v>
          </cell>
          <cell r="C2">
            <v>-889160479</v>
          </cell>
          <cell r="D2">
            <v>-943400686</v>
          </cell>
          <cell r="E2">
            <v>-978180000</v>
          </cell>
          <cell r="F2">
            <v>-972766440.58441436</v>
          </cell>
          <cell r="G2">
            <v>-1001756239.3186487</v>
          </cell>
          <cell r="H2">
            <v>-1035235740.1027158</v>
          </cell>
          <cell r="I2">
            <v>-1058803858.0180861</v>
          </cell>
          <cell r="J2">
            <v>-1082943829.7101183</v>
          </cell>
        </row>
        <row r="21">
          <cell r="B21">
            <v>-859182891</v>
          </cell>
          <cell r="C21">
            <v>-889160479</v>
          </cell>
          <cell r="D21">
            <v>-943400686</v>
          </cell>
          <cell r="E21">
            <v>-978180000</v>
          </cell>
          <cell r="F21">
            <v>-972766440.58441436</v>
          </cell>
          <cell r="G21">
            <v>-1001756239.3186487</v>
          </cell>
          <cell r="H21">
            <v>-1035235740.1027158</v>
          </cell>
          <cell r="I21">
            <v>-1058803858.0180861</v>
          </cell>
          <cell r="J21">
            <v>-1082943829.7101183</v>
          </cell>
        </row>
      </sheetData>
      <sheetData sheetId="6">
        <row r="4">
          <cell r="B4">
            <v>-4971040</v>
          </cell>
          <cell r="C4">
            <v>-43689210</v>
          </cell>
          <cell r="D4">
            <v>-38908686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8">
          <cell r="C8">
            <v>2.6103403285305044E-2</v>
          </cell>
          <cell r="D8">
            <v>1.8249889992452882E-2</v>
          </cell>
          <cell r="E8">
            <v>0.03</v>
          </cell>
          <cell r="F8">
            <v>0.03</v>
          </cell>
          <cell r="G8">
            <v>0.03</v>
          </cell>
          <cell r="H8">
            <v>0.03</v>
          </cell>
          <cell r="I8">
            <v>0.03</v>
          </cell>
          <cell r="J8">
            <v>0.03</v>
          </cell>
          <cell r="K8">
            <v>0.8031936756475927</v>
          </cell>
        </row>
        <row r="9">
          <cell r="B9">
            <v>-4824395</v>
          </cell>
          <cell r="C9">
            <v>-4867816</v>
          </cell>
          <cell r="D9">
            <v>-3600083</v>
          </cell>
          <cell r="E9">
            <v>-4979986.4311693273</v>
          </cell>
          <cell r="F9">
            <v>-5099983.2393591078</v>
          </cell>
          <cell r="G9">
            <v>-5222871.4678719668</v>
          </cell>
          <cell r="H9">
            <v>-5348720.7878234172</v>
          </cell>
          <cell r="I9">
            <v>-5477602.5491109546</v>
          </cell>
          <cell r="J9">
            <v>-5609589.8208656656</v>
          </cell>
        </row>
        <row r="11">
          <cell r="B11">
            <v>-3171040</v>
          </cell>
          <cell r="C11">
            <v>-5916151</v>
          </cell>
          <cell r="D11">
            <v>-5808277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6">
          <cell r="D16">
            <v>6.9168971546735951E-3</v>
          </cell>
          <cell r="E16">
            <v>0.03</v>
          </cell>
          <cell r="F16">
            <v>0.03</v>
          </cell>
          <cell r="G16">
            <v>0.03</v>
          </cell>
          <cell r="H16">
            <v>0.03</v>
          </cell>
          <cell r="I16">
            <v>0.03</v>
          </cell>
          <cell r="J16">
            <v>0.03</v>
          </cell>
          <cell r="K16">
            <v>0.34451457776082972</v>
          </cell>
        </row>
        <row r="17">
          <cell r="B17">
            <v>-575933</v>
          </cell>
          <cell r="C17">
            <v>-1581214</v>
          </cell>
          <cell r="D17">
            <v>-643590</v>
          </cell>
          <cell r="E17">
            <v>0</v>
          </cell>
          <cell r="F17">
            <v>-1049245.6623216437</v>
          </cell>
          <cell r="G17">
            <v>-1060090.0751113072</v>
          </cell>
          <cell r="H17">
            <v>-1071046.5696497697</v>
          </cell>
          <cell r="I17">
            <v>-1082116.3043509221</v>
          </cell>
          <cell r="J17">
            <v>-1093300.4496013692</v>
          </cell>
        </row>
        <row r="18">
          <cell r="B18">
            <v>-575933</v>
          </cell>
          <cell r="C18">
            <v>-1581214</v>
          </cell>
          <cell r="D18">
            <v>-643590</v>
          </cell>
          <cell r="E18">
            <v>-1038512.1847171248</v>
          </cell>
          <cell r="F18">
            <v>-1049245.6623216437</v>
          </cell>
          <cell r="G18">
            <v>-1060090.0751113072</v>
          </cell>
          <cell r="H18">
            <v>-1071046.5696497697</v>
          </cell>
          <cell r="I18">
            <v>-1082116.3043509221</v>
          </cell>
          <cell r="J18">
            <v>-1093300.4496013692</v>
          </cell>
        </row>
        <row r="19">
          <cell r="B19">
            <v>-1800000</v>
          </cell>
          <cell r="C19">
            <v>-2257366</v>
          </cell>
          <cell r="D19">
            <v>-6791074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4">
          <cell r="D24">
            <v>2.6014032785922125E-2</v>
          </cell>
          <cell r="E24">
            <v>0.03</v>
          </cell>
          <cell r="F24">
            <v>0.03</v>
          </cell>
          <cell r="G24">
            <v>0.03</v>
          </cell>
          <cell r="H24">
            <v>0.03</v>
          </cell>
          <cell r="I24">
            <v>0.03</v>
          </cell>
          <cell r="J24">
            <v>0.03</v>
          </cell>
          <cell r="K24">
            <v>0.65430910384999164</v>
          </cell>
        </row>
        <row r="25">
          <cell r="B25">
            <v>-4442311</v>
          </cell>
          <cell r="C25">
            <v>-2826600</v>
          </cell>
          <cell r="D25">
            <v>-6989000</v>
          </cell>
          <cell r="E25">
            <v>0</v>
          </cell>
          <cell r="F25">
            <v>-6043623.5181921655</v>
          </cell>
          <cell r="G25">
            <v>-6162255.4548380179</v>
          </cell>
          <cell r="H25">
            <v>-6283216.0501685124</v>
          </cell>
          <cell r="I25">
            <v>-6406551.0140609611</v>
          </cell>
          <cell r="J25">
            <v>-6532306.9536443455</v>
          </cell>
        </row>
        <row r="26">
          <cell r="B26">
            <v>-4442311</v>
          </cell>
          <cell r="C26">
            <v>-2826600</v>
          </cell>
          <cell r="D26">
            <v>-6989000</v>
          </cell>
          <cell r="E26">
            <v>-5927275.4103319738</v>
          </cell>
          <cell r="F26">
            <v>-6043623.5181921655</v>
          </cell>
          <cell r="G26">
            <v>-6162255.4548380179</v>
          </cell>
          <cell r="H26">
            <v>-6283216.0501685124</v>
          </cell>
          <cell r="I26">
            <v>-6406551.0140609611</v>
          </cell>
          <cell r="J26">
            <v>-6532306.9536443455</v>
          </cell>
        </row>
        <row r="27">
          <cell r="C27">
            <v>-35515693</v>
          </cell>
          <cell r="D27">
            <v>-26309335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33">
          <cell r="B33">
            <v>-4971040</v>
          </cell>
          <cell r="C33">
            <v>-43689210</v>
          </cell>
          <cell r="D33">
            <v>-38908686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6">
          <cell r="B36">
            <v>-4824395</v>
          </cell>
          <cell r="C36">
            <v>-4867816</v>
          </cell>
          <cell r="D36">
            <v>-3600083</v>
          </cell>
          <cell r="E36">
            <v>-4979986.4311693273</v>
          </cell>
          <cell r="F36">
            <v>-5099983.2393591078</v>
          </cell>
          <cell r="G36">
            <v>-5222871.4678719668</v>
          </cell>
          <cell r="H36">
            <v>-5348720.7878234172</v>
          </cell>
          <cell r="I36">
            <v>-5477602.5491109546</v>
          </cell>
          <cell r="J36">
            <v>-5609589.8208656656</v>
          </cell>
        </row>
        <row r="37">
          <cell r="B37">
            <v>-4824395</v>
          </cell>
          <cell r="C37">
            <v>-4867816</v>
          </cell>
          <cell r="D37">
            <v>-3600083</v>
          </cell>
          <cell r="E37">
            <v>-4979986.4311693273</v>
          </cell>
          <cell r="F37">
            <v>-5099983.2393591078</v>
          </cell>
          <cell r="G37">
            <v>-5222871.4678719668</v>
          </cell>
          <cell r="H37">
            <v>-5348720.7878234172</v>
          </cell>
          <cell r="I37">
            <v>-5477602.5491109546</v>
          </cell>
          <cell r="J37">
            <v>-5609589.8208656656</v>
          </cell>
        </row>
        <row r="38">
          <cell r="B38">
            <v>-3171040</v>
          </cell>
          <cell r="C38">
            <v>-5916151</v>
          </cell>
          <cell r="D38">
            <v>-5808277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43">
          <cell r="B43">
            <v>-575933</v>
          </cell>
          <cell r="C43">
            <v>-1581214</v>
          </cell>
          <cell r="D43">
            <v>-643590</v>
          </cell>
          <cell r="E43">
            <v>0</v>
          </cell>
          <cell r="F43">
            <v>-1049245.6623216437</v>
          </cell>
          <cell r="G43">
            <v>-1060090.0751113072</v>
          </cell>
          <cell r="H43">
            <v>-1071046.5696497697</v>
          </cell>
          <cell r="I43">
            <v>-1082116.3043509221</v>
          </cell>
          <cell r="J43">
            <v>-1093300.4496013692</v>
          </cell>
        </row>
        <row r="44">
          <cell r="B44">
            <v>-575933</v>
          </cell>
          <cell r="C44">
            <v>-1581214</v>
          </cell>
          <cell r="D44">
            <v>-643590</v>
          </cell>
          <cell r="E44">
            <v>-1038512.1847171248</v>
          </cell>
          <cell r="F44">
            <v>-1049245.6623216437</v>
          </cell>
          <cell r="G44">
            <v>-1060090.0751113072</v>
          </cell>
          <cell r="H44">
            <v>-1071046.5696497697</v>
          </cell>
          <cell r="I44">
            <v>-1082116.3043509221</v>
          </cell>
          <cell r="J44">
            <v>-1093300.4496013692</v>
          </cell>
        </row>
        <row r="45">
          <cell r="B45">
            <v>-1800000</v>
          </cell>
          <cell r="C45">
            <v>-2257366</v>
          </cell>
          <cell r="D45">
            <v>-6791074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50">
          <cell r="B50">
            <v>-4442311</v>
          </cell>
          <cell r="C50">
            <v>-2826600</v>
          </cell>
          <cell r="D50">
            <v>-6989000</v>
          </cell>
          <cell r="E50">
            <v>0</v>
          </cell>
          <cell r="F50">
            <v>-6043623.5181921655</v>
          </cell>
          <cell r="G50">
            <v>-6162255.4548380179</v>
          </cell>
          <cell r="H50">
            <v>-6283216.0501685124</v>
          </cell>
          <cell r="I50">
            <v>-6406551.0140609611</v>
          </cell>
          <cell r="J50">
            <v>-6532306.9536443455</v>
          </cell>
        </row>
        <row r="51">
          <cell r="B51">
            <v>-4442311</v>
          </cell>
          <cell r="C51">
            <v>-2826600</v>
          </cell>
          <cell r="D51">
            <v>-6989000</v>
          </cell>
          <cell r="E51">
            <v>-5927275.4103319738</v>
          </cell>
          <cell r="F51">
            <v>-6043623.5181921655</v>
          </cell>
          <cell r="G51">
            <v>-6162255.4548380179</v>
          </cell>
          <cell r="H51">
            <v>-6283216.0501685124</v>
          </cell>
          <cell r="I51">
            <v>-6406551.0140609611</v>
          </cell>
          <cell r="J51">
            <v>-6532306.9536443455</v>
          </cell>
        </row>
        <row r="52">
          <cell r="B52">
            <v>0</v>
          </cell>
          <cell r="C52">
            <v>-35515693</v>
          </cell>
          <cell r="D52">
            <v>-26309335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7">
          <cell r="B57">
            <v>-12916583</v>
          </cell>
          <cell r="C57">
            <v>-34073645</v>
          </cell>
          <cell r="D57">
            <v>-4044113</v>
          </cell>
          <cell r="E57">
            <v>-5779727.0856950777</v>
          </cell>
          <cell r="F57">
            <v>-14942163.84489847</v>
          </cell>
          <cell r="G57">
            <v>-15490699.339775419</v>
          </cell>
          <cell r="H57">
            <v>-5127524.6056316057</v>
          </cell>
          <cell r="I57">
            <v>-5235275.5758390166</v>
          </cell>
          <cell r="J57">
            <v>-5345340.1275095036</v>
          </cell>
        </row>
        <row r="62">
          <cell r="K62">
            <v>0.95145631067961167</v>
          </cell>
        </row>
        <row r="68">
          <cell r="K68">
            <v>0.5</v>
          </cell>
        </row>
        <row r="74">
          <cell r="K74">
            <v>0.95217391304347831</v>
          </cell>
        </row>
        <row r="79">
          <cell r="B79">
            <v>0.24399999999999999</v>
          </cell>
          <cell r="C79">
            <v>0.33900000000000002</v>
          </cell>
          <cell r="D79">
            <v>0.34</v>
          </cell>
          <cell r="E79">
            <v>0.36</v>
          </cell>
          <cell r="F79">
            <v>0.38</v>
          </cell>
          <cell r="G79">
            <v>0.4</v>
          </cell>
          <cell r="H79">
            <v>0.4</v>
          </cell>
          <cell r="I79">
            <v>0.4</v>
          </cell>
          <cell r="J79">
            <v>0.4</v>
          </cell>
        </row>
        <row r="80">
          <cell r="B80">
            <v>0.38</v>
          </cell>
          <cell r="C80">
            <v>0.41499999999999998</v>
          </cell>
          <cell r="D80">
            <v>0.42099999999999999</v>
          </cell>
          <cell r="E80">
            <v>0.441</v>
          </cell>
          <cell r="F80">
            <v>0.46100000000000002</v>
          </cell>
          <cell r="G80">
            <v>0.48099999999999998</v>
          </cell>
          <cell r="H80">
            <v>0.48099999999999998</v>
          </cell>
          <cell r="I80">
            <v>0.48099999999999998</v>
          </cell>
          <cell r="J80">
            <v>0.48099999999999998</v>
          </cell>
        </row>
        <row r="84">
          <cell r="B84">
            <v>-12916583</v>
          </cell>
          <cell r="C84">
            <v>-34073645</v>
          </cell>
          <cell r="D84">
            <v>-4044113</v>
          </cell>
          <cell r="E84">
            <v>-5779727.0856950777</v>
          </cell>
          <cell r="F84">
            <v>-14942163.84489847</v>
          </cell>
          <cell r="G84">
            <v>-15490699.339775419</v>
          </cell>
          <cell r="H84">
            <v>-5127524.6056316057</v>
          </cell>
          <cell r="I84">
            <v>-5235275.5758390166</v>
          </cell>
          <cell r="J84">
            <v>-5345340.1275095036</v>
          </cell>
        </row>
        <row r="85">
          <cell r="B85">
            <v>0</v>
          </cell>
          <cell r="C85">
            <v>-9710692</v>
          </cell>
          <cell r="D85">
            <v>-13349730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106">
          <cell r="B106">
            <v>0.24399999999999999</v>
          </cell>
          <cell r="C106">
            <v>0.33900000000000002</v>
          </cell>
          <cell r="D106">
            <v>0.34</v>
          </cell>
          <cell r="E106">
            <v>0.36</v>
          </cell>
          <cell r="F106">
            <v>0.38</v>
          </cell>
          <cell r="G106">
            <v>0.4</v>
          </cell>
          <cell r="H106">
            <v>0.4</v>
          </cell>
          <cell r="I106">
            <v>0.4</v>
          </cell>
          <cell r="J106">
            <v>0.4</v>
          </cell>
        </row>
        <row r="107">
          <cell r="B107">
            <v>0.38</v>
          </cell>
          <cell r="C107">
            <v>0.41499999999999998</v>
          </cell>
          <cell r="D107">
            <v>0.42099999999999999</v>
          </cell>
          <cell r="E107">
            <v>0.441</v>
          </cell>
          <cell r="F107">
            <v>0.46100000000000002</v>
          </cell>
          <cell r="G107">
            <v>0.48099999999999998</v>
          </cell>
          <cell r="H107">
            <v>0.48099999999999998</v>
          </cell>
          <cell r="I107">
            <v>0.48099999999999998</v>
          </cell>
          <cell r="J107">
            <v>0.48099999999999998</v>
          </cell>
        </row>
      </sheetData>
      <sheetData sheetId="7">
        <row r="12">
          <cell r="E12">
            <v>-5387000</v>
          </cell>
          <cell r="F12">
            <v>-9127000</v>
          </cell>
          <cell r="G12">
            <v>-15488000</v>
          </cell>
          <cell r="H12">
            <v>-11212000</v>
          </cell>
          <cell r="I12">
            <v>-8537000</v>
          </cell>
          <cell r="J12">
            <v>-8537000</v>
          </cell>
        </row>
        <row r="18">
          <cell r="D18">
            <v>0</v>
          </cell>
          <cell r="F18">
            <v>-21711190</v>
          </cell>
          <cell r="G18">
            <v>-9825628</v>
          </cell>
          <cell r="H18">
            <v>0</v>
          </cell>
          <cell r="I18">
            <v>0</v>
          </cell>
          <cell r="J18">
            <v>0</v>
          </cell>
        </row>
        <row r="19">
          <cell r="D19">
            <v>0</v>
          </cell>
          <cell r="E19">
            <v>-5000000</v>
          </cell>
          <cell r="F19">
            <v>-10000000</v>
          </cell>
          <cell r="G19">
            <v>-10000000</v>
          </cell>
          <cell r="H19">
            <v>-10000000</v>
          </cell>
          <cell r="I19">
            <v>-10000000</v>
          </cell>
          <cell r="J19">
            <v>-10000000</v>
          </cell>
        </row>
        <row r="20">
          <cell r="D20">
            <v>0</v>
          </cell>
          <cell r="E20">
            <v>-5000000</v>
          </cell>
          <cell r="F20">
            <v>-10000000</v>
          </cell>
          <cell r="G20">
            <v>-10000000</v>
          </cell>
          <cell r="H20">
            <v>-10000000</v>
          </cell>
          <cell r="I20">
            <v>-10000000</v>
          </cell>
          <cell r="J20">
            <v>-10000000</v>
          </cell>
        </row>
        <row r="21">
          <cell r="D21">
            <v>0</v>
          </cell>
          <cell r="E21">
            <v>-5000000</v>
          </cell>
          <cell r="F21">
            <v>-4000000</v>
          </cell>
          <cell r="G21">
            <v>-3000000</v>
          </cell>
          <cell r="H21">
            <v>-2000000</v>
          </cell>
          <cell r="I21">
            <v>-1000000</v>
          </cell>
          <cell r="J21">
            <v>-1000000</v>
          </cell>
        </row>
        <row r="22">
          <cell r="D22">
            <v>0</v>
          </cell>
          <cell r="E22">
            <v>-5000000</v>
          </cell>
          <cell r="F22">
            <v>-3000000</v>
          </cell>
          <cell r="G22">
            <v>-3000000</v>
          </cell>
          <cell r="H22">
            <v>-3000000</v>
          </cell>
          <cell r="I22">
            <v>-3000000</v>
          </cell>
          <cell r="J22">
            <v>-3000000</v>
          </cell>
        </row>
        <row r="23">
          <cell r="D23">
            <v>0</v>
          </cell>
          <cell r="E23">
            <v>-7500000</v>
          </cell>
          <cell r="F23">
            <v>-7500000</v>
          </cell>
          <cell r="G23">
            <v>-7500000</v>
          </cell>
          <cell r="H23">
            <v>-7500000</v>
          </cell>
          <cell r="I23">
            <v>-7500000</v>
          </cell>
          <cell r="J23">
            <v>-7500000</v>
          </cell>
        </row>
        <row r="24">
          <cell r="D24">
            <v>0</v>
          </cell>
          <cell r="E24">
            <v>-15000000</v>
          </cell>
          <cell r="F24">
            <v>-15000000</v>
          </cell>
          <cell r="G24">
            <v>-15000000</v>
          </cell>
          <cell r="H24">
            <v>-15000000</v>
          </cell>
          <cell r="I24">
            <v>-15000000</v>
          </cell>
          <cell r="J24">
            <v>-15000000</v>
          </cell>
        </row>
        <row r="25">
          <cell r="D25">
            <v>0</v>
          </cell>
          <cell r="E25">
            <v>-32579021</v>
          </cell>
          <cell r="F25">
            <v>-6300000</v>
          </cell>
          <cell r="G25">
            <v>-4000000</v>
          </cell>
          <cell r="H25">
            <v>-2000000</v>
          </cell>
          <cell r="I25">
            <v>0</v>
          </cell>
          <cell r="J25">
            <v>0</v>
          </cell>
        </row>
        <row r="26">
          <cell r="D26">
            <v>0</v>
          </cell>
          <cell r="E26">
            <v>-34571056</v>
          </cell>
          <cell r="F26">
            <v>-9000000</v>
          </cell>
          <cell r="G26">
            <v>-4000000</v>
          </cell>
          <cell r="H26">
            <v>-4000000</v>
          </cell>
          <cell r="I26">
            <v>-4000000</v>
          </cell>
          <cell r="J26">
            <v>-4000000</v>
          </cell>
        </row>
      </sheetData>
      <sheetData sheetId="8"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and Reduce Commitments"/>
      <sheetName val="2BE53326BBFE4731B1F67AD4B89E947"/>
      <sheetName val="Simplistic Modeling"/>
      <sheetName val="Central Model - Commitments Tab"/>
      <sheetName val="00751749510144FD810755086EC1654"/>
    </sheetNames>
    <sheetDataSet>
      <sheetData sheetId="0" refreshError="1"/>
      <sheetData sheetId="1" refreshError="1"/>
      <sheetData sheetId="2"/>
      <sheetData sheetId="3"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-5000000</v>
          </cell>
          <cell r="F55">
            <v>-4000000</v>
          </cell>
          <cell r="G55">
            <v>-3000000</v>
          </cell>
          <cell r="H55">
            <v>-2000000</v>
          </cell>
          <cell r="I55">
            <v>-1000000</v>
          </cell>
          <cell r="J55">
            <v>-1000000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-21711190</v>
          </cell>
          <cell r="G56">
            <v>-9825628</v>
          </cell>
          <cell r="H56">
            <v>0</v>
          </cell>
          <cell r="I56">
            <v>0</v>
          </cell>
          <cell r="J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-5000000</v>
          </cell>
          <cell r="F57">
            <v>-3000000</v>
          </cell>
          <cell r="G57">
            <v>-3000000</v>
          </cell>
          <cell r="H57">
            <v>-3000000</v>
          </cell>
          <cell r="I57">
            <v>-3000000</v>
          </cell>
          <cell r="J57">
            <v>-3000000</v>
          </cell>
        </row>
        <row r="156">
          <cell r="B156">
            <v>0.02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ing Summary"/>
      <sheetName val="New Initiatives "/>
      <sheetName val="New Initiatives - Finance+"/>
      <sheetName val="New Initiatives - Strategy+"/>
      <sheetName val="Scales"/>
      <sheetName val="Ideas, not promoted"/>
      <sheetName val="OLD Scoring Rubric"/>
      <sheetName val="Technical Back-End"/>
    </sheetNames>
    <sheetDataSet>
      <sheetData sheetId="0"/>
      <sheetData sheetId="1"/>
      <sheetData sheetId="2">
        <row r="3">
          <cell r="AL3" t="str">
            <v>IdeaName</v>
          </cell>
          <cell r="AM3" t="str">
            <v>Ranking</v>
          </cell>
        </row>
        <row r="4">
          <cell r="AL4" t="str">
            <v>Increase non-resident tuition levels to market rates (i.e. UM)</v>
          </cell>
          <cell r="AM4" t="e">
            <v>#VALUE!</v>
          </cell>
        </row>
        <row r="5">
          <cell r="AL5" t="str">
            <v>Differential tuition by campus, or by major within the campus</v>
          </cell>
          <cell r="AM5" t="e">
            <v>#VALUE!</v>
          </cell>
        </row>
        <row r="6">
          <cell r="AL6" t="str">
            <v>Reduce costs and growth trajectory for SHIP; explore vouchers / out-sourcing to state exchanges</v>
          </cell>
          <cell r="AM6" t="e">
            <v>#VALUE!</v>
          </cell>
        </row>
        <row r="7">
          <cell r="AL7" t="str">
            <v>Redirect capacity from loss-making students (UG or G)  towards revenue generating students (UG or G)</v>
          </cell>
          <cell r="AM7" t="e">
            <v>#VALUE!</v>
          </cell>
        </row>
        <row r="8">
          <cell r="AL8" t="str">
            <v>Increase the total number of UG students, maximizing net revenue vs. quality (NRST, efficiency, selective maj.)</v>
          </cell>
          <cell r="AM8" t="e">
            <v>#VALUE!</v>
          </cell>
        </row>
        <row r="9">
          <cell r="AL9" t="str">
            <v>Position Control for staff positions.  Growth only per approved plans.</v>
          </cell>
          <cell r="AM9" t="e">
            <v>#VALUE!</v>
          </cell>
        </row>
        <row r="10">
          <cell r="AL10" t="str">
            <v>Offer 403(b) plan for contract employees, no pensions</v>
          </cell>
          <cell r="AM10" t="e">
            <v>#VALUE!</v>
          </cell>
        </row>
        <row r="11">
          <cell r="AL11" t="str">
            <v>Layoff program to reduce staff headcount</v>
          </cell>
          <cell r="AM11" t="e">
            <v>#VALUE!</v>
          </cell>
        </row>
        <row r="12">
          <cell r="AL12" t="str">
            <v>Controls on salary adjustments / equity increases</v>
          </cell>
          <cell r="AM12" t="e">
            <v>#VALUE!</v>
          </cell>
        </row>
        <row r="13">
          <cell r="AL13" t="str">
            <v>Monetization of real estate assets - Parking, building sales, etc.</v>
          </cell>
          <cell r="AM13" t="e">
            <v>#VALUE!</v>
          </cell>
        </row>
        <row r="14">
          <cell r="AL14" t="str">
            <v>Increase housing / parking rates, tax and/or swap out for unrestricted funds</v>
          </cell>
          <cell r="AM14" t="e">
            <v>#VALUE!</v>
          </cell>
        </row>
        <row r="15">
          <cell r="AL15" t="str">
            <v>Consolidate IT Units (IST, SAIT, ETS, etc.)</v>
          </cell>
          <cell r="AM15" t="e">
            <v>#VALUE!</v>
          </cell>
        </row>
        <row r="16">
          <cell r="AL16" t="str">
            <v>Benchmark operations &amp; analyze opportunities for admin efficiency, do layoffs to align staffing</v>
          </cell>
          <cell r="AM16" t="e">
            <v>#VALUE!</v>
          </cell>
        </row>
        <row r="17">
          <cell r="AL17" t="str">
            <v>IT systems reductions -- eliminate lower value / high cost IT support</v>
          </cell>
          <cell r="AM17" t="e">
            <v>#VALUE!</v>
          </cell>
        </row>
        <row r="18">
          <cell r="AL18" t="str">
            <v>Increase IP revenue,  industry partnership, venture capital, and incubator programs (NEW, VCR)</v>
          </cell>
          <cell r="AM18" t="e">
            <v>#VALUE!</v>
          </cell>
        </row>
        <row r="19">
          <cell r="AL19" t="str">
            <v>Invest in pre-award assistance to make it easier for faculty to get grants</v>
          </cell>
          <cell r="AM19" t="e">
            <v>#VALUE!</v>
          </cell>
        </row>
        <row r="20">
          <cell r="AL20" t="str">
            <v>Establish or further develop promising, multi-disciplinary research initiatives (i.e. BRAIN, Data Science, etc.)</v>
          </cell>
          <cell r="AM20" t="e">
            <v>#VALUE!</v>
          </cell>
        </row>
        <row r="21">
          <cell r="AL21" t="str">
            <v>Optimize financial support for Graduate Students (GRAD)</v>
          </cell>
          <cell r="AM21" t="e">
            <v>#VALUE!</v>
          </cell>
        </row>
        <row r="22">
          <cell r="AL22" t="str">
            <v>Move most or all ORU's to self-sustaining funding models over 3 years</v>
          </cell>
          <cell r="AM22" t="e">
            <v>#VALUE!</v>
          </cell>
        </row>
        <row r="23">
          <cell r="AL23" t="str">
            <v>Eliminate 6% overhead distribution mechanism</v>
          </cell>
          <cell r="AM23" t="e">
            <v>#VALUE!</v>
          </cell>
        </row>
        <row r="24">
          <cell r="AL24" t="str">
            <v>Require deans / chairs to fund exceptions to ICR rates</v>
          </cell>
          <cell r="AM24" t="e">
            <v>#VALUE!</v>
          </cell>
        </row>
        <row r="25">
          <cell r="AL25" t="str">
            <v>Increase effective ICR rate through improved enforcement</v>
          </cell>
          <cell r="AM25" t="e">
            <v>#VALUE!</v>
          </cell>
        </row>
        <row r="26">
          <cell r="AL26" t="str">
            <v>Reduce and consolidate services in VCSA and E&amp;I portfolios</v>
          </cell>
          <cell r="AM26" t="e">
            <v>#VALUE!</v>
          </cell>
        </row>
        <row r="27">
          <cell r="AL27" t="str">
            <v>Undergraduate Initiative -- Curriculum reform efforts</v>
          </cell>
          <cell r="AM27" t="e">
            <v>#VALUE!</v>
          </cell>
        </row>
        <row r="28">
          <cell r="AL28" t="str">
            <v>Develop a new undergraduate Collegiate structure as part of the UGI (EVCP, VCUE)</v>
          </cell>
          <cell r="AM28" t="e">
            <v>#VALUE!</v>
          </cell>
        </row>
        <row r="29">
          <cell r="AL29" t="str">
            <v>Plan and implement residential life innovations as part of the UGI (VCSA, VCUE)</v>
          </cell>
          <cell r="AM29" t="e">
            <v>#VALUE!</v>
          </cell>
        </row>
        <row r="30">
          <cell r="AL30" t="str">
            <v>Launch Campus Arts Initiative</v>
          </cell>
          <cell r="AM30" t="e">
            <v>#VALUE!</v>
          </cell>
        </row>
        <row r="31">
          <cell r="AL31" t="str">
            <v>Gift fund review for terms, changes and proper usage of balances</v>
          </cell>
          <cell r="AM31" t="e">
            <v>#VALUE!</v>
          </cell>
        </row>
        <row r="32">
          <cell r="AL32" t="str">
            <v>Targeted Fundraising - raise $ for core needs &amp; swap out unrestricted funding</v>
          </cell>
          <cell r="AM32" t="e">
            <v>#VALUE!</v>
          </cell>
        </row>
        <row r="33">
          <cell r="AL33" t="str">
            <v>Increase campus gift fee from 2.5%</v>
          </cell>
          <cell r="AM33" t="e">
            <v>#VALUE!</v>
          </cell>
        </row>
        <row r="34">
          <cell r="AL34" t="str">
            <v>Invest in annual fundraising to grow unrestricted gifts</v>
          </cell>
          <cell r="AM34" t="e">
            <v>#VALUE!</v>
          </cell>
        </row>
        <row r="35">
          <cell r="AL35" t="str">
            <v>Academic Restructuring</v>
          </cell>
          <cell r="AM35" t="e">
            <v>#VALUE!</v>
          </cell>
        </row>
        <row r="36">
          <cell r="AL36" t="str">
            <v>Stabilize CSS operations and align service model with Campus strategies (VCAF)</v>
          </cell>
          <cell r="AM36" t="e">
            <v>#VALUE!</v>
          </cell>
        </row>
        <row r="37">
          <cell r="AL37" t="str">
            <v>ORUs and NICs: review and realignment (EVCP, VCR, VPF, VPSAFP)</v>
          </cell>
          <cell r="AM37" t="e">
            <v>#VALUE!</v>
          </cell>
        </row>
        <row r="38">
          <cell r="AL38" t="str">
            <v>Infrastructure for academic administration / CAO &amp; MSO Project (VPF, VPSAFP)</v>
          </cell>
          <cell r="AM38" t="e">
            <v>#VALUE!</v>
          </cell>
        </row>
        <row r="39">
          <cell r="AL39" t="str">
            <v>Expand extension, including possible degree granting programs, and/or improve profit margin</v>
          </cell>
          <cell r="AM39" t="e">
            <v>#VALUE!</v>
          </cell>
        </row>
        <row r="40">
          <cell r="AL40" t="str">
            <v>Expand SSDP's into online space, duplicating or expanding MIDS and OOMPH-type degrees</v>
          </cell>
          <cell r="AM40" t="e">
            <v>#VALUE!</v>
          </cell>
        </row>
        <row r="41">
          <cell r="AL41" t="str">
            <v>Expand or Launch new professional / self-supporting degree programs</v>
          </cell>
          <cell r="AM41" t="e">
            <v>#VALUE!</v>
          </cell>
        </row>
        <row r="42">
          <cell r="AL42" t="str">
            <v>Expand executive education / continuing education efforts</v>
          </cell>
          <cell r="AM42" t="e">
            <v>#VALUE!</v>
          </cell>
        </row>
        <row r="43">
          <cell r="AL43" t="str">
            <v>Respond to the Campus Climate survey recommendations (e.g., curricula, innovation grants) (E&amp;I)</v>
          </cell>
          <cell r="AM43" t="e">
            <v>#VALUE!</v>
          </cell>
        </row>
        <row r="44">
          <cell r="AL44" t="str">
            <v>Advance Sexual Assault Advocacy and Prevention Education (Legal, VCSA)</v>
          </cell>
          <cell r="AM44" t="e">
            <v>#VALUE!</v>
          </cell>
        </row>
        <row r="45">
          <cell r="AL45" t="str">
            <v xml:space="preserve">Launch a new initiative in support of African American students, faculty and staff (E&amp;I),  </v>
          </cell>
          <cell r="AM45" t="e">
            <v>#VALUE!</v>
          </cell>
        </row>
        <row r="46">
          <cell r="AL46" t="str">
            <v>Launch the Financial Reform Initiative to improve incentives and simplify management (EVCP, VCAF)</v>
          </cell>
          <cell r="AM46" t="e">
            <v>#VALUE!</v>
          </cell>
        </row>
        <row r="47">
          <cell r="AL47" t="str">
            <v>Design and implement new campus-wide approach to philanthropy (EVCP, VCUR)</v>
          </cell>
          <cell r="AM47" t="e">
            <v>#VALUE!</v>
          </cell>
        </row>
        <row r="48">
          <cell r="AL48" t="str">
            <v>Reduce unrestricted spending on financial aid through counting gift funds towards USAP</v>
          </cell>
          <cell r="AM48" t="e">
            <v>#VALUE!</v>
          </cell>
        </row>
        <row r="49">
          <cell r="AL49" t="str">
            <v>Create new University Partnership Program (NEW, VCAF, IA)</v>
          </cell>
          <cell r="AM49" t="e">
            <v>#VALUE!</v>
          </cell>
        </row>
        <row r="50">
          <cell r="AL50" t="str">
            <v xml:space="preserve">Transition and consolidate Residential &amp; Student Service Programs (RSSP) within VCRE (VCSA, VCRE) </v>
          </cell>
          <cell r="AM50" t="e">
            <v>#VALUE!</v>
          </cell>
        </row>
        <row r="51">
          <cell r="AL51" t="str">
            <v>Course materials / miscellaneous fee expansion, ala CED or UCLA</v>
          </cell>
          <cell r="AM51" t="e">
            <v>#VALUE!</v>
          </cell>
        </row>
        <row r="52">
          <cell r="AL52" t="str">
            <v>Sweep excessive reserves &amp; simplify financial management in VC Units</v>
          </cell>
          <cell r="AM52" t="e">
            <v>#VALUE!</v>
          </cell>
        </row>
        <row r="53">
          <cell r="AL53" t="str">
            <v>Reapply for miscellaneous commitments and throttle new deals</v>
          </cell>
          <cell r="AM53" t="e">
            <v>#VALUE!</v>
          </cell>
        </row>
        <row r="54">
          <cell r="AL54" t="str">
            <v>Project to consolidate tax rates &amp; right-size for needs (CSS, UCOP, AFC, GAEL, etc.)</v>
          </cell>
          <cell r="AM54" t="e">
            <v>#VALUE!</v>
          </cell>
        </row>
        <row r="55">
          <cell r="AL55" t="str">
            <v>Extraordinary payout from GEP / UCBF endowment</v>
          </cell>
          <cell r="AM55" t="e">
            <v>#VALUE!</v>
          </cell>
        </row>
        <row r="56">
          <cell r="AL56" t="str">
            <v>Increase size of the faculty to assist with revenue generating degree programs</v>
          </cell>
          <cell r="AM56" t="e">
            <v>#VALUE!</v>
          </cell>
        </row>
        <row r="57">
          <cell r="AL57" t="str">
            <v>Decrease the size of the faculty and replace them with lecturers to reduce salary costs</v>
          </cell>
          <cell r="AM57" t="e">
            <v>#VALUE!</v>
          </cell>
        </row>
        <row r="58">
          <cell r="AL58" t="str">
            <v>Create "war chest" for recruitment of high profile faculty stars</v>
          </cell>
          <cell r="AM58" t="e">
            <v>#VALUE!</v>
          </cell>
        </row>
        <row r="59">
          <cell r="AL59" t="str">
            <v>Waste identification program and related incentives (ala UCOP)</v>
          </cell>
          <cell r="AM59" t="e">
            <v>#VALUE!</v>
          </cell>
        </row>
        <row r="60">
          <cell r="AL60" t="str">
            <v>Supply and expense targeting -- go after specific line items through procurement and throttling usage</v>
          </cell>
          <cell r="AM60" t="e">
            <v>#VALUE!</v>
          </cell>
        </row>
        <row r="61">
          <cell r="AL61" t="str">
            <v>Develop space review process to optimize usage and save capital investment costs over time</v>
          </cell>
          <cell r="AM61">
            <v>1</v>
          </cell>
        </row>
        <row r="62">
          <cell r="AL62" t="str">
            <v>Delay capital renewal and/or construction for campus buildings</v>
          </cell>
          <cell r="AM62">
            <v>2</v>
          </cell>
        </row>
        <row r="63">
          <cell r="AL63" t="str">
            <v>Plan  for the Berkeley Global Campus (NEW, Chancellor, EVCP, VPSAFP)</v>
          </cell>
          <cell r="AM63">
            <v>3</v>
          </cell>
        </row>
        <row r="64">
          <cell r="AL64" t="str">
            <v>Correct Intercollegiate Athletics budget through revenue growth and cost reductions, rather than team cuts</v>
          </cell>
          <cell r="AM64">
            <v>4</v>
          </cell>
        </row>
        <row r="65">
          <cell r="AL65" t="str">
            <v>Reduce number of team in Intercollegiate Athletics to solve deficit problem</v>
          </cell>
          <cell r="AM65">
            <v>5</v>
          </cell>
        </row>
      </sheetData>
      <sheetData sheetId="3">
        <row r="3">
          <cell r="AL3" t="str">
            <v>IdeaName</v>
          </cell>
          <cell r="AM3" t="str">
            <v>Ranking</v>
          </cell>
        </row>
        <row r="4">
          <cell r="AL4" t="str">
            <v>Plan  for the Berkeley Global Campus (NEW, Chancellor, EVCP, VPSAFP)</v>
          </cell>
          <cell r="AM4">
            <v>1</v>
          </cell>
        </row>
        <row r="5">
          <cell r="AL5" t="str">
            <v>Increase IP revenue,  industry partnership, venture capital, and incubator programs (NEW, VCR)</v>
          </cell>
          <cell r="AM5">
            <v>2</v>
          </cell>
        </row>
        <row r="6">
          <cell r="AL6" t="str">
            <v>Academic Restructuring</v>
          </cell>
          <cell r="AM6">
            <v>3</v>
          </cell>
        </row>
        <row r="7">
          <cell r="AL7" t="str">
            <v>Develop space review process to optimize usage and save capital investment costs over time</v>
          </cell>
          <cell r="AM7">
            <v>2</v>
          </cell>
        </row>
        <row r="8">
          <cell r="AL8" t="str">
            <v>Invest in pre-award assistance to make it easier for faculty to get grants</v>
          </cell>
          <cell r="AM8">
            <v>3</v>
          </cell>
        </row>
        <row r="9">
          <cell r="AL9" t="str">
            <v>Redirect capacity from loss-making students (UG or G)  towards revenue generating students (UG or G)</v>
          </cell>
          <cell r="AM9">
            <v>4</v>
          </cell>
        </row>
        <row r="10">
          <cell r="AL10" t="str">
            <v>Stabilize CSS operations and align service model with Campus strategies (VCAF)</v>
          </cell>
          <cell r="AM10">
            <v>5</v>
          </cell>
        </row>
        <row r="11">
          <cell r="AL11" t="str">
            <v>Optimize financial support for Graduate Students (GRAD)</v>
          </cell>
          <cell r="AM11">
            <v>6</v>
          </cell>
        </row>
        <row r="12">
          <cell r="AL12" t="str">
            <v>Increase the total number of UG students, maximizing net revenue vs. quality (NRST, efficiency, selective maj.)</v>
          </cell>
          <cell r="AM12">
            <v>7</v>
          </cell>
        </row>
        <row r="13">
          <cell r="AL13" t="str">
            <v>ORUs and NICs: review and realignment (EVCP, VCR, VPF, VPSAFP)</v>
          </cell>
          <cell r="AM13">
            <v>8</v>
          </cell>
        </row>
        <row r="14">
          <cell r="AL14" t="str">
            <v>Create "war chest" for recruitment of high profile faculty stars</v>
          </cell>
          <cell r="AM14">
            <v>9</v>
          </cell>
        </row>
        <row r="15">
          <cell r="AL15" t="str">
            <v>Undergraduate Initiative -- Curriculum reform efforts</v>
          </cell>
          <cell r="AM15">
            <v>10</v>
          </cell>
        </row>
        <row r="16">
          <cell r="AL16" t="str">
            <v>Expand SSDP's into online space, duplicating or expanding MIDS and OOMPH-type degrees</v>
          </cell>
          <cell r="AM16">
            <v>11</v>
          </cell>
        </row>
        <row r="17">
          <cell r="AL17" t="str">
            <v>Launch Campus Arts Initiative</v>
          </cell>
          <cell r="AM17">
            <v>12</v>
          </cell>
        </row>
        <row r="18">
          <cell r="AL18" t="str">
            <v>Gift fund review for terms, changes and proper usage of balances</v>
          </cell>
          <cell r="AM18">
            <v>13</v>
          </cell>
        </row>
        <row r="19">
          <cell r="AL19" t="str">
            <v>Design and implement new campus-wide approach to philanthropy (EVCP, VCUR)</v>
          </cell>
          <cell r="AM19">
            <v>14</v>
          </cell>
        </row>
        <row r="20">
          <cell r="AL20" t="str">
            <v>Establish or further develop promising, multi-disciplinary research initiatives (i.e. BRAIN, Data Science, etc.)</v>
          </cell>
          <cell r="AM20">
            <v>15</v>
          </cell>
        </row>
        <row r="21">
          <cell r="AL21" t="str">
            <v>Targeted Fundraising - raise $ for core needs &amp; swap out unrestricted funding</v>
          </cell>
          <cell r="AM21">
            <v>16</v>
          </cell>
        </row>
        <row r="22">
          <cell r="AL22" t="str">
            <v>Launch the Financial Reform Initiative to improve incentives and simplify management (EVCP, VCAF)</v>
          </cell>
          <cell r="AM22">
            <v>17</v>
          </cell>
        </row>
        <row r="23">
          <cell r="AL23" t="str">
            <v>Expand extension, including possible degree granting programs, and/or improve profit margin</v>
          </cell>
          <cell r="AM23">
            <v>18</v>
          </cell>
        </row>
        <row r="24">
          <cell r="AL24" t="str">
            <v>Develop a new undergraduate Collegiate structure as part of the UGI (EVCP, VCUE)</v>
          </cell>
          <cell r="AM24">
            <v>19</v>
          </cell>
        </row>
        <row r="25">
          <cell r="AL25" t="str">
            <v>Sweep excessive reserves &amp; simplify financial management in VC Units</v>
          </cell>
          <cell r="AM25">
            <v>20</v>
          </cell>
        </row>
        <row r="26">
          <cell r="AL26" t="str">
            <v>Increase campus gift fee from 2.5%</v>
          </cell>
          <cell r="AM26">
            <v>21</v>
          </cell>
        </row>
        <row r="27">
          <cell r="AL27" t="str">
            <v>Benchmark operations &amp; analyze opportunities for admin efficiency, do layoffs to align staffing</v>
          </cell>
          <cell r="AM27">
            <v>22</v>
          </cell>
        </row>
        <row r="28">
          <cell r="AL28" t="str">
            <v>Reapply for miscellaneous commitments and throttle new deals</v>
          </cell>
          <cell r="AM28">
            <v>23</v>
          </cell>
        </row>
        <row r="29">
          <cell r="AL29" t="str">
            <v>Require deans / chairs to fund exceptions to ICR rates</v>
          </cell>
          <cell r="AM29">
            <v>24</v>
          </cell>
        </row>
        <row r="30">
          <cell r="AL30" t="str">
            <v>Position Control for staff positions.  Growth only per approved plans.</v>
          </cell>
          <cell r="AM30">
            <v>25</v>
          </cell>
        </row>
        <row r="31">
          <cell r="AL31" t="str">
            <v>Increase housing / parking rates, tax and/or swap out for unrestricted funds</v>
          </cell>
          <cell r="AM31">
            <v>26</v>
          </cell>
        </row>
        <row r="32">
          <cell r="AL32" t="str">
            <v>Supply and expense targeting -- go after specific line items through procurement and throttling usage</v>
          </cell>
          <cell r="AM32">
            <v>27</v>
          </cell>
        </row>
        <row r="33">
          <cell r="AL33" t="str">
            <v>Controls on salary adjustments / equity increases</v>
          </cell>
          <cell r="AM33">
            <v>28</v>
          </cell>
        </row>
        <row r="34">
          <cell r="AL34" t="str">
            <v>Expand or Launch new professional / self-supporting degree programs</v>
          </cell>
          <cell r="AM34">
            <v>29</v>
          </cell>
        </row>
        <row r="35">
          <cell r="AL35" t="str">
            <v>Increase size of the faculty to assist with revenue generating degree programs</v>
          </cell>
          <cell r="AM35">
            <v>30</v>
          </cell>
        </row>
        <row r="36">
          <cell r="AL36" t="str">
            <v>Reduce and consolidate services in VCSA and E&amp;I portfolios</v>
          </cell>
          <cell r="AM36">
            <v>31</v>
          </cell>
        </row>
        <row r="37">
          <cell r="AL37" t="str">
            <v>Invest in annual fundraising to grow unrestricted gifts</v>
          </cell>
          <cell r="AM37">
            <v>32</v>
          </cell>
        </row>
        <row r="38">
          <cell r="AL38" t="str">
            <v>Differential tuition by campus, or by major within the campus</v>
          </cell>
          <cell r="AM38">
            <v>33</v>
          </cell>
        </row>
        <row r="39">
          <cell r="AL39" t="str">
            <v>Waste identification program and related incentives (ala UCOP)</v>
          </cell>
          <cell r="AM39">
            <v>34</v>
          </cell>
        </row>
        <row r="40">
          <cell r="AL40" t="str">
            <v>Project to consolidate tax rates &amp; right-size for needs (CSS, UCOP, AFC, GAEL, etc.)</v>
          </cell>
          <cell r="AM40">
            <v>35</v>
          </cell>
        </row>
        <row r="41">
          <cell r="AL41" t="str">
            <v>Infrastructure for academic administration / CAO &amp; MSO Project (VPF, VPSAFP)</v>
          </cell>
          <cell r="AM41">
            <v>36</v>
          </cell>
        </row>
        <row r="42">
          <cell r="AL42" t="str">
            <v>Advance Sexual Assault Advocacy and Prevention Education (Legal, VCSA)</v>
          </cell>
          <cell r="AM42">
            <v>37</v>
          </cell>
        </row>
        <row r="43">
          <cell r="AL43" t="str">
            <v>Consolidate IT Units (IST, SAIT, ETS, etc.)</v>
          </cell>
          <cell r="AM43">
            <v>38</v>
          </cell>
        </row>
        <row r="44">
          <cell r="AL44" t="str">
            <v>Plan and implement residential life innovations as part of the UGI (VCSA, VCUE)</v>
          </cell>
          <cell r="AM44">
            <v>39</v>
          </cell>
        </row>
        <row r="45">
          <cell r="AL45" t="str">
            <v>Reduce unrestricted spending on financial aid through counting gift funds towards USAP</v>
          </cell>
          <cell r="AM45">
            <v>40</v>
          </cell>
        </row>
        <row r="46">
          <cell r="AL46" t="str">
            <v>Increase effective ICR rate through improved enforcement</v>
          </cell>
          <cell r="AM46">
            <v>41</v>
          </cell>
        </row>
        <row r="47">
          <cell r="AL47" t="str">
            <v>Increase non-resident tuition levels to market rates (i.e. UM)</v>
          </cell>
          <cell r="AM47">
            <v>42</v>
          </cell>
        </row>
        <row r="48">
          <cell r="AL48" t="str">
            <v xml:space="preserve">Transition and consolidate Residential &amp; Student Service Programs (RSSP) within VCRE (VCSA, VCRE) </v>
          </cell>
          <cell r="AM48">
            <v>43</v>
          </cell>
        </row>
        <row r="49">
          <cell r="AL49" t="str">
            <v>Create new University Partnership Program (NEW, VCAF, IA)</v>
          </cell>
          <cell r="AM49">
            <v>44</v>
          </cell>
        </row>
        <row r="50">
          <cell r="AL50" t="str">
            <v>Monetization of real estate assets - Parking, building sales, etc.</v>
          </cell>
          <cell r="AM50">
            <v>45</v>
          </cell>
        </row>
        <row r="51">
          <cell r="AL51" t="str">
            <v>Move most or all ORU's to self-sustaining funding models over 3 years</v>
          </cell>
          <cell r="AM51">
            <v>46</v>
          </cell>
        </row>
        <row r="52">
          <cell r="AL52" t="str">
            <v>IT systems reductions -- eliminate lower value / high cost IT support</v>
          </cell>
          <cell r="AM52">
            <v>47</v>
          </cell>
        </row>
        <row r="53">
          <cell r="AL53" t="str">
            <v>Expand executive education / continuing education efforts</v>
          </cell>
          <cell r="AM53">
            <v>48</v>
          </cell>
        </row>
        <row r="54">
          <cell r="AL54" t="str">
            <v>Layoff program to reduce staff headcount</v>
          </cell>
          <cell r="AM54">
            <v>49</v>
          </cell>
        </row>
        <row r="55">
          <cell r="AL55" t="str">
            <v xml:space="preserve">Launch a new initiative in support of African American students, faculty and staff (E&amp;I),  </v>
          </cell>
          <cell r="AM55">
            <v>50</v>
          </cell>
        </row>
        <row r="56">
          <cell r="AL56" t="str">
            <v>Reduce costs and growth trajectory for SHIP; explore vouchers / out-sourcing to state exchanges</v>
          </cell>
          <cell r="AM56">
            <v>51</v>
          </cell>
        </row>
        <row r="57">
          <cell r="AL57" t="str">
            <v>Offer 403(b) plan for contract employees, no pensions</v>
          </cell>
          <cell r="AM57">
            <v>52</v>
          </cell>
        </row>
        <row r="58">
          <cell r="AL58" t="str">
            <v>Respond to the Campus Climate survey recommendations (e.g., curricula, innovation grants) (E&amp;I)</v>
          </cell>
          <cell r="AM58">
            <v>53</v>
          </cell>
        </row>
        <row r="59">
          <cell r="AL59" t="str">
            <v>Extraordinary payout from GEP / UCBF endowment</v>
          </cell>
          <cell r="AM59">
            <v>54</v>
          </cell>
        </row>
        <row r="60">
          <cell r="AL60" t="str">
            <v>Course materials / miscellaneous fee expansion, ala CED or UCLA</v>
          </cell>
          <cell r="AM60">
            <v>55</v>
          </cell>
        </row>
        <row r="61">
          <cell r="AL61" t="str">
            <v>Eliminate 6% overhead distribution mechanism</v>
          </cell>
          <cell r="AM61">
            <v>56</v>
          </cell>
        </row>
        <row r="62">
          <cell r="AL62" t="str">
            <v>Correct Intercollegiate Athletics budget through revenue growth and cost reductions, rather than team cuts</v>
          </cell>
          <cell r="AM62">
            <v>57</v>
          </cell>
        </row>
        <row r="63">
          <cell r="AL63" t="str">
            <v>Delay capital renewal and/or construction for campus buildings</v>
          </cell>
          <cell r="AM63">
            <v>58</v>
          </cell>
        </row>
        <row r="64">
          <cell r="AL64" t="str">
            <v>Reduce number of team in Intercollegiate Athletics to solve deficit problem</v>
          </cell>
          <cell r="AM64">
            <v>59</v>
          </cell>
        </row>
        <row r="65">
          <cell r="AL65" t="str">
            <v>Decrease the size of the faculty and replace them with lecturers to reduce salary costs</v>
          </cell>
          <cell r="AM65">
            <v>60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Control"/>
      <sheetName val="SRECNA"/>
      <sheetName val="MD&amp;A"/>
      <sheetName val="Alternate scenarios"/>
      <sheetName val="Tuition"/>
      <sheetName val="Benefits"/>
      <sheetName val="Endowment"/>
      <sheetName val="Case"/>
      <sheetName val="Debt Schedule"/>
      <sheetName val="201203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9">
          <cell r="E29" t="str">
            <v>Benefits percentage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22.396209344938843</v>
          </cell>
          <cell r="N29">
            <v>24.830407771442481</v>
          </cell>
          <cell r="O29">
            <v>0.27643196976132361</v>
          </cell>
          <cell r="P29">
            <v>0.31292186955964479</v>
          </cell>
          <cell r="Q29">
            <v>0.34275660784331063</v>
          </cell>
          <cell r="R29">
            <v>0.35266150599511026</v>
          </cell>
          <cell r="S29">
            <v>0.38263447905519493</v>
          </cell>
          <cell r="T29">
            <v>0.41267352815348546</v>
          </cell>
          <cell r="U29">
            <v>0.42777673725524806</v>
          </cell>
          <cell r="V29">
            <v>0.4279422700323865</v>
          </cell>
        </row>
        <row r="43">
          <cell r="E43" t="str">
            <v>534XX - Health Insurance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0.05</v>
          </cell>
          <cell r="Q43">
            <v>0.05</v>
          </cell>
          <cell r="R43">
            <v>0.05</v>
          </cell>
          <cell r="S43">
            <v>0.05</v>
          </cell>
          <cell r="T43">
            <v>0.05</v>
          </cell>
          <cell r="U43">
            <v>0.05</v>
          </cell>
          <cell r="V43">
            <v>0.05</v>
          </cell>
        </row>
        <row r="44">
          <cell r="E44" t="str">
            <v>535XX - Life Insurance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E45" t="str">
            <v>536XX - Disability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</row>
        <row r="46">
          <cell r="E46" t="str">
            <v>53704 - Emplyr UC Retiree Hlth Ben Con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0.05</v>
          </cell>
          <cell r="Q46">
            <v>0.05</v>
          </cell>
          <cell r="R46">
            <v>0.05</v>
          </cell>
          <cell r="S46">
            <v>0.05</v>
          </cell>
          <cell r="T46">
            <v>0.05</v>
          </cell>
          <cell r="U46">
            <v>0.05</v>
          </cell>
          <cell r="V46">
            <v>0.05</v>
          </cell>
        </row>
        <row r="48">
          <cell r="E48" t="str">
            <v>539XX - Other Benefits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Control"/>
      <sheetName val="1. SRECNA"/>
      <sheetName val="2. MD&amp;A"/>
      <sheetName val="New Scenarios"/>
      <sheetName val="3. Fungibility"/>
      <sheetName val="3. alternate scenarios"/>
      <sheetName val="Metrics"/>
      <sheetName val="4. Old_Scenarios"/>
      <sheetName val="Scenario Summary - Adile"/>
      <sheetName val="Real_Nominal"/>
      <sheetName val="Real_Temp "/>
      <sheetName val="Tuition"/>
      <sheetName val="Endowment"/>
      <sheetName val="Debt Schedule"/>
      <sheetName val="Benefits"/>
      <sheetName val="Financial Aid"/>
      <sheetName val="Documentation"/>
      <sheetName val="Instructions"/>
      <sheetName val="Change Log"/>
      <sheetName val="Q-20120305"/>
      <sheetName val="Case"/>
      <sheetName val="Temp"/>
    </sheetNames>
    <sheetDataSet>
      <sheetData sheetId="0"/>
      <sheetData sheetId="1">
        <row r="13">
          <cell r="E13" t="str">
            <v>Student Tuition and Fees, net</v>
          </cell>
        </row>
      </sheetData>
      <sheetData sheetId="2">
        <row r="13">
          <cell r="J13">
            <v>292482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5">
          <cell r="C5">
            <v>2006</v>
          </cell>
        </row>
      </sheetData>
      <sheetData sheetId="10">
        <row r="5">
          <cell r="C5">
            <v>2006</v>
          </cell>
        </row>
      </sheetData>
      <sheetData sheetId="11">
        <row r="16">
          <cell r="E16" t="str">
            <v xml:space="preserve">Tuition </v>
          </cell>
        </row>
      </sheetData>
      <sheetData sheetId="12">
        <row r="18">
          <cell r="D18" t="str">
            <v>FP</v>
          </cell>
        </row>
      </sheetData>
      <sheetData sheetId="13">
        <row r="14">
          <cell r="E14" t="str">
            <v>State Capital lease (from Notes to Financial Statements)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ategy Discussion Ideas"/>
      <sheetName val="75 Ideas - Term &amp; Ranking"/>
      <sheetName val="75 Ideas - New Sort"/>
      <sheetName val="Summarized Themes"/>
      <sheetName val="Valuations"/>
      <sheetName val="Backup - Original Sort"/>
    </sheetNames>
    <sheetDataSet>
      <sheetData sheetId="0"/>
      <sheetData sheetId="1"/>
      <sheetData sheetId="2"/>
      <sheetData sheetId="3"/>
      <sheetData sheetId="4">
        <row r="3">
          <cell r="A3" t="str">
            <v>Criteria</v>
          </cell>
          <cell r="B3" t="str">
            <v>Value</v>
          </cell>
        </row>
        <row r="4">
          <cell r="A4" t="str">
            <v>Cost Avoidance</v>
          </cell>
          <cell r="B4">
            <v>3</v>
          </cell>
        </row>
        <row r="5">
          <cell r="A5" t="str">
            <v>Direct</v>
          </cell>
          <cell r="B5">
            <v>10</v>
          </cell>
        </row>
        <row r="6">
          <cell r="A6" t="str">
            <v>Direct*</v>
          </cell>
          <cell r="B6">
            <v>8</v>
          </cell>
        </row>
        <row r="7">
          <cell r="A7" t="str">
            <v>Easy</v>
          </cell>
          <cell r="B7">
            <v>15</v>
          </cell>
        </row>
        <row r="8">
          <cell r="A8" t="str">
            <v>Hard</v>
          </cell>
          <cell r="B8">
            <v>5</v>
          </cell>
        </row>
        <row r="9">
          <cell r="A9" t="str">
            <v>Indirect</v>
          </cell>
          <cell r="B9">
            <v>5</v>
          </cell>
        </row>
        <row r="10">
          <cell r="A10" t="str">
            <v>Large</v>
          </cell>
          <cell r="B10">
            <v>20</v>
          </cell>
        </row>
        <row r="11">
          <cell r="A11" t="str">
            <v>Medium</v>
          </cell>
          <cell r="B11">
            <v>5</v>
          </cell>
        </row>
        <row r="12">
          <cell r="A12" t="str">
            <v>Small</v>
          </cell>
          <cell r="B12">
            <v>1</v>
          </cell>
        </row>
        <row r="13">
          <cell r="A13" t="str">
            <v>Very Hard</v>
          </cell>
          <cell r="B13">
            <v>3</v>
          </cell>
        </row>
        <row r="14">
          <cell r="A14" t="str">
            <v>Very Large</v>
          </cell>
          <cell r="B14">
            <v>30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>
        <a:defPPr>
          <a:defRPr/>
        </a:defPPr>
      </a:lstStyle>
    </a:spDef>
    <a:lnDef>
      <a:spPr bwMode="auto"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I173"/>
  <sheetViews>
    <sheetView tabSelected="1" topLeftCell="A3" zoomScaleSheetLayoutView="100" workbookViewId="0">
      <pane xSplit="9" ySplit="8" topLeftCell="Q44" activePane="bottomRight" state="frozen"/>
      <selection activeCell="E3" sqref="E3"/>
      <selection pane="topRight" activeCell="J3" sqref="J3"/>
      <selection pane="bottomLeft" activeCell="E11" sqref="E11"/>
      <selection pane="bottomRight" activeCell="R57" sqref="R57"/>
    </sheetView>
  </sheetViews>
  <sheetFormatPr defaultColWidth="18.7109375" defaultRowHeight="12.75" customHeight="1" outlineLevelRow="1" outlineLevelCol="1" x14ac:dyDescent="0.2"/>
  <cols>
    <col min="1" max="1" width="2.7109375" style="257" hidden="1" customWidth="1" outlineLevel="1"/>
    <col min="2" max="2" width="14.7109375" style="257" hidden="1" customWidth="1" outlineLevel="1"/>
    <col min="3" max="3" width="2.7109375" style="257" hidden="1" customWidth="1" outlineLevel="1"/>
    <col min="4" max="4" width="1.7109375" style="264" hidden="1" customWidth="1" outlineLevel="1"/>
    <col min="5" max="5" width="14.42578125" style="290" customWidth="1" collapsed="1"/>
    <col min="6" max="6" width="8.7109375" style="290" customWidth="1"/>
    <col min="7" max="7" width="9.42578125" style="290" bestFit="1" customWidth="1"/>
    <col min="8" max="8" width="14.42578125" style="290" hidden="1" customWidth="1" outlineLevel="1"/>
    <col min="9" max="9" width="5.28515625" style="385" hidden="1" customWidth="1" outlineLevel="1"/>
    <col min="10" max="14" width="12.7109375" style="290" hidden="1" customWidth="1" outlineLevel="1"/>
    <col min="15" max="15" width="12.7109375" style="290" hidden="1" customWidth="1" outlineLevel="1" collapsed="1"/>
    <col min="16" max="16" width="12.7109375" style="290" hidden="1" customWidth="1" outlineLevel="1"/>
    <col min="17" max="17" width="12.7109375" style="290" customWidth="1" collapsed="1"/>
    <col min="18" max="23" width="12.7109375" style="290" customWidth="1"/>
    <col min="24" max="24" width="10.7109375" style="290" bestFit="1" customWidth="1"/>
    <col min="25" max="28" width="14.140625" style="290" hidden="1" customWidth="1" outlineLevel="1"/>
    <col min="29" max="29" width="13.28515625" style="290" hidden="1" customWidth="1" outlineLevel="1"/>
    <col min="30" max="31" width="14.140625" style="290" hidden="1" customWidth="1" outlineLevel="1"/>
    <col min="32" max="32" width="13.28515625" style="290" hidden="1" customWidth="1" outlineLevel="1"/>
    <col min="33" max="34" width="14.140625" style="290" hidden="1" customWidth="1" outlineLevel="1"/>
    <col min="35" max="35" width="9.140625" style="290" customWidth="1" collapsed="1"/>
    <col min="36" max="16384" width="18.7109375" style="290"/>
  </cols>
  <sheetData>
    <row r="1" spans="1:35" s="257" customFormat="1" ht="11.25" hidden="1" outlineLevel="1" x14ac:dyDescent="0.2">
      <c r="I1" s="258"/>
    </row>
    <row r="2" spans="1:35" s="259" customFormat="1" ht="11.25" hidden="1" outlineLevel="1" x14ac:dyDescent="0.2">
      <c r="A2" s="257"/>
      <c r="B2" s="257"/>
      <c r="C2" s="257"/>
      <c r="I2" s="260"/>
      <c r="V2" s="261"/>
      <c r="W2" s="261"/>
    </row>
    <row r="3" spans="1:35" s="258" customFormat="1" ht="11.25" collapsed="1" x14ac:dyDescent="0.2">
      <c r="D3" s="262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</row>
    <row r="4" spans="1:35" s="257" customFormat="1" ht="18" x14ac:dyDescent="0.25">
      <c r="D4" s="264"/>
      <c r="E4" s="265" t="s">
        <v>413</v>
      </c>
      <c r="I4" s="258"/>
    </row>
    <row r="5" spans="1:35" s="257" customFormat="1" ht="11.25" x14ac:dyDescent="0.2">
      <c r="D5" s="264"/>
      <c r="E5" s="266" t="s">
        <v>0</v>
      </c>
      <c r="I5" s="258"/>
      <c r="J5" s="267"/>
      <c r="K5" s="267"/>
      <c r="L5" s="267"/>
      <c r="O5" s="268">
        <v>2011</v>
      </c>
      <c r="P5" s="268">
        <v>2012</v>
      </c>
      <c r="Q5" s="268">
        <v>2013</v>
      </c>
      <c r="R5" s="268">
        <v>2014</v>
      </c>
      <c r="S5" s="268">
        <v>2015</v>
      </c>
      <c r="T5" s="268">
        <v>2016</v>
      </c>
      <c r="U5" s="268">
        <v>2017</v>
      </c>
      <c r="V5" s="268"/>
      <c r="W5" s="268"/>
      <c r="X5" s="268">
        <v>2018</v>
      </c>
    </row>
    <row r="6" spans="1:35" s="257" customFormat="1" ht="3" customHeight="1" x14ac:dyDescent="0.2">
      <c r="D6" s="264"/>
      <c r="E6" s="266"/>
      <c r="I6" s="258"/>
      <c r="P6" s="269"/>
    </row>
    <row r="7" spans="1:35" s="257" customFormat="1" ht="11.25" x14ac:dyDescent="0.2">
      <c r="D7" s="264"/>
      <c r="I7" s="263"/>
      <c r="J7" s="270"/>
      <c r="K7" s="270"/>
      <c r="L7" s="270"/>
      <c r="M7" s="270"/>
      <c r="N7" s="271"/>
      <c r="O7" s="272"/>
      <c r="P7" s="273"/>
      <c r="Q7" s="272"/>
      <c r="R7" s="272"/>
      <c r="S7" s="272"/>
      <c r="T7" s="272"/>
      <c r="U7" s="272"/>
      <c r="V7" s="274"/>
      <c r="W7" s="274"/>
      <c r="X7" s="272"/>
    </row>
    <row r="8" spans="1:35" s="257" customFormat="1" ht="11.25" hidden="1" x14ac:dyDescent="0.2">
      <c r="D8" s="264"/>
      <c r="E8" s="275"/>
      <c r="F8" s="275"/>
      <c r="G8" s="276"/>
      <c r="H8" s="275"/>
      <c r="I8" s="277"/>
      <c r="J8" s="278">
        <f t="shared" ref="J8:O8" si="0">J9-CurrentFiscalYear</f>
        <v>-10</v>
      </c>
      <c r="K8" s="278">
        <f t="shared" si="0"/>
        <v>-9</v>
      </c>
      <c r="L8" s="278">
        <f t="shared" si="0"/>
        <v>-8</v>
      </c>
      <c r="M8" s="278">
        <f t="shared" si="0"/>
        <v>-7</v>
      </c>
      <c r="N8" s="278">
        <f t="shared" si="0"/>
        <v>-6</v>
      </c>
      <c r="O8" s="278" t="e">
        <f t="shared" si="0"/>
        <v>#VALUE!</v>
      </c>
      <c r="P8" s="278" t="e">
        <f t="shared" ref="P8:X8" si="1">P9-CurrentFiscalYear</f>
        <v>#VALUE!</v>
      </c>
      <c r="Q8" s="278">
        <f t="shared" si="1"/>
        <v>-3</v>
      </c>
      <c r="R8" s="278">
        <f t="shared" si="1"/>
        <v>-2</v>
      </c>
      <c r="S8" s="278">
        <f t="shared" si="1"/>
        <v>-1</v>
      </c>
      <c r="T8" s="278">
        <f t="shared" si="1"/>
        <v>0</v>
      </c>
      <c r="U8" s="278">
        <f t="shared" si="1"/>
        <v>1</v>
      </c>
      <c r="V8" s="278"/>
      <c r="W8" s="278"/>
      <c r="X8" s="278">
        <f t="shared" si="1"/>
        <v>4</v>
      </c>
      <c r="Y8" s="279"/>
    </row>
    <row r="9" spans="1:35" s="257" customFormat="1" ht="11.25" x14ac:dyDescent="0.2">
      <c r="D9" s="264"/>
      <c r="E9" s="275"/>
      <c r="F9" s="275"/>
      <c r="G9" s="275"/>
      <c r="H9" s="275"/>
      <c r="I9" s="277"/>
      <c r="J9" s="280">
        <v>2006</v>
      </c>
      <c r="K9" s="280">
        <f t="shared" ref="K9:S9" si="2">J9+1</f>
        <v>2007</v>
      </c>
      <c r="L9" s="280">
        <f t="shared" si="2"/>
        <v>2008</v>
      </c>
      <c r="M9" s="280">
        <f t="shared" si="2"/>
        <v>2009</v>
      </c>
      <c r="N9" s="280">
        <f t="shared" si="2"/>
        <v>2010</v>
      </c>
      <c r="O9" s="281" t="s">
        <v>222</v>
      </c>
      <c r="P9" s="282" t="s">
        <v>223</v>
      </c>
      <c r="Q9" s="280">
        <v>2013</v>
      </c>
      <c r="R9" s="280">
        <f t="shared" si="2"/>
        <v>2014</v>
      </c>
      <c r="S9" s="280">
        <f t="shared" si="2"/>
        <v>2015</v>
      </c>
      <c r="T9" s="282">
        <f t="shared" ref="T9:Y9" si="3">S9+1</f>
        <v>2016</v>
      </c>
      <c r="U9" s="282">
        <f t="shared" si="3"/>
        <v>2017</v>
      </c>
      <c r="V9" s="282">
        <f t="shared" si="3"/>
        <v>2018</v>
      </c>
      <c r="W9" s="282">
        <f t="shared" si="3"/>
        <v>2019</v>
      </c>
      <c r="X9" s="282">
        <f t="shared" si="3"/>
        <v>2020</v>
      </c>
      <c r="Y9" s="282">
        <f t="shared" si="3"/>
        <v>2021</v>
      </c>
      <c r="Z9" s="282">
        <f t="shared" ref="Z9:AH9" si="4">Y9+1</f>
        <v>2022</v>
      </c>
      <c r="AA9" s="282">
        <f t="shared" si="4"/>
        <v>2023</v>
      </c>
      <c r="AB9" s="282">
        <f t="shared" si="4"/>
        <v>2024</v>
      </c>
      <c r="AC9" s="282">
        <f t="shared" si="4"/>
        <v>2025</v>
      </c>
      <c r="AD9" s="282">
        <f t="shared" si="4"/>
        <v>2026</v>
      </c>
      <c r="AE9" s="282">
        <f t="shared" si="4"/>
        <v>2027</v>
      </c>
      <c r="AF9" s="282">
        <f t="shared" si="4"/>
        <v>2028</v>
      </c>
      <c r="AG9" s="282">
        <f t="shared" si="4"/>
        <v>2029</v>
      </c>
      <c r="AH9" s="282">
        <f t="shared" si="4"/>
        <v>2030</v>
      </c>
    </row>
    <row r="10" spans="1:35" s="257" customFormat="1" ht="3" customHeight="1" x14ac:dyDescent="0.2">
      <c r="D10" s="264"/>
      <c r="E10" s="275"/>
      <c r="F10" s="275"/>
      <c r="G10" s="275"/>
      <c r="H10" s="275"/>
      <c r="I10" s="283"/>
      <c r="J10" s="275"/>
      <c r="K10" s="275"/>
      <c r="L10" s="275"/>
      <c r="M10" s="284"/>
      <c r="N10" s="275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  <c r="AF10" s="275"/>
      <c r="AG10" s="275"/>
      <c r="AH10" s="275"/>
    </row>
    <row r="11" spans="1:35" s="257" customFormat="1" ht="11.25" x14ac:dyDescent="0.2">
      <c r="D11" s="264"/>
      <c r="E11" s="285" t="s">
        <v>18</v>
      </c>
      <c r="F11" s="275"/>
      <c r="G11" s="275"/>
      <c r="H11" s="275"/>
      <c r="I11" s="283"/>
      <c r="J11" s="275"/>
      <c r="K11" s="275"/>
      <c r="L11" s="275"/>
      <c r="M11" s="284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  <c r="AF11" s="275"/>
      <c r="AG11" s="275"/>
      <c r="AH11" s="275"/>
    </row>
    <row r="12" spans="1:35" s="257" customFormat="1" ht="3" customHeight="1" x14ac:dyDescent="0.2">
      <c r="D12" s="264"/>
      <c r="E12" s="275"/>
      <c r="F12" s="275"/>
      <c r="G12" s="275"/>
      <c r="H12" s="275"/>
      <c r="I12" s="283"/>
      <c r="J12" s="275"/>
      <c r="K12" s="275"/>
      <c r="L12" s="275"/>
      <c r="M12" s="284"/>
      <c r="N12" s="275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  <c r="AF12" s="275"/>
      <c r="AG12" s="275"/>
      <c r="AH12" s="275"/>
    </row>
    <row r="13" spans="1:35" ht="11.25" x14ac:dyDescent="0.2">
      <c r="E13" s="222" t="s">
        <v>24</v>
      </c>
      <c r="F13" s="284"/>
      <c r="G13" s="284"/>
      <c r="H13" s="286"/>
      <c r="I13" s="287"/>
      <c r="J13" s="288">
        <f t="shared" ref="J13:R13" si="5">SUM(J15:J20)</f>
        <v>300000</v>
      </c>
      <c r="K13" s="289">
        <f t="shared" si="5"/>
        <v>320000</v>
      </c>
      <c r="L13" s="288">
        <f t="shared" si="5"/>
        <v>340000</v>
      </c>
      <c r="M13" s="288">
        <f t="shared" si="5"/>
        <v>360000</v>
      </c>
      <c r="N13" s="288">
        <f t="shared" si="5"/>
        <v>380000</v>
      </c>
      <c r="O13" s="288">
        <f t="shared" si="5"/>
        <v>400000</v>
      </c>
      <c r="P13" s="288">
        <f t="shared" si="5"/>
        <v>420000</v>
      </c>
      <c r="Q13" s="217">
        <f t="shared" si="5"/>
        <v>440000</v>
      </c>
      <c r="R13" s="217">
        <f t="shared" si="5"/>
        <v>460000</v>
      </c>
      <c r="S13" s="217">
        <f>SUM(S15:S20)</f>
        <v>460000</v>
      </c>
      <c r="T13" s="217">
        <f ca="1">SUM(T15:T20)</f>
        <v>-168989.43780000161</v>
      </c>
      <c r="U13" s="217">
        <f t="shared" ref="U13:AH13" ca="1" si="6">SUM(U15:U20)</f>
        <v>-168969.70516345365</v>
      </c>
      <c r="V13" s="217">
        <f t="shared" ca="1" si="6"/>
        <v>-168949.27107262224</v>
      </c>
      <c r="W13" s="217">
        <f t="shared" ca="1" si="6"/>
        <v>-168928.15629328266</v>
      </c>
      <c r="X13" s="217">
        <f t="shared" ca="1" si="6"/>
        <v>-168906.33832844891</v>
      </c>
      <c r="Y13" s="217">
        <f t="shared" ca="1" si="6"/>
        <v>-168887.33157291831</v>
      </c>
      <c r="Z13" s="217">
        <f t="shared" ca="1" si="6"/>
        <v>-168868.07235005967</v>
      </c>
      <c r="AA13" s="217">
        <f t="shared" ca="1" si="6"/>
        <v>-168842.9211355953</v>
      </c>
      <c r="AB13" s="217">
        <f t="shared" ca="1" si="6"/>
        <v>-168815.9459442909</v>
      </c>
      <c r="AC13" s="217">
        <f t="shared" ca="1" si="6"/>
        <v>-168786.89405977342</v>
      </c>
      <c r="AD13" s="217">
        <f t="shared" ca="1" si="6"/>
        <v>-168755.47391148011</v>
      </c>
      <c r="AE13" s="217">
        <f t="shared" ca="1" si="6"/>
        <v>-168721.34762016509</v>
      </c>
      <c r="AF13" s="217">
        <f t="shared" ca="1" si="6"/>
        <v>-168684.12209471193</v>
      </c>
      <c r="AG13" s="217">
        <f t="shared" ca="1" si="6"/>
        <v>-168643.33835853369</v>
      </c>
      <c r="AH13" s="217">
        <f t="shared" ca="1" si="6"/>
        <v>-168598.4587106999</v>
      </c>
    </row>
    <row r="14" spans="1:35" ht="3" customHeight="1" outlineLevel="1" x14ac:dyDescent="0.2">
      <c r="E14" s="222"/>
      <c r="F14" s="284"/>
      <c r="G14" s="284"/>
      <c r="H14" s="286"/>
      <c r="I14" s="287"/>
      <c r="J14" s="288"/>
      <c r="K14" s="288"/>
      <c r="L14" s="288"/>
      <c r="M14" s="288"/>
      <c r="N14" s="288"/>
      <c r="O14" s="288"/>
      <c r="P14" s="288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</row>
    <row r="15" spans="1:35" ht="11.25" outlineLevel="1" x14ac:dyDescent="0.2">
      <c r="E15" s="843" t="s">
        <v>186</v>
      </c>
      <c r="F15" s="223"/>
      <c r="G15" s="223"/>
      <c r="H15" s="223"/>
      <c r="I15" s="287" t="s">
        <v>98</v>
      </c>
      <c r="J15" s="834">
        <v>180000</v>
      </c>
      <c r="K15" s="834">
        <v>185000</v>
      </c>
      <c r="L15" s="834">
        <v>190000</v>
      </c>
      <c r="M15" s="834">
        <v>195000</v>
      </c>
      <c r="N15" s="834">
        <v>200000</v>
      </c>
      <c r="O15" s="834">
        <v>205000</v>
      </c>
      <c r="P15" s="834">
        <v>210000</v>
      </c>
      <c r="Q15" s="834">
        <v>215000</v>
      </c>
      <c r="R15" s="834">
        <v>220000</v>
      </c>
      <c r="S15" s="834">
        <v>220000</v>
      </c>
      <c r="T15" s="211">
        <f t="shared" ref="T15:AH15" ca="1" si="7">rev_Tuition</f>
        <v>134.51281</v>
      </c>
      <c r="U15" s="211">
        <f t="shared" ca="1" si="7"/>
        <v>146.74240510000001</v>
      </c>
      <c r="V15" s="211">
        <f t="shared" ca="1" si="7"/>
        <v>159.20314082100001</v>
      </c>
      <c r="W15" s="211">
        <f t="shared" ca="1" si="7"/>
        <v>171.89841701590998</v>
      </c>
      <c r="X15" s="211">
        <f t="shared" ca="1" si="7"/>
        <v>184.83167842063611</v>
      </c>
      <c r="Y15" s="211">
        <f t="shared" ca="1" si="7"/>
        <v>198.00641521175513</v>
      </c>
      <c r="Z15" s="211">
        <f t="shared" ca="1" si="7"/>
        <v>211.4261635708545</v>
      </c>
      <c r="AA15" s="211">
        <f t="shared" ca="1" si="7"/>
        <v>225.09450625561468</v>
      </c>
      <c r="AB15" s="211">
        <f t="shared" ca="1" si="7"/>
        <v>239.01507317771291</v>
      </c>
      <c r="AC15" s="211">
        <f t="shared" ca="1" si="7"/>
        <v>253.1915419876276</v>
      </c>
      <c r="AD15" s="211">
        <f t="shared" ca="1" si="7"/>
        <v>267.62763866642285</v>
      </c>
      <c r="AE15" s="211">
        <f t="shared" ca="1" si="7"/>
        <v>282.32713812459514</v>
      </c>
      <c r="AF15" s="211">
        <f t="shared" ca="1" si="7"/>
        <v>297.29386480806431</v>
      </c>
      <c r="AG15" s="211">
        <f t="shared" ca="1" si="7"/>
        <v>312.53169331139037</v>
      </c>
      <c r="AH15" s="211">
        <f t="shared" ca="1" si="7"/>
        <v>328.04454899830222</v>
      </c>
    </row>
    <row r="16" spans="1:35" ht="11.25" outlineLevel="1" x14ac:dyDescent="0.2">
      <c r="E16" s="843" t="s">
        <v>187</v>
      </c>
      <c r="F16" s="223"/>
      <c r="G16" s="223"/>
      <c r="H16" s="223"/>
      <c r="I16" s="287" t="s">
        <v>98</v>
      </c>
      <c r="J16" s="834">
        <v>30000</v>
      </c>
      <c r="K16" s="834">
        <v>35000</v>
      </c>
      <c r="L16" s="834">
        <v>40000</v>
      </c>
      <c r="M16" s="834">
        <v>45000</v>
      </c>
      <c r="N16" s="834">
        <v>50000</v>
      </c>
      <c r="O16" s="834">
        <v>55000</v>
      </c>
      <c r="P16" s="834">
        <v>60000</v>
      </c>
      <c r="Q16" s="834">
        <v>65000</v>
      </c>
      <c r="R16" s="834">
        <v>70000</v>
      </c>
      <c r="S16" s="834">
        <v>70000</v>
      </c>
      <c r="T16" s="211">
        <f t="shared" ref="T16:AH16" si="8">rev_Student_Services_Fee</f>
        <v>137.30000000000001</v>
      </c>
      <c r="U16" s="211">
        <f t="shared" ca="1" si="8"/>
        <v>152.00749999999999</v>
      </c>
      <c r="V16" s="211">
        <f t="shared" ca="1" si="8"/>
        <v>167.36456250000001</v>
      </c>
      <c r="W16" s="211">
        <f t="shared" ca="1" si="8"/>
        <v>183.39447343749995</v>
      </c>
      <c r="X16" s="211">
        <f t="shared" ca="1" si="8"/>
        <v>200.12127707031246</v>
      </c>
      <c r="Y16" s="211">
        <f t="shared" ca="1" si="8"/>
        <v>212.26321886718748</v>
      </c>
      <c r="Z16" s="211">
        <f t="shared" ca="1" si="8"/>
        <v>224.40516066406246</v>
      </c>
      <c r="AA16" s="211">
        <f t="shared" ca="1" si="8"/>
        <v>244.99521326311375</v>
      </c>
      <c r="AB16" s="211">
        <f t="shared" ca="1" si="8"/>
        <v>267.91962245695765</v>
      </c>
      <c r="AC16" s="211">
        <f t="shared" ca="1" si="8"/>
        <v>293.54513799179483</v>
      </c>
      <c r="AD16" s="211">
        <f t="shared" ca="1" si="8"/>
        <v>322.29615929663697</v>
      </c>
      <c r="AE16" s="211">
        <f t="shared" ca="1" si="8"/>
        <v>354.66587565947657</v>
      </c>
      <c r="AF16" s="211">
        <f t="shared" ca="1" si="8"/>
        <v>391.22957653541698</v>
      </c>
      <c r="AG16" s="211">
        <f t="shared" ca="1" si="8"/>
        <v>432.66061435873456</v>
      </c>
      <c r="AH16" s="211">
        <f t="shared" ca="1" si="8"/>
        <v>479.74961192862793</v>
      </c>
    </row>
    <row r="17" spans="5:34" ht="11.25" outlineLevel="1" x14ac:dyDescent="0.2">
      <c r="E17" s="843" t="s">
        <v>188</v>
      </c>
      <c r="F17" s="223"/>
      <c r="G17" s="223"/>
      <c r="H17" s="223"/>
      <c r="I17" s="287"/>
      <c r="J17" s="834">
        <v>60000</v>
      </c>
      <c r="K17" s="834">
        <v>65000</v>
      </c>
      <c r="L17" s="834">
        <v>70000</v>
      </c>
      <c r="M17" s="834">
        <v>75000</v>
      </c>
      <c r="N17" s="834">
        <v>80000</v>
      </c>
      <c r="O17" s="834">
        <v>85000</v>
      </c>
      <c r="P17" s="834">
        <v>90000</v>
      </c>
      <c r="Q17" s="834">
        <v>95000</v>
      </c>
      <c r="R17" s="834">
        <v>100000</v>
      </c>
      <c r="S17" s="834">
        <v>100000</v>
      </c>
      <c r="T17" s="211">
        <f t="shared" ref="T17:AH17" ca="1" si="9">rev_NRT</f>
        <v>13.358923710398951</v>
      </c>
      <c r="U17" s="211">
        <f t="shared" ca="1" si="9"/>
        <v>14.408960875046219</v>
      </c>
      <c r="V17" s="211">
        <f t="shared" ca="1" si="9"/>
        <v>15.47888369927176</v>
      </c>
      <c r="W17" s="211">
        <f t="shared" ca="1" si="9"/>
        <v>16.568984892550681</v>
      </c>
      <c r="X17" s="211">
        <f t="shared" ca="1" si="9"/>
        <v>17.67956102998162</v>
      </c>
      <c r="Y17" s="211">
        <f t="shared" ca="1" si="9"/>
        <v>18.810912600328301</v>
      </c>
      <c r="Z17" s="211">
        <f t="shared" ca="1" si="9"/>
        <v>19.963344054635279</v>
      </c>
      <c r="AA17" s="211">
        <f t="shared" ca="1" si="9"/>
        <v>21.137163855424738</v>
      </c>
      <c r="AB17" s="211">
        <f t="shared" ca="1" si="9"/>
        <v>22.33268452648089</v>
      </c>
      <c r="AC17" s="211">
        <f t="shared" ca="1" si="9"/>
        <v>23.550222703228997</v>
      </c>
      <c r="AD17" s="211">
        <f t="shared" ca="1" si="9"/>
        <v>24.790099183715789</v>
      </c>
      <c r="AE17" s="211">
        <f t="shared" ca="1" si="9"/>
        <v>26.052638980198356</v>
      </c>
      <c r="AF17" s="211">
        <f t="shared" ca="1" si="9"/>
        <v>27.338171371348576</v>
      </c>
      <c r="AG17" s="211">
        <f t="shared" ca="1" si="9"/>
        <v>28.647029955080153</v>
      </c>
      <c r="AH17" s="211">
        <f t="shared" ca="1" si="9"/>
        <v>29.979552702005599</v>
      </c>
    </row>
    <row r="18" spans="5:34" ht="11.25" outlineLevel="1" x14ac:dyDescent="0.2">
      <c r="E18" s="843" t="s">
        <v>365</v>
      </c>
      <c r="F18" s="223"/>
      <c r="G18" s="223"/>
      <c r="H18" s="223"/>
      <c r="I18" s="287"/>
      <c r="J18" s="834">
        <v>50000</v>
      </c>
      <c r="K18" s="834">
        <v>55000</v>
      </c>
      <c r="L18" s="834">
        <v>60000</v>
      </c>
      <c r="M18" s="834">
        <v>65000</v>
      </c>
      <c r="N18" s="834">
        <v>70000</v>
      </c>
      <c r="O18" s="834">
        <v>75000</v>
      </c>
      <c r="P18" s="834">
        <v>80000</v>
      </c>
      <c r="Q18" s="834">
        <v>85000</v>
      </c>
      <c r="R18" s="834">
        <v>90000</v>
      </c>
      <c r="S18" s="834">
        <v>90000</v>
      </c>
      <c r="T18" s="211">
        <f t="shared" ref="T18:AH18" ca="1" si="10">rev_Graduate_Professional_Fees+rev_Self_Supporting</f>
        <v>3.6906999999999996</v>
      </c>
      <c r="U18" s="211">
        <f t="shared" ca="1" si="10"/>
        <v>3.7599849999999995</v>
      </c>
      <c r="V18" s="211">
        <f t="shared" ca="1" si="10"/>
        <v>3.8514846249999994</v>
      </c>
      <c r="W18" s="211">
        <f t="shared" ca="1" si="10"/>
        <v>3.9452717406249991</v>
      </c>
      <c r="X18" s="211">
        <f t="shared" ca="1" si="10"/>
        <v>4.0414035341406249</v>
      </c>
      <c r="Y18" s="211">
        <f t="shared" ca="1" si="10"/>
        <v>4.1399386224941388</v>
      </c>
      <c r="Z18" s="211">
        <f t="shared" ca="1" si="10"/>
        <v>4.2409370880564907</v>
      </c>
      <c r="AA18" s="211">
        <f t="shared" ca="1" si="10"/>
        <v>4.3444605152579054</v>
      </c>
      <c r="AB18" s="211">
        <f t="shared" ca="1" si="10"/>
        <v>4.4505720281393533</v>
      </c>
      <c r="AC18" s="211">
        <f t="shared" ca="1" si="10"/>
        <v>4.5593363288428357</v>
      </c>
      <c r="AD18" s="211">
        <f t="shared" ca="1" si="10"/>
        <v>4.6708197370639057</v>
      </c>
      <c r="AE18" s="211">
        <f t="shared" ca="1" si="10"/>
        <v>4.7850902304905025</v>
      </c>
      <c r="AF18" s="211">
        <f t="shared" ca="1" si="10"/>
        <v>4.9022174862527663</v>
      </c>
      <c r="AG18" s="211">
        <f t="shared" ca="1" si="10"/>
        <v>5.0222729234090835</v>
      </c>
      <c r="AH18" s="211">
        <f t="shared" ca="1" si="10"/>
        <v>5.1453297464943111</v>
      </c>
    </row>
    <row r="19" spans="5:34" ht="11.25" outlineLevel="1" x14ac:dyDescent="0.2">
      <c r="E19" s="843" t="s">
        <v>65</v>
      </c>
      <c r="F19" s="223"/>
      <c r="G19" s="223"/>
      <c r="H19" s="223"/>
      <c r="I19" s="287"/>
      <c r="J19" s="834">
        <v>80000</v>
      </c>
      <c r="K19" s="834">
        <v>85000</v>
      </c>
      <c r="L19" s="834">
        <v>90000</v>
      </c>
      <c r="M19" s="834">
        <v>95000</v>
      </c>
      <c r="N19" s="834">
        <v>100000</v>
      </c>
      <c r="O19" s="834">
        <v>105000</v>
      </c>
      <c r="P19" s="834">
        <v>110000</v>
      </c>
      <c r="Q19" s="834">
        <v>115000</v>
      </c>
      <c r="R19" s="834">
        <v>120000</v>
      </c>
      <c r="S19" s="834">
        <v>120000</v>
      </c>
      <c r="T19" s="211">
        <f t="shared" ref="T19:AH19" si="11">rev_Other_ST_Fees</f>
        <v>10</v>
      </c>
      <c r="U19" s="211">
        <f t="shared" ca="1" si="11"/>
        <v>10.709999999999999</v>
      </c>
      <c r="V19" s="211">
        <f t="shared" ca="1" si="11"/>
        <v>11.470409999999999</v>
      </c>
      <c r="W19" s="211">
        <f t="shared" ca="1" si="11"/>
        <v>12.284809109999999</v>
      </c>
      <c r="X19" s="211">
        <f t="shared" ca="1" si="11"/>
        <v>13.15703055681</v>
      </c>
      <c r="Y19" s="211">
        <f t="shared" ca="1" si="11"/>
        <v>14.091179726343508</v>
      </c>
      <c r="Z19" s="211">
        <f t="shared" ca="1" si="11"/>
        <v>15.091653486913897</v>
      </c>
      <c r="AA19" s="211">
        <f t="shared" ca="1" si="11"/>
        <v>16.163160884484782</v>
      </c>
      <c r="AB19" s="211">
        <f t="shared" ca="1" si="11"/>
        <v>17.310745307283202</v>
      </c>
      <c r="AC19" s="211">
        <f t="shared" ca="1" si="11"/>
        <v>18.539808224100309</v>
      </c>
      <c r="AD19" s="211">
        <f t="shared" ca="1" si="11"/>
        <v>19.85613460801143</v>
      </c>
      <c r="AE19" s="211">
        <f t="shared" ca="1" si="11"/>
        <v>21.265920165180241</v>
      </c>
      <c r="AF19" s="211">
        <f t="shared" ca="1" si="11"/>
        <v>22.775800496908037</v>
      </c>
      <c r="AG19" s="211">
        <f t="shared" ca="1" si="11"/>
        <v>24.392882332188506</v>
      </c>
      <c r="AH19" s="211">
        <f t="shared" ca="1" si="11"/>
        <v>26.124776977773887</v>
      </c>
    </row>
    <row r="20" spans="5:34" ht="11.25" outlineLevel="1" x14ac:dyDescent="0.2">
      <c r="E20" s="843" t="s">
        <v>64</v>
      </c>
      <c r="F20" s="223"/>
      <c r="G20" s="223"/>
      <c r="H20" s="223"/>
      <c r="I20" s="287" t="s">
        <v>98</v>
      </c>
      <c r="J20" s="834">
        <v>-100000</v>
      </c>
      <c r="K20" s="834">
        <v>-105000</v>
      </c>
      <c r="L20" s="834">
        <v>-110000</v>
      </c>
      <c r="M20" s="834">
        <v>-115000</v>
      </c>
      <c r="N20" s="834">
        <v>-120000</v>
      </c>
      <c r="O20" s="834">
        <v>-125000</v>
      </c>
      <c r="P20" s="834">
        <v>-130000</v>
      </c>
      <c r="Q20" s="834">
        <v>-135000</v>
      </c>
      <c r="R20" s="834">
        <v>-140000</v>
      </c>
      <c r="S20" s="834">
        <v>-140000</v>
      </c>
      <c r="T20" s="211">
        <f t="shared" ref="T20:AH20" ca="1" si="12">Return_to_Aid</f>
        <v>-169288.30023371201</v>
      </c>
      <c r="U20" s="211">
        <f t="shared" ca="1" si="12"/>
        <v>-169297.33401442869</v>
      </c>
      <c r="V20" s="211">
        <f t="shared" ca="1" si="12"/>
        <v>-169306.63955426752</v>
      </c>
      <c r="W20" s="211">
        <f t="shared" ca="1" si="12"/>
        <v>-169316.24824947925</v>
      </c>
      <c r="X20" s="211">
        <f t="shared" ca="1" si="12"/>
        <v>-169326.16927906079</v>
      </c>
      <c r="Y20" s="211">
        <f t="shared" ca="1" si="12"/>
        <v>-169334.64323794641</v>
      </c>
      <c r="Z20" s="211">
        <f t="shared" ca="1" si="12"/>
        <v>-169343.19960892419</v>
      </c>
      <c r="AA20" s="211">
        <f t="shared" ca="1" si="12"/>
        <v>-169354.65564036919</v>
      </c>
      <c r="AB20" s="211">
        <f t="shared" ca="1" si="12"/>
        <v>-169366.97464178747</v>
      </c>
      <c r="AC20" s="211">
        <f t="shared" ca="1" si="12"/>
        <v>-169380.28010700902</v>
      </c>
      <c r="AD20" s="211">
        <f t="shared" ca="1" si="12"/>
        <v>-169394.71476297197</v>
      </c>
      <c r="AE20" s="211">
        <f t="shared" ca="1" si="12"/>
        <v>-169410.44428332502</v>
      </c>
      <c r="AF20" s="211">
        <f t="shared" ca="1" si="12"/>
        <v>-169427.66172540991</v>
      </c>
      <c r="AG20" s="211">
        <f t="shared" ca="1" si="12"/>
        <v>-169446.59285141449</v>
      </c>
      <c r="AH20" s="211">
        <f t="shared" ca="1" si="12"/>
        <v>-169467.50253105309</v>
      </c>
    </row>
    <row r="21" spans="5:34" ht="3" customHeight="1" outlineLevel="1" x14ac:dyDescent="0.2">
      <c r="E21" s="222"/>
      <c r="F21" s="284"/>
      <c r="G21" s="284"/>
      <c r="H21" s="286"/>
      <c r="I21" s="287" t="s">
        <v>98</v>
      </c>
      <c r="J21" s="288"/>
      <c r="K21" s="288"/>
      <c r="L21" s="288"/>
      <c r="M21" s="293"/>
      <c r="N21" s="293"/>
      <c r="O21" s="293"/>
      <c r="P21" s="293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</row>
    <row r="22" spans="5:34" ht="11.25" x14ac:dyDescent="0.2">
      <c r="E22" s="222" t="s">
        <v>46</v>
      </c>
      <c r="F22" s="284"/>
      <c r="G22" s="284"/>
      <c r="H22" s="223"/>
      <c r="I22" s="287" t="s">
        <v>98</v>
      </c>
      <c r="J22" s="289">
        <f t="shared" ref="J22:Q22" si="13">SUM(J24:J27)</f>
        <v>320000</v>
      </c>
      <c r="K22" s="289">
        <f t="shared" si="13"/>
        <v>340000</v>
      </c>
      <c r="L22" s="289">
        <f t="shared" si="13"/>
        <v>360000</v>
      </c>
      <c r="M22" s="289">
        <f t="shared" si="13"/>
        <v>380000</v>
      </c>
      <c r="N22" s="289">
        <f t="shared" si="13"/>
        <v>400000</v>
      </c>
      <c r="O22" s="289">
        <f t="shared" si="13"/>
        <v>420000</v>
      </c>
      <c r="P22" s="289">
        <f t="shared" si="13"/>
        <v>440000</v>
      </c>
      <c r="Q22" s="211">
        <f t="shared" si="13"/>
        <v>460000</v>
      </c>
      <c r="R22" s="211">
        <f t="shared" ref="R22:T22" si="14">SUM(R24:R27)</f>
        <v>480000</v>
      </c>
      <c r="S22" s="211">
        <f t="shared" si="14"/>
        <v>480000</v>
      </c>
      <c r="T22" s="211">
        <f t="shared" ca="1" si="14"/>
        <v>492000</v>
      </c>
      <c r="U22" s="211">
        <f t="shared" ref="U22:AH22" ca="1" si="15">SUM(U24:U27)</f>
        <v>504299.99999999988</v>
      </c>
      <c r="V22" s="211">
        <f t="shared" ca="1" si="15"/>
        <v>516907.49999999977</v>
      </c>
      <c r="W22" s="211">
        <f t="shared" ca="1" si="15"/>
        <v>529830.18749999977</v>
      </c>
      <c r="X22" s="211">
        <f t="shared" ca="1" si="15"/>
        <v>543075.94218749972</v>
      </c>
      <c r="Y22" s="211">
        <f t="shared" ca="1" si="15"/>
        <v>556652.84074218723</v>
      </c>
      <c r="Z22" s="211">
        <f t="shared" ca="1" si="15"/>
        <v>570569.16176074184</v>
      </c>
      <c r="AA22" s="211">
        <f t="shared" ca="1" si="15"/>
        <v>584833.39080476027</v>
      </c>
      <c r="AB22" s="211">
        <f t="shared" ca="1" si="15"/>
        <v>599454.22557487921</v>
      </c>
      <c r="AC22" s="211">
        <f t="shared" ca="1" si="15"/>
        <v>614440.58121425123</v>
      </c>
      <c r="AD22" s="211">
        <f t="shared" ca="1" si="15"/>
        <v>629801.5957446075</v>
      </c>
      <c r="AE22" s="211">
        <f t="shared" ca="1" si="15"/>
        <v>645546.63563822256</v>
      </c>
      <c r="AF22" s="211">
        <f t="shared" ca="1" si="15"/>
        <v>661685.30152917805</v>
      </c>
      <c r="AG22" s="211">
        <f t="shared" ca="1" si="15"/>
        <v>678227.43406740751</v>
      </c>
      <c r="AH22" s="211">
        <f t="shared" ca="1" si="15"/>
        <v>695183.11991909263</v>
      </c>
    </row>
    <row r="23" spans="5:34" ht="3" customHeight="1" x14ac:dyDescent="0.2">
      <c r="E23" s="222"/>
      <c r="F23" s="284"/>
      <c r="G23" s="284"/>
      <c r="H23" s="223"/>
      <c r="I23" s="287"/>
      <c r="J23" s="289"/>
      <c r="K23" s="289"/>
      <c r="L23" s="289"/>
      <c r="M23" s="289"/>
      <c r="N23" s="289"/>
      <c r="O23" s="289"/>
      <c r="P23" s="289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</row>
    <row r="24" spans="5:34" ht="11.25" outlineLevel="1" x14ac:dyDescent="0.2">
      <c r="E24" s="224" t="s">
        <v>166</v>
      </c>
      <c r="F24" s="284"/>
      <c r="G24" s="284"/>
      <c r="H24" s="223"/>
      <c r="I24" s="287"/>
      <c r="J24" s="834">
        <v>180000</v>
      </c>
      <c r="K24" s="834">
        <v>185000</v>
      </c>
      <c r="L24" s="834">
        <v>190000</v>
      </c>
      <c r="M24" s="834">
        <v>195000</v>
      </c>
      <c r="N24" s="834">
        <v>200000</v>
      </c>
      <c r="O24" s="834">
        <v>205000</v>
      </c>
      <c r="P24" s="834">
        <v>210000</v>
      </c>
      <c r="Q24" s="834">
        <v>215000</v>
      </c>
      <c r="R24" s="834">
        <v>220000</v>
      </c>
      <c r="S24" s="834">
        <v>220000</v>
      </c>
      <c r="T24" s="211">
        <f t="shared" ref="T24:AH24" ca="1" si="16">Prior_Year*(1+gr_Federal+gr_Inflation)</f>
        <v>225499.99999999997</v>
      </c>
      <c r="U24" s="211">
        <f t="shared" ca="1" si="16"/>
        <v>231137.49999999994</v>
      </c>
      <c r="V24" s="211">
        <f t="shared" ca="1" si="16"/>
        <v>236915.93749999991</v>
      </c>
      <c r="W24" s="211">
        <f t="shared" ca="1" si="16"/>
        <v>242838.83593749988</v>
      </c>
      <c r="X24" s="211">
        <f t="shared" ca="1" si="16"/>
        <v>248909.80683593737</v>
      </c>
      <c r="Y24" s="211">
        <f t="shared" ca="1" si="16"/>
        <v>255132.55200683579</v>
      </c>
      <c r="Z24" s="211">
        <f t="shared" ca="1" si="16"/>
        <v>261510.86580700666</v>
      </c>
      <c r="AA24" s="211">
        <f t="shared" ca="1" si="16"/>
        <v>268048.63745218178</v>
      </c>
      <c r="AB24" s="211">
        <f t="shared" ca="1" si="16"/>
        <v>274749.85338848631</v>
      </c>
      <c r="AC24" s="211">
        <f t="shared" ca="1" si="16"/>
        <v>281618.59972319845</v>
      </c>
      <c r="AD24" s="211">
        <f t="shared" ca="1" si="16"/>
        <v>288659.0647162784</v>
      </c>
      <c r="AE24" s="211">
        <f t="shared" ca="1" si="16"/>
        <v>295875.54133418534</v>
      </c>
      <c r="AF24" s="211">
        <f t="shared" ca="1" si="16"/>
        <v>303272.42986753996</v>
      </c>
      <c r="AG24" s="211">
        <f t="shared" ca="1" si="16"/>
        <v>310854.24061422842</v>
      </c>
      <c r="AH24" s="211">
        <f t="shared" ca="1" si="16"/>
        <v>318625.59662958409</v>
      </c>
    </row>
    <row r="25" spans="5:34" ht="11.25" outlineLevel="1" x14ac:dyDescent="0.2">
      <c r="E25" s="224" t="s">
        <v>167</v>
      </c>
      <c r="F25" s="284"/>
      <c r="G25" s="284"/>
      <c r="H25" s="223"/>
      <c r="I25" s="287"/>
      <c r="J25" s="834">
        <v>30000</v>
      </c>
      <c r="K25" s="834">
        <v>35000</v>
      </c>
      <c r="L25" s="834">
        <v>40000</v>
      </c>
      <c r="M25" s="834">
        <v>45000</v>
      </c>
      <c r="N25" s="834">
        <v>50000</v>
      </c>
      <c r="O25" s="834">
        <v>55000</v>
      </c>
      <c r="P25" s="834">
        <v>60000</v>
      </c>
      <c r="Q25" s="834">
        <v>65000</v>
      </c>
      <c r="R25" s="834">
        <v>70000</v>
      </c>
      <c r="S25" s="834">
        <v>70000</v>
      </c>
      <c r="T25" s="211">
        <f t="shared" ref="T25:AH27" ca="1" si="17">Prior_Year*(1+gr_Grants+gr_Inflation)</f>
        <v>71750</v>
      </c>
      <c r="U25" s="211">
        <f t="shared" ca="1" si="17"/>
        <v>73543.75</v>
      </c>
      <c r="V25" s="211">
        <f t="shared" ca="1" si="17"/>
        <v>75382.34375</v>
      </c>
      <c r="W25" s="211">
        <f t="shared" ca="1" si="17"/>
        <v>77266.90234375</v>
      </c>
      <c r="X25" s="211">
        <f t="shared" ca="1" si="17"/>
        <v>79198.574902343738</v>
      </c>
      <c r="Y25" s="211">
        <f t="shared" ca="1" si="17"/>
        <v>81178.53927490233</v>
      </c>
      <c r="Z25" s="211">
        <f t="shared" ca="1" si="17"/>
        <v>83208.002756774877</v>
      </c>
      <c r="AA25" s="211">
        <f t="shared" ca="1" si="17"/>
        <v>85288.202825694243</v>
      </c>
      <c r="AB25" s="211">
        <f t="shared" ca="1" si="17"/>
        <v>87420.40789633659</v>
      </c>
      <c r="AC25" s="211">
        <f t="shared" ca="1" si="17"/>
        <v>89605.918093745</v>
      </c>
      <c r="AD25" s="211">
        <f t="shared" ca="1" si="17"/>
        <v>91846.066046088614</v>
      </c>
      <c r="AE25" s="211">
        <f t="shared" ca="1" si="17"/>
        <v>94142.21769724082</v>
      </c>
      <c r="AF25" s="211">
        <f t="shared" ca="1" si="17"/>
        <v>96495.77313967183</v>
      </c>
      <c r="AG25" s="211">
        <f t="shared" ca="1" si="17"/>
        <v>98908.167468163621</v>
      </c>
      <c r="AH25" s="211">
        <f t="shared" ca="1" si="17"/>
        <v>101380.8716548677</v>
      </c>
    </row>
    <row r="26" spans="5:34" ht="11.25" outlineLevel="1" x14ac:dyDescent="0.2">
      <c r="E26" s="224" t="s">
        <v>169</v>
      </c>
      <c r="F26" s="284"/>
      <c r="G26" s="284"/>
      <c r="H26" s="223"/>
      <c r="I26" s="287"/>
      <c r="J26" s="834">
        <v>60000</v>
      </c>
      <c r="K26" s="834">
        <v>65000</v>
      </c>
      <c r="L26" s="834">
        <v>70000</v>
      </c>
      <c r="M26" s="834">
        <v>75000</v>
      </c>
      <c r="N26" s="834">
        <v>80000</v>
      </c>
      <c r="O26" s="834">
        <v>85000</v>
      </c>
      <c r="P26" s="834">
        <v>90000</v>
      </c>
      <c r="Q26" s="834">
        <v>95000</v>
      </c>
      <c r="R26" s="834">
        <v>100000</v>
      </c>
      <c r="S26" s="834">
        <v>100000</v>
      </c>
      <c r="T26" s="211">
        <f t="shared" ca="1" si="17"/>
        <v>102499.99999999999</v>
      </c>
      <c r="U26" s="211">
        <f t="shared" ca="1" si="17"/>
        <v>105062.49999999997</v>
      </c>
      <c r="V26" s="211">
        <f t="shared" ca="1" si="17"/>
        <v>107689.06249999996</v>
      </c>
      <c r="W26" s="211">
        <f t="shared" ca="1" si="17"/>
        <v>110381.28906249994</v>
      </c>
      <c r="X26" s="211">
        <f t="shared" ca="1" si="17"/>
        <v>113140.82128906243</v>
      </c>
      <c r="Y26" s="211">
        <f t="shared" ca="1" si="17"/>
        <v>115969.34182128898</v>
      </c>
      <c r="Z26" s="211">
        <f t="shared" ca="1" si="17"/>
        <v>118868.5753668212</v>
      </c>
      <c r="AA26" s="211">
        <f t="shared" ca="1" si="17"/>
        <v>121840.28975099172</v>
      </c>
      <c r="AB26" s="211">
        <f t="shared" ca="1" si="17"/>
        <v>124886.29699476651</v>
      </c>
      <c r="AC26" s="211">
        <f t="shared" ca="1" si="17"/>
        <v>128008.45441963566</v>
      </c>
      <c r="AD26" s="211">
        <f t="shared" ca="1" si="17"/>
        <v>131208.66578012652</v>
      </c>
      <c r="AE26" s="211">
        <f t="shared" ca="1" si="17"/>
        <v>134488.88242462967</v>
      </c>
      <c r="AF26" s="211">
        <f t="shared" ca="1" si="17"/>
        <v>137851.10448524539</v>
      </c>
      <c r="AG26" s="211">
        <f t="shared" ca="1" si="17"/>
        <v>141297.38209737651</v>
      </c>
      <c r="AH26" s="211">
        <f t="shared" ca="1" si="17"/>
        <v>144829.81664981091</v>
      </c>
    </row>
    <row r="27" spans="5:34" ht="11.25" outlineLevel="1" x14ac:dyDescent="0.2">
      <c r="E27" s="224" t="s">
        <v>168</v>
      </c>
      <c r="F27" s="284"/>
      <c r="G27" s="284"/>
      <c r="H27" s="223"/>
      <c r="I27" s="287"/>
      <c r="J27" s="834">
        <v>50000</v>
      </c>
      <c r="K27" s="834">
        <v>55000</v>
      </c>
      <c r="L27" s="834">
        <v>60000</v>
      </c>
      <c r="M27" s="834">
        <v>65000</v>
      </c>
      <c r="N27" s="834">
        <v>70000</v>
      </c>
      <c r="O27" s="834">
        <v>75000</v>
      </c>
      <c r="P27" s="834">
        <v>80000</v>
      </c>
      <c r="Q27" s="834">
        <v>85000</v>
      </c>
      <c r="R27" s="834">
        <v>90000</v>
      </c>
      <c r="S27" s="834">
        <v>90000</v>
      </c>
      <c r="T27" s="211">
        <f t="shared" ca="1" si="17"/>
        <v>92249.999999999985</v>
      </c>
      <c r="U27" s="211">
        <f t="shared" ca="1" si="17"/>
        <v>94556.249999999971</v>
      </c>
      <c r="V27" s="211">
        <f t="shared" ca="1" si="17"/>
        <v>96920.156249999956</v>
      </c>
      <c r="W27" s="211">
        <f t="shared" ca="1" si="17"/>
        <v>99343.160156249942</v>
      </c>
      <c r="X27" s="211">
        <f t="shared" ca="1" si="17"/>
        <v>101826.73916015618</v>
      </c>
      <c r="Y27" s="211">
        <f t="shared" ca="1" si="17"/>
        <v>104372.40763916008</v>
      </c>
      <c r="Z27" s="211">
        <f t="shared" ca="1" si="17"/>
        <v>106981.71783013908</v>
      </c>
      <c r="AA27" s="211">
        <f t="shared" ca="1" si="17"/>
        <v>109656.26077589254</v>
      </c>
      <c r="AB27" s="211">
        <f t="shared" ca="1" si="17"/>
        <v>112397.66729528985</v>
      </c>
      <c r="AC27" s="211">
        <f t="shared" ca="1" si="17"/>
        <v>115207.60897767209</v>
      </c>
      <c r="AD27" s="211">
        <f t="shared" ca="1" si="17"/>
        <v>118087.79920211388</v>
      </c>
      <c r="AE27" s="211">
        <f t="shared" ca="1" si="17"/>
        <v>121039.99418216672</v>
      </c>
      <c r="AF27" s="211">
        <f t="shared" ca="1" si="17"/>
        <v>124065.99403672088</v>
      </c>
      <c r="AG27" s="211">
        <f t="shared" ca="1" si="17"/>
        <v>127167.64388763889</v>
      </c>
      <c r="AH27" s="211">
        <f t="shared" ca="1" si="17"/>
        <v>130346.83498482985</v>
      </c>
    </row>
    <row r="28" spans="5:34" ht="3" customHeight="1" outlineLevel="1" x14ac:dyDescent="0.2">
      <c r="E28" s="224"/>
      <c r="F28" s="284"/>
      <c r="G28" s="284"/>
      <c r="H28" s="223"/>
      <c r="I28" s="287"/>
      <c r="J28" s="289"/>
      <c r="K28" s="289"/>
      <c r="L28" s="289"/>
      <c r="M28" s="289"/>
      <c r="N28" s="289"/>
      <c r="O28" s="289"/>
      <c r="P28" s="289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</row>
    <row r="29" spans="5:34" ht="11.25" x14ac:dyDescent="0.2">
      <c r="E29" s="222" t="s">
        <v>23</v>
      </c>
      <c r="F29" s="284"/>
      <c r="G29" s="284"/>
      <c r="H29" s="223"/>
      <c r="I29" s="287" t="s">
        <v>98</v>
      </c>
      <c r="J29" s="834">
        <v>50000</v>
      </c>
      <c r="K29" s="834">
        <v>55000</v>
      </c>
      <c r="L29" s="834">
        <v>60000</v>
      </c>
      <c r="M29" s="834">
        <v>65000</v>
      </c>
      <c r="N29" s="834">
        <v>70000</v>
      </c>
      <c r="O29" s="834">
        <v>75000</v>
      </c>
      <c r="P29" s="834">
        <v>80000</v>
      </c>
      <c r="Q29" s="834">
        <v>85000</v>
      </c>
      <c r="R29" s="834">
        <v>90000</v>
      </c>
      <c r="S29" s="834">
        <v>90000</v>
      </c>
      <c r="T29" s="211">
        <f t="shared" ref="T29:AH29" ca="1" si="18">Prior_Year*(1+gr_Educational_Activities+gr_Inflation)</f>
        <v>94950</v>
      </c>
      <c r="U29" s="211">
        <f t="shared" ca="1" si="18"/>
        <v>100172.25</v>
      </c>
      <c r="V29" s="211">
        <f t="shared" ca="1" si="18"/>
        <v>105681.72374999999</v>
      </c>
      <c r="W29" s="211">
        <f t="shared" ca="1" si="18"/>
        <v>111494.21855624998</v>
      </c>
      <c r="X29" s="211">
        <f t="shared" ca="1" si="18"/>
        <v>117626.40057684372</v>
      </c>
      <c r="Y29" s="211">
        <f t="shared" ca="1" si="18"/>
        <v>124095.85260857012</v>
      </c>
      <c r="Z29" s="211">
        <f t="shared" ca="1" si="18"/>
        <v>130921.12450204146</v>
      </c>
      <c r="AA29" s="211">
        <f t="shared" ca="1" si="18"/>
        <v>138121.78634965373</v>
      </c>
      <c r="AB29" s="211">
        <f t="shared" ca="1" si="18"/>
        <v>145718.48459888468</v>
      </c>
      <c r="AC29" s="211">
        <f t="shared" ca="1" si="18"/>
        <v>153733.00125182333</v>
      </c>
      <c r="AD29" s="211">
        <f t="shared" ca="1" si="18"/>
        <v>162188.31632067359</v>
      </c>
      <c r="AE29" s="211">
        <f t="shared" ca="1" si="18"/>
        <v>171108.67371831063</v>
      </c>
      <c r="AF29" s="211">
        <f t="shared" ca="1" si="18"/>
        <v>180519.65077281769</v>
      </c>
      <c r="AG29" s="211">
        <f t="shared" ca="1" si="18"/>
        <v>190448.23156532267</v>
      </c>
      <c r="AH29" s="211">
        <f t="shared" ca="1" si="18"/>
        <v>200922.88430141541</v>
      </c>
    </row>
    <row r="30" spans="5:34" ht="11.25" x14ac:dyDescent="0.2">
      <c r="E30" s="222" t="s">
        <v>22</v>
      </c>
      <c r="F30" s="284"/>
      <c r="G30" s="284"/>
      <c r="H30" s="294"/>
      <c r="I30" s="287"/>
      <c r="J30" s="834">
        <v>60000</v>
      </c>
      <c r="K30" s="834">
        <v>65000</v>
      </c>
      <c r="L30" s="834">
        <v>70000</v>
      </c>
      <c r="M30" s="834">
        <v>75000</v>
      </c>
      <c r="N30" s="834">
        <v>80000</v>
      </c>
      <c r="O30" s="834">
        <v>85000</v>
      </c>
      <c r="P30" s="834">
        <v>90000</v>
      </c>
      <c r="Q30" s="834">
        <v>95000</v>
      </c>
      <c r="R30" s="834">
        <v>100000</v>
      </c>
      <c r="S30" s="834">
        <v>100000</v>
      </c>
      <c r="T30" s="211">
        <f t="shared" ref="T30:AH30" ca="1" si="19">Prior_Year*(1+gr_Auxiliary_Enterprises+gr_Inflation)</f>
        <v>102499.99999999999</v>
      </c>
      <c r="U30" s="211">
        <f t="shared" ca="1" si="19"/>
        <v>105062.49999999997</v>
      </c>
      <c r="V30" s="211">
        <f t="shared" ca="1" si="19"/>
        <v>107689.06249999996</v>
      </c>
      <c r="W30" s="211">
        <f t="shared" ca="1" si="19"/>
        <v>110381.28906249994</v>
      </c>
      <c r="X30" s="211">
        <f t="shared" ca="1" si="19"/>
        <v>113140.82128906243</v>
      </c>
      <c r="Y30" s="211">
        <f t="shared" ca="1" si="19"/>
        <v>115969.34182128898</v>
      </c>
      <c r="Z30" s="211">
        <f t="shared" ca="1" si="19"/>
        <v>118868.5753668212</v>
      </c>
      <c r="AA30" s="211">
        <f t="shared" ca="1" si="19"/>
        <v>121840.28975099172</v>
      </c>
      <c r="AB30" s="211">
        <f t="shared" ca="1" si="19"/>
        <v>124886.29699476651</v>
      </c>
      <c r="AC30" s="211">
        <f t="shared" ca="1" si="19"/>
        <v>128008.45441963566</v>
      </c>
      <c r="AD30" s="211">
        <f t="shared" ca="1" si="19"/>
        <v>131208.66578012652</v>
      </c>
      <c r="AE30" s="211">
        <f t="shared" ca="1" si="19"/>
        <v>134488.88242462967</v>
      </c>
      <c r="AF30" s="211">
        <f t="shared" ca="1" si="19"/>
        <v>137851.10448524539</v>
      </c>
      <c r="AG30" s="211">
        <f t="shared" ca="1" si="19"/>
        <v>141297.38209737651</v>
      </c>
      <c r="AH30" s="211">
        <f t="shared" ca="1" si="19"/>
        <v>144829.81664981091</v>
      </c>
    </row>
    <row r="31" spans="5:34" ht="3" customHeight="1" x14ac:dyDescent="0.2">
      <c r="E31" s="222"/>
      <c r="F31" s="284"/>
      <c r="G31" s="284"/>
      <c r="H31" s="294"/>
      <c r="I31" s="287"/>
      <c r="J31" s="289"/>
      <c r="K31" s="289"/>
      <c r="L31" s="289"/>
      <c r="M31" s="289"/>
      <c r="N31" s="289"/>
      <c r="O31" s="289"/>
      <c r="P31" s="289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</row>
    <row r="32" spans="5:34" ht="11.25" hidden="1" x14ac:dyDescent="0.2">
      <c r="E32" s="296" t="s">
        <v>49</v>
      </c>
      <c r="F32" s="297"/>
      <c r="G32" s="297"/>
      <c r="H32" s="298"/>
      <c r="I32" s="299"/>
      <c r="J32" s="300"/>
      <c r="K32" s="300"/>
      <c r="L32" s="300"/>
      <c r="M32" s="300"/>
      <c r="N32" s="300">
        <v>118799.17587000001</v>
      </c>
      <c r="O32" s="300"/>
      <c r="P32" s="300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  <c r="AF32" s="301"/>
      <c r="AG32" s="301"/>
      <c r="AH32" s="301"/>
    </row>
    <row r="33" spans="5:34" ht="11.25" hidden="1" x14ac:dyDescent="0.2">
      <c r="E33" s="296" t="s">
        <v>45</v>
      </c>
      <c r="F33" s="297"/>
      <c r="G33" s="297"/>
      <c r="H33" s="298"/>
      <c r="I33" s="299"/>
      <c r="J33" s="300"/>
      <c r="K33" s="300"/>
      <c r="L33" s="300"/>
      <c r="M33" s="300"/>
      <c r="N33" s="300">
        <v>36682.103809999993</v>
      </c>
      <c r="O33" s="300"/>
      <c r="P33" s="300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  <c r="AF33" s="301"/>
      <c r="AG33" s="301"/>
      <c r="AH33" s="301"/>
    </row>
    <row r="34" spans="5:34" ht="11.25" hidden="1" x14ac:dyDescent="0.2">
      <c r="E34" s="296" t="s">
        <v>50</v>
      </c>
      <c r="F34" s="297"/>
      <c r="G34" s="297"/>
      <c r="H34" s="298"/>
      <c r="I34" s="299"/>
      <c r="J34" s="300"/>
      <c r="K34" s="300"/>
      <c r="L34" s="300"/>
      <c r="M34" s="300"/>
      <c r="N34" s="300">
        <v>8076.0969099999993</v>
      </c>
      <c r="O34" s="300"/>
      <c r="P34" s="300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  <c r="AF34" s="301"/>
      <c r="AG34" s="301"/>
      <c r="AH34" s="301"/>
    </row>
    <row r="35" spans="5:34" ht="11.25" hidden="1" x14ac:dyDescent="0.2">
      <c r="E35" s="296" t="s">
        <v>122</v>
      </c>
      <c r="F35" s="297"/>
      <c r="G35" s="297"/>
      <c r="H35" s="298"/>
      <c r="I35" s="299"/>
      <c r="J35" s="300"/>
      <c r="K35" s="300"/>
      <c r="L35" s="300"/>
      <c r="M35" s="300"/>
      <c r="N35" s="300">
        <v>19413.863799999999</v>
      </c>
      <c r="O35" s="300"/>
      <c r="P35" s="300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  <c r="AF35" s="301"/>
      <c r="AG35" s="301"/>
      <c r="AH35" s="301"/>
    </row>
    <row r="36" spans="5:34" ht="9.9499999999999993" hidden="1" customHeight="1" x14ac:dyDescent="0.2">
      <c r="E36" s="296" t="s">
        <v>123</v>
      </c>
      <c r="F36" s="297"/>
      <c r="G36" s="297"/>
      <c r="H36" s="298"/>
      <c r="I36" s="299"/>
      <c r="J36" s="300"/>
      <c r="K36" s="300"/>
      <c r="L36" s="300"/>
      <c r="M36" s="300"/>
      <c r="N36" s="300">
        <v>-33014.841999999997</v>
      </c>
      <c r="O36" s="300"/>
      <c r="P36" s="300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  <c r="AF36" s="301"/>
      <c r="AG36" s="301"/>
      <c r="AH36" s="301"/>
    </row>
    <row r="37" spans="5:34" ht="3" customHeight="1" x14ac:dyDescent="0.2">
      <c r="E37" s="224"/>
      <c r="F37" s="284"/>
      <c r="G37" s="284"/>
      <c r="H37" s="294"/>
      <c r="I37" s="287"/>
      <c r="J37" s="289"/>
      <c r="K37" s="289"/>
      <c r="L37" s="289"/>
      <c r="M37" s="289"/>
      <c r="N37" s="289"/>
      <c r="O37" s="289"/>
      <c r="P37" s="289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E37" s="295"/>
      <c r="AF37" s="295"/>
      <c r="AG37" s="295"/>
      <c r="AH37" s="295"/>
    </row>
    <row r="38" spans="5:34" ht="11.25" x14ac:dyDescent="0.2">
      <c r="E38" s="222" t="s">
        <v>21</v>
      </c>
      <c r="F38" s="284"/>
      <c r="G38" s="284"/>
      <c r="H38" s="286"/>
      <c r="I38" s="287"/>
      <c r="J38" s="834">
        <v>60000</v>
      </c>
      <c r="K38" s="834">
        <v>65000</v>
      </c>
      <c r="L38" s="834">
        <v>70000</v>
      </c>
      <c r="M38" s="834">
        <v>75000</v>
      </c>
      <c r="N38" s="834">
        <v>80000</v>
      </c>
      <c r="O38" s="834">
        <v>85000</v>
      </c>
      <c r="P38" s="834">
        <v>90000</v>
      </c>
      <c r="Q38" s="834">
        <v>95000</v>
      </c>
      <c r="R38" s="834">
        <v>100000</v>
      </c>
      <c r="S38" s="834">
        <v>100000</v>
      </c>
      <c r="T38" s="211">
        <f t="shared" ref="T38:AH38" ca="1" si="20">Prior_Year*(1+gr_Other_Revenues+gr_Inflation)</f>
        <v>105500</v>
      </c>
      <c r="U38" s="211">
        <f t="shared" ca="1" si="20"/>
        <v>111302.5</v>
      </c>
      <c r="V38" s="211">
        <f t="shared" ca="1" si="20"/>
        <v>117424.1375</v>
      </c>
      <c r="W38" s="211">
        <f t="shared" ca="1" si="20"/>
        <v>123882.46506249999</v>
      </c>
      <c r="X38" s="211">
        <f t="shared" ca="1" si="20"/>
        <v>130696.00064093749</v>
      </c>
      <c r="Y38" s="211">
        <f t="shared" ca="1" si="20"/>
        <v>137884.28067618905</v>
      </c>
      <c r="Z38" s="211">
        <f t="shared" ca="1" si="20"/>
        <v>145467.91611337944</v>
      </c>
      <c r="AA38" s="211">
        <f t="shared" ca="1" si="20"/>
        <v>153468.65149961531</v>
      </c>
      <c r="AB38" s="211">
        <f t="shared" ca="1" si="20"/>
        <v>161909.42733209414</v>
      </c>
      <c r="AC38" s="211">
        <f t="shared" ca="1" si="20"/>
        <v>170814.44583535931</v>
      </c>
      <c r="AD38" s="211">
        <f t="shared" ca="1" si="20"/>
        <v>180209.24035630407</v>
      </c>
      <c r="AE38" s="211">
        <f t="shared" ca="1" si="20"/>
        <v>190120.7485759008</v>
      </c>
      <c r="AF38" s="211">
        <f t="shared" ca="1" si="20"/>
        <v>200577.38974757533</v>
      </c>
      <c r="AG38" s="211">
        <f t="shared" ca="1" si="20"/>
        <v>211609.14618369198</v>
      </c>
      <c r="AH38" s="211">
        <f t="shared" ca="1" si="20"/>
        <v>223247.64922379502</v>
      </c>
    </row>
    <row r="39" spans="5:34" ht="3" customHeight="1" x14ac:dyDescent="0.2">
      <c r="E39" s="284"/>
      <c r="F39" s="284"/>
      <c r="G39" s="284"/>
      <c r="H39" s="284"/>
      <c r="I39" s="287"/>
      <c r="J39" s="293"/>
      <c r="K39" s="293"/>
      <c r="L39" s="293"/>
      <c r="M39" s="293"/>
      <c r="N39" s="293"/>
      <c r="O39" s="293"/>
      <c r="P39" s="293"/>
      <c r="Q39" s="284"/>
      <c r="R39" s="284"/>
      <c r="S39" s="284"/>
      <c r="T39" s="284"/>
      <c r="U39" s="284"/>
      <c r="V39" s="284"/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4"/>
      <c r="AH39" s="284"/>
    </row>
    <row r="40" spans="5:34" ht="11.25" x14ac:dyDescent="0.2">
      <c r="E40" s="302" t="s">
        <v>89</v>
      </c>
      <c r="F40" s="303"/>
      <c r="G40" s="303"/>
      <c r="H40" s="303"/>
      <c r="I40" s="304"/>
      <c r="J40" s="305">
        <f>J13+J22+J29+J30+J38</f>
        <v>790000</v>
      </c>
      <c r="K40" s="305">
        <f>K13+K22+K29+K30+K38</f>
        <v>845000</v>
      </c>
      <c r="L40" s="305">
        <f>L13+L22+L29+L30+L38</f>
        <v>900000</v>
      </c>
      <c r="M40" s="305">
        <f t="shared" ref="M40:AH40" si="21">rev_Student_tuition_fees_net+rev_Grants_and_Contracts_net+rev_Educational_Activities+rev_Auxiliary_Enterprises+rev_Other_Operating</f>
        <v>955000</v>
      </c>
      <c r="N40" s="305">
        <f t="shared" si="21"/>
        <v>1010000</v>
      </c>
      <c r="O40" s="305">
        <f t="shared" si="21"/>
        <v>1065000</v>
      </c>
      <c r="P40" s="305">
        <f>P38+P30+P29+P22+P13</f>
        <v>1120000</v>
      </c>
      <c r="Q40" s="306">
        <f t="shared" si="21"/>
        <v>1175000</v>
      </c>
      <c r="R40" s="306">
        <f t="shared" si="21"/>
        <v>1230000</v>
      </c>
      <c r="S40" s="306">
        <f t="shared" si="21"/>
        <v>1230000</v>
      </c>
      <c r="T40" s="306">
        <f t="shared" ca="1" si="21"/>
        <v>625960.56219999841</v>
      </c>
      <c r="U40" s="306">
        <f t="shared" ca="1" si="21"/>
        <v>651867.54483654618</v>
      </c>
      <c r="V40" s="306">
        <f t="shared" ca="1" si="21"/>
        <v>678753.15267737745</v>
      </c>
      <c r="W40" s="306">
        <f t="shared" ca="1" si="21"/>
        <v>706660.00388796697</v>
      </c>
      <c r="X40" s="306">
        <f t="shared" ca="1" si="21"/>
        <v>735632.82636589441</v>
      </c>
      <c r="Y40" s="306">
        <f t="shared" ca="1" si="21"/>
        <v>765714.98427531705</v>
      </c>
      <c r="Z40" s="306">
        <f t="shared" ca="1" si="21"/>
        <v>796958.70539292437</v>
      </c>
      <c r="AA40" s="306">
        <f t="shared" ca="1" si="21"/>
        <v>829421.19726942573</v>
      </c>
      <c r="AB40" s="306">
        <f t="shared" ca="1" si="21"/>
        <v>863152.48855633358</v>
      </c>
      <c r="AC40" s="306">
        <f t="shared" ca="1" si="21"/>
        <v>898209.58866129618</v>
      </c>
      <c r="AD40" s="306">
        <f t="shared" ca="1" si="21"/>
        <v>934652.3442902317</v>
      </c>
      <c r="AE40" s="306">
        <f t="shared" ca="1" si="21"/>
        <v>972543.59273689857</v>
      </c>
      <c r="AF40" s="306">
        <f t="shared" ca="1" si="21"/>
        <v>1011949.3244401047</v>
      </c>
      <c r="AG40" s="306">
        <f t="shared" ca="1" si="21"/>
        <v>1052938.855555265</v>
      </c>
      <c r="AH40" s="306">
        <f t="shared" ca="1" si="21"/>
        <v>1095585.011383414</v>
      </c>
    </row>
    <row r="41" spans="5:34" ht="11.25" x14ac:dyDescent="0.2">
      <c r="E41" s="284"/>
      <c r="F41" s="284"/>
      <c r="G41" s="284"/>
      <c r="H41" s="284"/>
      <c r="I41" s="287"/>
      <c r="J41" s="293"/>
      <c r="K41" s="293"/>
      <c r="L41" s="293"/>
      <c r="M41" s="293"/>
      <c r="N41" s="293"/>
      <c r="O41" s="293"/>
      <c r="P41" s="293"/>
      <c r="Q41" s="284"/>
      <c r="R41" s="284"/>
      <c r="S41" s="635"/>
      <c r="T41" s="635"/>
      <c r="U41" s="635"/>
      <c r="V41" s="635"/>
      <c r="W41" s="635"/>
      <c r="X41" s="635"/>
      <c r="Y41" s="293"/>
      <c r="Z41" s="293"/>
      <c r="AA41" s="284"/>
      <c r="AB41" s="284"/>
      <c r="AC41" s="635"/>
      <c r="AD41" s="635"/>
      <c r="AE41" s="635"/>
      <c r="AF41" s="635"/>
      <c r="AG41" s="635"/>
      <c r="AH41" s="635"/>
    </row>
    <row r="42" spans="5:34" ht="11.25" x14ac:dyDescent="0.2">
      <c r="E42" s="285" t="s">
        <v>17</v>
      </c>
      <c r="F42" s="284"/>
      <c r="G42" s="284"/>
      <c r="H42" s="284"/>
      <c r="I42" s="287"/>
      <c r="J42" s="293"/>
      <c r="K42" s="293"/>
      <c r="L42" s="293"/>
      <c r="M42" s="288"/>
      <c r="N42" s="288"/>
      <c r="O42" s="288"/>
      <c r="P42" s="288"/>
      <c r="Q42" s="291"/>
      <c r="R42" s="291"/>
      <c r="S42" s="291"/>
      <c r="T42" s="211"/>
      <c r="U42" s="211"/>
      <c r="V42" s="211"/>
      <c r="W42" s="211"/>
      <c r="X42" s="211"/>
      <c r="Y42" s="288"/>
      <c r="Z42" s="288"/>
      <c r="AA42" s="291"/>
      <c r="AB42" s="291"/>
      <c r="AC42" s="291"/>
      <c r="AD42" s="211"/>
      <c r="AE42" s="211"/>
      <c r="AF42" s="211"/>
      <c r="AG42" s="211"/>
      <c r="AH42" s="211"/>
    </row>
    <row r="43" spans="5:34" ht="3" customHeight="1" x14ac:dyDescent="0.2">
      <c r="E43" s="284"/>
      <c r="F43" s="284"/>
      <c r="G43" s="284"/>
      <c r="H43" s="284"/>
      <c r="I43" s="287"/>
      <c r="J43" s="293"/>
      <c r="K43" s="293"/>
      <c r="L43" s="293"/>
      <c r="M43" s="288"/>
      <c r="N43" s="293"/>
      <c r="O43" s="293"/>
      <c r="P43" s="293"/>
      <c r="Q43" s="284"/>
      <c r="R43" s="284"/>
      <c r="S43" s="284"/>
      <c r="T43" s="284"/>
      <c r="U43" s="284"/>
      <c r="V43" s="284"/>
      <c r="W43" s="284"/>
      <c r="X43" s="284"/>
      <c r="Y43" s="293"/>
      <c r="Z43" s="293"/>
      <c r="AA43" s="284"/>
      <c r="AB43" s="284"/>
      <c r="AC43" s="284"/>
      <c r="AD43" s="284"/>
      <c r="AE43" s="284"/>
      <c r="AF43" s="284"/>
      <c r="AG43" s="284"/>
      <c r="AH43" s="284"/>
    </row>
    <row r="44" spans="5:34" ht="11.25" x14ac:dyDescent="0.2">
      <c r="E44" s="222" t="s">
        <v>20</v>
      </c>
      <c r="F44" s="284"/>
      <c r="G44" s="284"/>
      <c r="H44" s="223"/>
      <c r="I44" s="287" t="s">
        <v>98</v>
      </c>
      <c r="J44" s="834">
        <v>280000</v>
      </c>
      <c r="K44" s="834">
        <v>285000</v>
      </c>
      <c r="L44" s="834">
        <v>290000</v>
      </c>
      <c r="M44" s="834">
        <v>295000</v>
      </c>
      <c r="N44" s="834">
        <v>300000</v>
      </c>
      <c r="O44" s="834">
        <v>305000</v>
      </c>
      <c r="P44" s="834">
        <v>310000</v>
      </c>
      <c r="Q44" s="834">
        <v>315000</v>
      </c>
      <c r="R44" s="834">
        <v>320000</v>
      </c>
      <c r="S44" s="834">
        <v>320000</v>
      </c>
      <c r="T44" s="217">
        <f t="shared" ref="T44:AH44" ca="1" si="22">Prior_Year*(1+gr_Salaries)</f>
        <v>329600</v>
      </c>
      <c r="U44" s="217">
        <f t="shared" ca="1" si="22"/>
        <v>339488</v>
      </c>
      <c r="V44" s="217">
        <f t="shared" ca="1" si="22"/>
        <v>349672.64</v>
      </c>
      <c r="W44" s="217">
        <f t="shared" ca="1" si="22"/>
        <v>360162.81920000003</v>
      </c>
      <c r="X44" s="217">
        <f t="shared" ca="1" si="22"/>
        <v>370967.70377600001</v>
      </c>
      <c r="Y44" s="217">
        <f t="shared" ca="1" si="22"/>
        <v>382096.73488927999</v>
      </c>
      <c r="Z44" s="217">
        <f t="shared" ca="1" si="22"/>
        <v>393559.63693595841</v>
      </c>
      <c r="AA44" s="217">
        <f t="shared" ca="1" si="22"/>
        <v>405366.42604403716</v>
      </c>
      <c r="AB44" s="217">
        <f t="shared" ca="1" si="22"/>
        <v>417527.41882535827</v>
      </c>
      <c r="AC44" s="217">
        <f t="shared" ca="1" si="22"/>
        <v>430053.24139011902</v>
      </c>
      <c r="AD44" s="217">
        <f t="shared" ca="1" si="22"/>
        <v>442954.83863182261</v>
      </c>
      <c r="AE44" s="217">
        <f t="shared" ca="1" si="22"/>
        <v>456243.48379077727</v>
      </c>
      <c r="AF44" s="217">
        <f t="shared" ca="1" si="22"/>
        <v>469930.78830450063</v>
      </c>
      <c r="AG44" s="217">
        <f t="shared" ca="1" si="22"/>
        <v>484028.71195363568</v>
      </c>
      <c r="AH44" s="217">
        <f t="shared" ca="1" si="22"/>
        <v>498549.57331224479</v>
      </c>
    </row>
    <row r="45" spans="5:34" ht="11.25" x14ac:dyDescent="0.2">
      <c r="E45" s="844" t="s">
        <v>154</v>
      </c>
      <c r="F45" s="284"/>
      <c r="G45" s="284"/>
      <c r="H45" s="223"/>
      <c r="I45" s="287" t="s">
        <v>98</v>
      </c>
      <c r="J45" s="834">
        <v>80000</v>
      </c>
      <c r="K45" s="834">
        <v>85000</v>
      </c>
      <c r="L45" s="834">
        <v>90000</v>
      </c>
      <c r="M45" s="834">
        <v>95000</v>
      </c>
      <c r="N45" s="834">
        <v>100000</v>
      </c>
      <c r="O45" s="834">
        <v>105000</v>
      </c>
      <c r="P45" s="834">
        <v>110000</v>
      </c>
      <c r="Q45" s="834">
        <v>115000</v>
      </c>
      <c r="R45" s="834">
        <v>120000</v>
      </c>
      <c r="S45" s="834">
        <v>120000</v>
      </c>
      <c r="T45" s="211">
        <f t="shared" ref="T45:AH45" ca="1" si="23">exp_Salaries*pct_Benefits</f>
        <v>296504.03091729997</v>
      </c>
      <c r="U45" s="211">
        <f t="shared" ca="1" si="23"/>
        <v>311080.00553740497</v>
      </c>
      <c r="V45" s="211">
        <f t="shared" ca="1" si="23"/>
        <v>326583.23902834154</v>
      </c>
      <c r="W45" s="211">
        <f t="shared" ca="1" si="23"/>
        <v>343078.80136291857</v>
      </c>
      <c r="X45" s="211">
        <f t="shared" ca="1" si="23"/>
        <v>360636.54455867509</v>
      </c>
      <c r="Y45" s="211">
        <f t="shared" ca="1" si="23"/>
        <v>371455.64089543535</v>
      </c>
      <c r="Z45" s="211">
        <f t="shared" ca="1" si="23"/>
        <v>382599.31012229843</v>
      </c>
      <c r="AA45" s="211">
        <f t="shared" ca="1" si="23"/>
        <v>394077.28942596738</v>
      </c>
      <c r="AB45" s="211">
        <f t="shared" ca="1" si="23"/>
        <v>405899.60810874635</v>
      </c>
      <c r="AC45" s="211">
        <f t="shared" ca="1" si="23"/>
        <v>418076.59635200875</v>
      </c>
      <c r="AD45" s="211">
        <f t="shared" ca="1" si="23"/>
        <v>430618.89424256905</v>
      </c>
      <c r="AE45" s="211">
        <f t="shared" ca="1" si="23"/>
        <v>443537.46106984612</v>
      </c>
      <c r="AF45" s="211">
        <f t="shared" ca="1" si="23"/>
        <v>456843.58490194153</v>
      </c>
      <c r="AG45" s="211">
        <f t="shared" ca="1" si="23"/>
        <v>470548.8924489998</v>
      </c>
      <c r="AH45" s="211">
        <f t="shared" ca="1" si="23"/>
        <v>484665.35922246985</v>
      </c>
    </row>
    <row r="46" spans="5:34" ht="11.25" hidden="1" x14ac:dyDescent="0.2">
      <c r="E46" s="222" t="s">
        <v>144</v>
      </c>
      <c r="F46" s="284"/>
      <c r="G46" s="284"/>
      <c r="H46" s="223"/>
      <c r="I46" s="287"/>
      <c r="J46" s="289"/>
      <c r="K46" s="289"/>
      <c r="L46" s="289"/>
      <c r="M46" s="289"/>
      <c r="N46" s="289"/>
      <c r="O46" s="289"/>
      <c r="P46" s="289">
        <v>0</v>
      </c>
      <c r="Q46" s="211">
        <f t="shared" ref="Q46:AH46" si="24">-exp_OE_Savings</f>
        <v>0</v>
      </c>
      <c r="R46" s="211">
        <f t="shared" si="24"/>
        <v>0</v>
      </c>
      <c r="S46" s="211">
        <f t="shared" si="24"/>
        <v>0</v>
      </c>
      <c r="T46" s="211">
        <f t="shared" si="24"/>
        <v>0</v>
      </c>
      <c r="U46" s="211">
        <f t="shared" si="24"/>
        <v>0</v>
      </c>
      <c r="V46" s="211">
        <f t="shared" si="24"/>
        <v>0</v>
      </c>
      <c r="W46" s="211">
        <f t="shared" si="24"/>
        <v>0</v>
      </c>
      <c r="X46" s="211">
        <f t="shared" si="24"/>
        <v>0</v>
      </c>
      <c r="Y46" s="211">
        <f t="shared" si="24"/>
        <v>0</v>
      </c>
      <c r="Z46" s="211">
        <f t="shared" si="24"/>
        <v>0</v>
      </c>
      <c r="AA46" s="211">
        <f t="shared" si="24"/>
        <v>0</v>
      </c>
      <c r="AB46" s="211">
        <f t="shared" si="24"/>
        <v>0</v>
      </c>
      <c r="AC46" s="211">
        <f t="shared" si="24"/>
        <v>0</v>
      </c>
      <c r="AD46" s="211">
        <f t="shared" si="24"/>
        <v>0</v>
      </c>
      <c r="AE46" s="211">
        <f t="shared" si="24"/>
        <v>0</v>
      </c>
      <c r="AF46" s="211">
        <f t="shared" si="24"/>
        <v>0</v>
      </c>
      <c r="AG46" s="211">
        <f t="shared" si="24"/>
        <v>0</v>
      </c>
      <c r="AH46" s="211">
        <f t="shared" si="24"/>
        <v>0</v>
      </c>
    </row>
    <row r="47" spans="5:34" ht="11.25" x14ac:dyDescent="0.2">
      <c r="E47" s="222" t="s">
        <v>9</v>
      </c>
      <c r="F47" s="284"/>
      <c r="G47" s="284"/>
      <c r="H47" s="287" t="s">
        <v>12</v>
      </c>
      <c r="I47" s="287"/>
      <c r="J47" s="834">
        <v>180000</v>
      </c>
      <c r="K47" s="834">
        <v>185000</v>
      </c>
      <c r="L47" s="834">
        <v>190000</v>
      </c>
      <c r="M47" s="834">
        <v>195000</v>
      </c>
      <c r="N47" s="834">
        <v>200000</v>
      </c>
      <c r="O47" s="834">
        <v>205000</v>
      </c>
      <c r="P47" s="834">
        <v>210000</v>
      </c>
      <c r="Q47" s="834">
        <v>215000</v>
      </c>
      <c r="R47" s="834">
        <v>220000</v>
      </c>
      <c r="S47" s="834">
        <v>220000</v>
      </c>
      <c r="T47" s="211">
        <f t="shared" ref="T47:AH47" ca="1" si="25">Prior_Year*(1+gr_Inflation)</f>
        <v>225499.99999999997</v>
      </c>
      <c r="U47" s="211">
        <f t="shared" ca="1" si="25"/>
        <v>231137.49999999994</v>
      </c>
      <c r="V47" s="211">
        <f t="shared" ca="1" si="25"/>
        <v>236915.93749999991</v>
      </c>
      <c r="W47" s="211">
        <f t="shared" ca="1" si="25"/>
        <v>242838.83593749988</v>
      </c>
      <c r="X47" s="211">
        <f t="shared" ca="1" si="25"/>
        <v>248909.80683593737</v>
      </c>
      <c r="Y47" s="211">
        <f t="shared" ca="1" si="25"/>
        <v>255132.55200683579</v>
      </c>
      <c r="Z47" s="211">
        <f t="shared" ca="1" si="25"/>
        <v>261510.86580700666</v>
      </c>
      <c r="AA47" s="211">
        <f t="shared" ca="1" si="25"/>
        <v>268048.63745218178</v>
      </c>
      <c r="AB47" s="211">
        <f t="shared" ca="1" si="25"/>
        <v>274749.85338848631</v>
      </c>
      <c r="AC47" s="211">
        <f t="shared" ca="1" si="25"/>
        <v>281618.59972319845</v>
      </c>
      <c r="AD47" s="211">
        <f t="shared" ca="1" si="25"/>
        <v>288659.0647162784</v>
      </c>
      <c r="AE47" s="211">
        <f t="shared" ca="1" si="25"/>
        <v>295875.54133418534</v>
      </c>
      <c r="AF47" s="211">
        <f t="shared" ca="1" si="25"/>
        <v>303272.42986753996</v>
      </c>
      <c r="AG47" s="211">
        <f t="shared" ca="1" si="25"/>
        <v>310854.24061422842</v>
      </c>
      <c r="AH47" s="211">
        <f t="shared" ca="1" si="25"/>
        <v>318625.59662958409</v>
      </c>
    </row>
    <row r="48" spans="5:34" ht="11.25" x14ac:dyDescent="0.2">
      <c r="E48" s="222" t="s">
        <v>4</v>
      </c>
      <c r="F48" s="284"/>
      <c r="G48" s="284"/>
      <c r="H48" s="287" t="s">
        <v>15</v>
      </c>
      <c r="I48" s="287"/>
      <c r="J48" s="834">
        <v>30000</v>
      </c>
      <c r="K48" s="834">
        <v>35000</v>
      </c>
      <c r="L48" s="834">
        <v>40000</v>
      </c>
      <c r="M48" s="834">
        <v>45000</v>
      </c>
      <c r="N48" s="834">
        <v>50000</v>
      </c>
      <c r="O48" s="834">
        <v>55000</v>
      </c>
      <c r="P48" s="834">
        <v>60000</v>
      </c>
      <c r="Q48" s="834">
        <v>65000</v>
      </c>
      <c r="R48" s="834">
        <v>70000</v>
      </c>
      <c r="S48" s="834">
        <v>70000</v>
      </c>
      <c r="T48" s="211">
        <f t="shared" ref="T48:AH48" ca="1" si="26">Prior_Year*(1+gr_Utilities+gr_Inflation)</f>
        <v>71750</v>
      </c>
      <c r="U48" s="211">
        <f t="shared" ca="1" si="26"/>
        <v>73543.75</v>
      </c>
      <c r="V48" s="211">
        <f t="shared" ca="1" si="26"/>
        <v>75382.34375</v>
      </c>
      <c r="W48" s="211">
        <f t="shared" ca="1" si="26"/>
        <v>77266.90234375</v>
      </c>
      <c r="X48" s="211">
        <f t="shared" ca="1" si="26"/>
        <v>79198.574902343738</v>
      </c>
      <c r="Y48" s="211">
        <f t="shared" ca="1" si="26"/>
        <v>81178.53927490233</v>
      </c>
      <c r="Z48" s="211">
        <f t="shared" ca="1" si="26"/>
        <v>83208.002756774877</v>
      </c>
      <c r="AA48" s="211">
        <f t="shared" ca="1" si="26"/>
        <v>85288.202825694243</v>
      </c>
      <c r="AB48" s="211">
        <f t="shared" ca="1" si="26"/>
        <v>87420.40789633659</v>
      </c>
      <c r="AC48" s="211">
        <f t="shared" ca="1" si="26"/>
        <v>89605.918093745</v>
      </c>
      <c r="AD48" s="211">
        <f t="shared" ca="1" si="26"/>
        <v>91846.066046088614</v>
      </c>
      <c r="AE48" s="211">
        <f t="shared" ca="1" si="26"/>
        <v>94142.21769724082</v>
      </c>
      <c r="AF48" s="211">
        <f t="shared" ca="1" si="26"/>
        <v>96495.77313967183</v>
      </c>
      <c r="AG48" s="211">
        <f t="shared" ca="1" si="26"/>
        <v>98908.167468163621</v>
      </c>
      <c r="AH48" s="211">
        <f t="shared" ca="1" si="26"/>
        <v>101380.8716548677</v>
      </c>
    </row>
    <row r="49" spans="1:34" ht="11.25" x14ac:dyDescent="0.2">
      <c r="E49" s="222" t="s">
        <v>10</v>
      </c>
      <c r="F49" s="284"/>
      <c r="G49" s="284"/>
      <c r="H49" s="287" t="s">
        <v>16</v>
      </c>
      <c r="I49" s="287"/>
      <c r="J49" s="834">
        <v>80000</v>
      </c>
      <c r="K49" s="834">
        <v>85000</v>
      </c>
      <c r="L49" s="834">
        <v>90000</v>
      </c>
      <c r="M49" s="834">
        <v>95000</v>
      </c>
      <c r="N49" s="834">
        <v>100000</v>
      </c>
      <c r="O49" s="834">
        <v>105000</v>
      </c>
      <c r="P49" s="834">
        <v>110000</v>
      </c>
      <c r="Q49" s="834">
        <v>115000</v>
      </c>
      <c r="R49" s="834">
        <v>120000</v>
      </c>
      <c r="S49" s="834">
        <v>120000</v>
      </c>
      <c r="T49" s="211">
        <f t="shared" ref="T49:AH49" ca="1" si="27">Prior_Year*(1+gr_Supplies+gr_Inflation)</f>
        <v>122999.99999999999</v>
      </c>
      <c r="U49" s="211">
        <f t="shared" ca="1" si="27"/>
        <v>126074.99999999997</v>
      </c>
      <c r="V49" s="211">
        <f t="shared" ca="1" si="27"/>
        <v>129226.87499999996</v>
      </c>
      <c r="W49" s="211">
        <f t="shared" ca="1" si="27"/>
        <v>132457.54687499994</v>
      </c>
      <c r="X49" s="211">
        <f t="shared" ca="1" si="27"/>
        <v>135768.98554687493</v>
      </c>
      <c r="Y49" s="211">
        <f t="shared" ca="1" si="27"/>
        <v>139163.21018554678</v>
      </c>
      <c r="Z49" s="211">
        <f t="shared" ca="1" si="27"/>
        <v>142642.29044018543</v>
      </c>
      <c r="AA49" s="211">
        <f t="shared" ca="1" si="27"/>
        <v>146208.34770119007</v>
      </c>
      <c r="AB49" s="211">
        <f t="shared" ca="1" si="27"/>
        <v>149863.5563937198</v>
      </c>
      <c r="AC49" s="211">
        <f t="shared" ca="1" si="27"/>
        <v>153610.14530356278</v>
      </c>
      <c r="AD49" s="211">
        <f t="shared" ca="1" si="27"/>
        <v>157450.39893615185</v>
      </c>
      <c r="AE49" s="211">
        <f t="shared" ca="1" si="27"/>
        <v>161386.65890955564</v>
      </c>
      <c r="AF49" s="211">
        <f t="shared" ca="1" si="27"/>
        <v>165421.32538229451</v>
      </c>
      <c r="AG49" s="211">
        <f t="shared" ca="1" si="27"/>
        <v>169556.85851685185</v>
      </c>
      <c r="AH49" s="211">
        <f t="shared" ca="1" si="27"/>
        <v>173795.77997977313</v>
      </c>
    </row>
    <row r="50" spans="1:34" ht="11.25" x14ac:dyDescent="0.2">
      <c r="E50" s="222" t="s">
        <v>19</v>
      </c>
      <c r="F50" s="284"/>
      <c r="G50" s="284"/>
      <c r="H50" s="287" t="s">
        <v>14</v>
      </c>
      <c r="I50" s="287"/>
      <c r="J50" s="834">
        <v>80000</v>
      </c>
      <c r="K50" s="834">
        <v>85000</v>
      </c>
      <c r="L50" s="834">
        <v>90000</v>
      </c>
      <c r="M50" s="834">
        <v>95000</v>
      </c>
      <c r="N50" s="834">
        <v>100000</v>
      </c>
      <c r="O50" s="834">
        <v>105000</v>
      </c>
      <c r="P50" s="834">
        <v>110000</v>
      </c>
      <c r="Q50" s="834">
        <v>115000</v>
      </c>
      <c r="R50" s="834">
        <v>120000</v>
      </c>
      <c r="S50" s="834">
        <v>120000</v>
      </c>
      <c r="T50" s="211">
        <f t="shared" ref="T50:AH50" ca="1" si="28">Prior_Year*(1+gr_Depreciation+gr_Inflation)</f>
        <v>122999.99999999999</v>
      </c>
      <c r="U50" s="211">
        <f t="shared" ca="1" si="28"/>
        <v>126074.99999999997</v>
      </c>
      <c r="V50" s="211">
        <f t="shared" ca="1" si="28"/>
        <v>129226.87499999996</v>
      </c>
      <c r="W50" s="211">
        <f t="shared" ca="1" si="28"/>
        <v>132457.54687499994</v>
      </c>
      <c r="X50" s="211">
        <f t="shared" ca="1" si="28"/>
        <v>135768.98554687493</v>
      </c>
      <c r="Y50" s="211">
        <f t="shared" ca="1" si="28"/>
        <v>139163.21018554678</v>
      </c>
      <c r="Z50" s="211">
        <f t="shared" ca="1" si="28"/>
        <v>142642.29044018543</v>
      </c>
      <c r="AA50" s="211">
        <f t="shared" ca="1" si="28"/>
        <v>146208.34770119007</v>
      </c>
      <c r="AB50" s="211">
        <f t="shared" ca="1" si="28"/>
        <v>149863.5563937198</v>
      </c>
      <c r="AC50" s="211">
        <f t="shared" ca="1" si="28"/>
        <v>153610.14530356278</v>
      </c>
      <c r="AD50" s="211">
        <f t="shared" ca="1" si="28"/>
        <v>157450.39893615185</v>
      </c>
      <c r="AE50" s="211">
        <f t="shared" ca="1" si="28"/>
        <v>161386.65890955564</v>
      </c>
      <c r="AF50" s="211">
        <f t="shared" ca="1" si="28"/>
        <v>165421.32538229451</v>
      </c>
      <c r="AG50" s="211">
        <f t="shared" ca="1" si="28"/>
        <v>169556.85851685185</v>
      </c>
      <c r="AH50" s="211">
        <f t="shared" ca="1" si="28"/>
        <v>173795.77997977313</v>
      </c>
    </row>
    <row r="51" spans="1:34" ht="11.25" x14ac:dyDescent="0.2">
      <c r="E51" s="222" t="s">
        <v>11</v>
      </c>
      <c r="F51" s="284"/>
      <c r="G51" s="284"/>
      <c r="H51" s="287" t="s">
        <v>13</v>
      </c>
      <c r="I51" s="287"/>
      <c r="J51" s="211">
        <f t="shared" ref="J51:S51" si="29">SUM(J53:J60)</f>
        <v>110000</v>
      </c>
      <c r="K51" s="211">
        <f t="shared" si="29"/>
        <v>140000</v>
      </c>
      <c r="L51" s="211">
        <f t="shared" si="29"/>
        <v>170000</v>
      </c>
      <c r="M51" s="211">
        <f t="shared" si="29"/>
        <v>200000</v>
      </c>
      <c r="N51" s="211">
        <f t="shared" si="29"/>
        <v>230000</v>
      </c>
      <c r="O51" s="211">
        <f t="shared" si="29"/>
        <v>260000</v>
      </c>
      <c r="P51" s="211">
        <f t="shared" si="29"/>
        <v>290000</v>
      </c>
      <c r="Q51" s="211">
        <f t="shared" si="29"/>
        <v>320000</v>
      </c>
      <c r="R51" s="211">
        <f t="shared" si="29"/>
        <v>350000</v>
      </c>
      <c r="S51" s="211">
        <f t="shared" si="29"/>
        <v>350000</v>
      </c>
      <c r="T51" s="211">
        <f ca="1">SUM(T53:T60)</f>
        <v>368900</v>
      </c>
      <c r="U51" s="211">
        <f t="shared" ref="U51:AH51" ca="1" si="30">SUM(U53:U60)</f>
        <v>386729</v>
      </c>
      <c r="V51" s="211">
        <f t="shared" ca="1" si="30"/>
        <v>405591.35749999993</v>
      </c>
      <c r="W51" s="211">
        <f t="shared" ca="1" si="30"/>
        <v>425545.76697499992</v>
      </c>
      <c r="X51" s="211">
        <f t="shared" ca="1" si="30"/>
        <v>446654.21381393739</v>
      </c>
      <c r="Y51" s="211">
        <f t="shared" ca="1" si="30"/>
        <v>468982.1573745741</v>
      </c>
      <c r="Z51" s="211">
        <f t="shared" ca="1" si="30"/>
        <v>492598.72417236806</v>
      </c>
      <c r="AA51" s="211">
        <f t="shared" ca="1" si="30"/>
        <v>517576.91176278476</v>
      </c>
      <c r="AB51" s="211">
        <f t="shared" ca="1" si="30"/>
        <v>543993.80390734249</v>
      </c>
      <c r="AC51" s="211">
        <f t="shared" ca="1" si="30"/>
        <v>571930.79764621542</v>
      </c>
      <c r="AD51" s="211">
        <f t="shared" ca="1" si="30"/>
        <v>601473.84293454268</v>
      </c>
      <c r="AE51" s="211">
        <f t="shared" ca="1" si="30"/>
        <v>632713.6955358109</v>
      </c>
      <c r="AF51" s="211">
        <f t="shared" ca="1" si="30"/>
        <v>665746.18390388344</v>
      </c>
      <c r="AG51" s="211">
        <f t="shared" ca="1" si="30"/>
        <v>700672.49082555971</v>
      </c>
      <c r="AH51" s="211">
        <f t="shared" ca="1" si="30"/>
        <v>737599.4506380877</v>
      </c>
    </row>
    <row r="52" spans="1:34" ht="6.6" customHeight="1" x14ac:dyDescent="0.2">
      <c r="E52" s="222"/>
      <c r="F52" s="284"/>
      <c r="G52" s="284"/>
      <c r="H52" s="287"/>
      <c r="I52" s="287"/>
      <c r="J52" s="289"/>
      <c r="K52" s="289"/>
      <c r="L52" s="289"/>
      <c r="M52" s="289"/>
      <c r="N52" s="289"/>
      <c r="O52" s="289"/>
      <c r="P52" s="289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</row>
    <row r="53" spans="1:34" s="309" customFormat="1" ht="11.25" outlineLevel="1" x14ac:dyDescent="0.2">
      <c r="A53" s="266"/>
      <c r="B53" s="266"/>
      <c r="C53" s="266"/>
      <c r="D53" s="307"/>
      <c r="E53" s="296" t="s">
        <v>116</v>
      </c>
      <c r="F53" s="297"/>
      <c r="G53" s="297"/>
      <c r="H53" s="299"/>
      <c r="I53" s="299"/>
      <c r="J53" s="834">
        <v>30000</v>
      </c>
      <c r="K53" s="834">
        <v>35000</v>
      </c>
      <c r="L53" s="834">
        <v>40000</v>
      </c>
      <c r="M53" s="834">
        <v>45000</v>
      </c>
      <c r="N53" s="834">
        <v>50000</v>
      </c>
      <c r="O53" s="834">
        <v>55000</v>
      </c>
      <c r="P53" s="834">
        <v>60000</v>
      </c>
      <c r="Q53" s="834">
        <v>65000</v>
      </c>
      <c r="R53" s="834">
        <v>70000</v>
      </c>
      <c r="S53" s="834">
        <v>70000</v>
      </c>
      <c r="T53" s="308">
        <f t="shared" ref="T53:AH53" ca="1" si="31">Prior_Year*(1+gr_Grants)-(exp_OE_Savings/7)</f>
        <v>70000</v>
      </c>
      <c r="U53" s="308">
        <f t="shared" ca="1" si="31"/>
        <v>70000</v>
      </c>
      <c r="V53" s="308">
        <f t="shared" ca="1" si="31"/>
        <v>70000</v>
      </c>
      <c r="W53" s="308">
        <f t="shared" ca="1" si="31"/>
        <v>70000</v>
      </c>
      <c r="X53" s="308">
        <f t="shared" ca="1" si="31"/>
        <v>70000</v>
      </c>
      <c r="Y53" s="308">
        <f t="shared" ca="1" si="31"/>
        <v>70000</v>
      </c>
      <c r="Z53" s="308">
        <f t="shared" ca="1" si="31"/>
        <v>70000</v>
      </c>
      <c r="AA53" s="308">
        <f t="shared" ca="1" si="31"/>
        <v>70000</v>
      </c>
      <c r="AB53" s="308">
        <f t="shared" ca="1" si="31"/>
        <v>70000</v>
      </c>
      <c r="AC53" s="308">
        <f t="shared" ca="1" si="31"/>
        <v>70000</v>
      </c>
      <c r="AD53" s="308">
        <f t="shared" ca="1" si="31"/>
        <v>70000</v>
      </c>
      <c r="AE53" s="308">
        <f t="shared" ca="1" si="31"/>
        <v>70000</v>
      </c>
      <c r="AF53" s="308">
        <f t="shared" ca="1" si="31"/>
        <v>70000</v>
      </c>
      <c r="AG53" s="308">
        <f t="shared" ca="1" si="31"/>
        <v>70000</v>
      </c>
      <c r="AH53" s="308">
        <f t="shared" ca="1" si="31"/>
        <v>70000</v>
      </c>
    </row>
    <row r="54" spans="1:34" s="309" customFormat="1" ht="11.25" outlineLevel="1" x14ac:dyDescent="0.2">
      <c r="A54" s="266"/>
      <c r="B54" s="266"/>
      <c r="C54" s="266"/>
      <c r="D54" s="307"/>
      <c r="E54" s="296" t="s">
        <v>117</v>
      </c>
      <c r="F54" s="297"/>
      <c r="G54" s="297"/>
      <c r="H54" s="299"/>
      <c r="I54" s="299"/>
      <c r="J54" s="834">
        <v>30000</v>
      </c>
      <c r="K54" s="834">
        <v>35000</v>
      </c>
      <c r="L54" s="834">
        <v>40000</v>
      </c>
      <c r="M54" s="834">
        <v>45000</v>
      </c>
      <c r="N54" s="834">
        <v>50000</v>
      </c>
      <c r="O54" s="834">
        <v>55000</v>
      </c>
      <c r="P54" s="834">
        <v>60000</v>
      </c>
      <c r="Q54" s="834">
        <v>65000</v>
      </c>
      <c r="R54" s="834">
        <v>70000</v>
      </c>
      <c r="S54" s="834">
        <v>70000</v>
      </c>
      <c r="T54" s="308">
        <f t="shared" ref="T54:AH58" ca="1" si="32">Prior_Year*(1+gr_Other_OpEx+gr_Inflation)-(exp_OE_Savings/7)</f>
        <v>73850</v>
      </c>
      <c r="U54" s="308">
        <f t="shared" ca="1" si="32"/>
        <v>77911.75</v>
      </c>
      <c r="V54" s="308">
        <f t="shared" ca="1" si="32"/>
        <v>82196.896249999991</v>
      </c>
      <c r="W54" s="308">
        <f t="shared" ca="1" si="32"/>
        <v>86717.725543749984</v>
      </c>
      <c r="X54" s="308">
        <f t="shared" ca="1" si="32"/>
        <v>91487.200448656222</v>
      </c>
      <c r="Y54" s="308">
        <f t="shared" ca="1" si="32"/>
        <v>96518.996473332314</v>
      </c>
      <c r="Z54" s="308">
        <f t="shared" ca="1" si="32"/>
        <v>101827.54127936559</v>
      </c>
      <c r="AA54" s="308">
        <f t="shared" ca="1" si="32"/>
        <v>107428.05604973069</v>
      </c>
      <c r="AB54" s="308">
        <f t="shared" ca="1" si="32"/>
        <v>113336.59913246587</v>
      </c>
      <c r="AC54" s="308">
        <f t="shared" ca="1" si="32"/>
        <v>119570.11208475148</v>
      </c>
      <c r="AD54" s="308">
        <f t="shared" ca="1" si="32"/>
        <v>126146.46824941281</v>
      </c>
      <c r="AE54" s="308">
        <f t="shared" ca="1" si="32"/>
        <v>133084.5240031305</v>
      </c>
      <c r="AF54" s="308">
        <f t="shared" ca="1" si="32"/>
        <v>140404.17282330268</v>
      </c>
      <c r="AG54" s="308">
        <f t="shared" ca="1" si="32"/>
        <v>148126.40232858431</v>
      </c>
      <c r="AH54" s="308">
        <f t="shared" ca="1" si="32"/>
        <v>156273.35445665644</v>
      </c>
    </row>
    <row r="55" spans="1:34" s="309" customFormat="1" ht="11.25" outlineLevel="1" x14ac:dyDescent="0.2">
      <c r="A55" s="266"/>
      <c r="B55" s="266"/>
      <c r="C55" s="266"/>
      <c r="D55" s="307"/>
      <c r="E55" s="296" t="s">
        <v>118</v>
      </c>
      <c r="F55" s="297"/>
      <c r="G55" s="297"/>
      <c r="H55" s="299"/>
      <c r="I55" s="299"/>
      <c r="J55" s="834">
        <v>30000</v>
      </c>
      <c r="K55" s="834">
        <v>35000</v>
      </c>
      <c r="L55" s="834">
        <v>40000</v>
      </c>
      <c r="M55" s="834">
        <v>45000</v>
      </c>
      <c r="N55" s="834">
        <v>50000</v>
      </c>
      <c r="O55" s="834">
        <v>55000</v>
      </c>
      <c r="P55" s="834">
        <v>60000</v>
      </c>
      <c r="Q55" s="834">
        <v>65000</v>
      </c>
      <c r="R55" s="834">
        <v>70000</v>
      </c>
      <c r="S55" s="834">
        <v>70000</v>
      </c>
      <c r="T55" s="308">
        <f t="shared" ca="1" si="32"/>
        <v>73850</v>
      </c>
      <c r="U55" s="308">
        <f t="shared" ca="1" si="32"/>
        <v>77911.75</v>
      </c>
      <c r="V55" s="308">
        <f t="shared" ca="1" si="32"/>
        <v>82196.896249999991</v>
      </c>
      <c r="W55" s="308">
        <f t="shared" ca="1" si="32"/>
        <v>86717.725543749984</v>
      </c>
      <c r="X55" s="308">
        <f t="shared" ca="1" si="32"/>
        <v>91487.200448656222</v>
      </c>
      <c r="Y55" s="308">
        <f t="shared" ca="1" si="32"/>
        <v>96518.996473332314</v>
      </c>
      <c r="Z55" s="308">
        <f t="shared" ca="1" si="32"/>
        <v>101827.54127936559</v>
      </c>
      <c r="AA55" s="308">
        <f t="shared" ca="1" si="32"/>
        <v>107428.05604973069</v>
      </c>
      <c r="AB55" s="308">
        <f t="shared" ca="1" si="32"/>
        <v>113336.59913246587</v>
      </c>
      <c r="AC55" s="308">
        <f t="shared" ca="1" si="32"/>
        <v>119570.11208475148</v>
      </c>
      <c r="AD55" s="308">
        <f t="shared" ca="1" si="32"/>
        <v>126146.46824941281</v>
      </c>
      <c r="AE55" s="308">
        <f t="shared" ca="1" si="32"/>
        <v>133084.5240031305</v>
      </c>
      <c r="AF55" s="308">
        <f t="shared" ca="1" si="32"/>
        <v>140404.17282330268</v>
      </c>
      <c r="AG55" s="308">
        <f t="shared" ca="1" si="32"/>
        <v>148126.40232858431</v>
      </c>
      <c r="AH55" s="308">
        <f t="shared" ca="1" si="32"/>
        <v>156273.35445665644</v>
      </c>
    </row>
    <row r="56" spans="1:34" s="309" customFormat="1" ht="11.25" outlineLevel="1" x14ac:dyDescent="0.2">
      <c r="A56" s="266"/>
      <c r="B56" s="266"/>
      <c r="C56" s="266"/>
      <c r="D56" s="307"/>
      <c r="E56" s="296" t="s">
        <v>215</v>
      </c>
      <c r="F56" s="297"/>
      <c r="G56" s="297"/>
      <c r="H56" s="299"/>
      <c r="I56" s="299"/>
      <c r="J56" s="834">
        <v>30000</v>
      </c>
      <c r="K56" s="834">
        <v>35000</v>
      </c>
      <c r="L56" s="834">
        <v>40000</v>
      </c>
      <c r="M56" s="834">
        <v>45000</v>
      </c>
      <c r="N56" s="834">
        <v>50000</v>
      </c>
      <c r="O56" s="834">
        <v>55000</v>
      </c>
      <c r="P56" s="834">
        <v>60000</v>
      </c>
      <c r="Q56" s="834">
        <v>65000</v>
      </c>
      <c r="R56" s="834">
        <v>70000</v>
      </c>
      <c r="S56" s="834">
        <v>70000</v>
      </c>
      <c r="T56" s="308">
        <f t="shared" ca="1" si="32"/>
        <v>73850</v>
      </c>
      <c r="U56" s="308">
        <f t="shared" ca="1" si="32"/>
        <v>77911.75</v>
      </c>
      <c r="V56" s="308">
        <f t="shared" ca="1" si="32"/>
        <v>82196.896249999991</v>
      </c>
      <c r="W56" s="308">
        <f t="shared" ca="1" si="32"/>
        <v>86717.725543749984</v>
      </c>
      <c r="X56" s="308">
        <f t="shared" ca="1" si="32"/>
        <v>91487.200448656222</v>
      </c>
      <c r="Y56" s="308">
        <f t="shared" ca="1" si="32"/>
        <v>96518.996473332314</v>
      </c>
      <c r="Z56" s="308">
        <f t="shared" ca="1" si="32"/>
        <v>101827.54127936559</v>
      </c>
      <c r="AA56" s="308">
        <f t="shared" ca="1" si="32"/>
        <v>107428.05604973069</v>
      </c>
      <c r="AB56" s="308">
        <f t="shared" ca="1" si="32"/>
        <v>113336.59913246587</v>
      </c>
      <c r="AC56" s="308">
        <f t="shared" ca="1" si="32"/>
        <v>119570.11208475148</v>
      </c>
      <c r="AD56" s="308">
        <f t="shared" ca="1" si="32"/>
        <v>126146.46824941281</v>
      </c>
      <c r="AE56" s="308">
        <f t="shared" ca="1" si="32"/>
        <v>133084.5240031305</v>
      </c>
      <c r="AF56" s="308">
        <f t="shared" ca="1" si="32"/>
        <v>140404.17282330268</v>
      </c>
      <c r="AG56" s="308">
        <f t="shared" ca="1" si="32"/>
        <v>148126.40232858431</v>
      </c>
      <c r="AH56" s="308">
        <f t="shared" ca="1" si="32"/>
        <v>156273.35445665644</v>
      </c>
    </row>
    <row r="57" spans="1:34" s="309" customFormat="1" ht="11.25" outlineLevel="1" x14ac:dyDescent="0.2">
      <c r="A57" s="266"/>
      <c r="B57" s="266"/>
      <c r="C57" s="266"/>
      <c r="D57" s="307"/>
      <c r="E57" s="296" t="s">
        <v>216</v>
      </c>
      <c r="F57" s="297"/>
      <c r="G57" s="297"/>
      <c r="H57" s="299"/>
      <c r="I57" s="299"/>
      <c r="J57" s="834">
        <v>30000</v>
      </c>
      <c r="K57" s="834">
        <v>35000</v>
      </c>
      <c r="L57" s="834">
        <v>40000</v>
      </c>
      <c r="M57" s="834">
        <v>45000</v>
      </c>
      <c r="N57" s="834">
        <v>50000</v>
      </c>
      <c r="O57" s="834">
        <v>55000</v>
      </c>
      <c r="P57" s="834">
        <v>60000</v>
      </c>
      <c r="Q57" s="834">
        <v>65000</v>
      </c>
      <c r="R57" s="834">
        <v>70000</v>
      </c>
      <c r="S57" s="834">
        <v>70000</v>
      </c>
      <c r="T57" s="308">
        <f t="shared" ca="1" si="32"/>
        <v>73850</v>
      </c>
      <c r="U57" s="308">
        <f t="shared" ca="1" si="32"/>
        <v>77911.75</v>
      </c>
      <c r="V57" s="308">
        <f t="shared" ca="1" si="32"/>
        <v>82196.896249999991</v>
      </c>
      <c r="W57" s="308">
        <f t="shared" ca="1" si="32"/>
        <v>86717.725543749984</v>
      </c>
      <c r="X57" s="308">
        <f t="shared" ca="1" si="32"/>
        <v>91487.200448656222</v>
      </c>
      <c r="Y57" s="308">
        <f t="shared" ca="1" si="32"/>
        <v>96518.996473332314</v>
      </c>
      <c r="Z57" s="308">
        <f t="shared" ca="1" si="32"/>
        <v>101827.54127936559</v>
      </c>
      <c r="AA57" s="308">
        <f t="shared" ca="1" si="32"/>
        <v>107428.05604973069</v>
      </c>
      <c r="AB57" s="308">
        <f t="shared" ca="1" si="32"/>
        <v>113336.59913246587</v>
      </c>
      <c r="AC57" s="308">
        <f t="shared" ca="1" si="32"/>
        <v>119570.11208475148</v>
      </c>
      <c r="AD57" s="308">
        <f t="shared" ca="1" si="32"/>
        <v>126146.46824941281</v>
      </c>
      <c r="AE57" s="308">
        <f t="shared" ca="1" si="32"/>
        <v>133084.5240031305</v>
      </c>
      <c r="AF57" s="308">
        <f t="shared" ca="1" si="32"/>
        <v>140404.17282330268</v>
      </c>
      <c r="AG57" s="308">
        <f t="shared" ca="1" si="32"/>
        <v>148126.40232858431</v>
      </c>
      <c r="AH57" s="308">
        <f t="shared" ca="1" si="32"/>
        <v>156273.35445665644</v>
      </c>
    </row>
    <row r="58" spans="1:34" ht="11.25" outlineLevel="1" x14ac:dyDescent="0.2">
      <c r="E58" s="310" t="s">
        <v>165</v>
      </c>
      <c r="F58" s="297"/>
      <c r="G58" s="297"/>
      <c r="H58" s="297"/>
      <c r="I58" s="299"/>
      <c r="J58" s="834">
        <v>30000</v>
      </c>
      <c r="K58" s="834">
        <v>35000</v>
      </c>
      <c r="L58" s="834">
        <v>40000</v>
      </c>
      <c r="M58" s="834">
        <v>45000</v>
      </c>
      <c r="N58" s="834">
        <v>50000</v>
      </c>
      <c r="O58" s="834">
        <v>55000</v>
      </c>
      <c r="P58" s="834">
        <v>60000</v>
      </c>
      <c r="Q58" s="834">
        <v>65000</v>
      </c>
      <c r="R58" s="834">
        <v>70000</v>
      </c>
      <c r="S58" s="834">
        <v>70000</v>
      </c>
      <c r="T58" s="308">
        <f t="shared" ca="1" si="32"/>
        <v>73850</v>
      </c>
      <c r="U58" s="308">
        <f t="shared" ref="U58:AH58" ca="1" si="33">Prior_Year*(1+gr_Inflation)</f>
        <v>75696.25</v>
      </c>
      <c r="V58" s="308">
        <f t="shared" ca="1" si="33"/>
        <v>77588.65625</v>
      </c>
      <c r="W58" s="308">
        <f t="shared" ca="1" si="33"/>
        <v>79528.372656249994</v>
      </c>
      <c r="X58" s="308">
        <f t="shared" ca="1" si="33"/>
        <v>81516.581972656233</v>
      </c>
      <c r="Y58" s="308">
        <f t="shared" ca="1" si="33"/>
        <v>83554.496521972629</v>
      </c>
      <c r="Z58" s="308">
        <f t="shared" ca="1" si="33"/>
        <v>85643.358935021941</v>
      </c>
      <c r="AA58" s="308">
        <f t="shared" ca="1" si="33"/>
        <v>87784.442908397483</v>
      </c>
      <c r="AB58" s="308">
        <f t="shared" ca="1" si="33"/>
        <v>89979.053981107412</v>
      </c>
      <c r="AC58" s="308">
        <f t="shared" ca="1" si="33"/>
        <v>92228.530330635083</v>
      </c>
      <c r="AD58" s="308">
        <f t="shared" ca="1" si="33"/>
        <v>94534.24358890095</v>
      </c>
      <c r="AE58" s="308">
        <f t="shared" ca="1" si="33"/>
        <v>96897.599678623461</v>
      </c>
      <c r="AF58" s="308">
        <f t="shared" ca="1" si="33"/>
        <v>99320.039670589045</v>
      </c>
      <c r="AG58" s="308">
        <f t="shared" ca="1" si="33"/>
        <v>101803.04066235376</v>
      </c>
      <c r="AH58" s="308">
        <f t="shared" ca="1" si="33"/>
        <v>104348.11667891259</v>
      </c>
    </row>
    <row r="59" spans="1:34" s="309" customFormat="1" ht="11.25" outlineLevel="1" x14ac:dyDescent="0.2">
      <c r="A59" s="266"/>
      <c r="B59" s="266"/>
      <c r="C59" s="266"/>
      <c r="D59" s="307"/>
      <c r="E59" s="296" t="s">
        <v>11</v>
      </c>
      <c r="F59" s="297"/>
      <c r="G59" s="297"/>
      <c r="H59" s="299"/>
      <c r="I59" s="299"/>
      <c r="J59" s="834">
        <v>30000</v>
      </c>
      <c r="K59" s="834">
        <v>35000</v>
      </c>
      <c r="L59" s="834">
        <v>40000</v>
      </c>
      <c r="M59" s="834">
        <v>45000</v>
      </c>
      <c r="N59" s="834">
        <v>50000</v>
      </c>
      <c r="O59" s="834">
        <v>55000</v>
      </c>
      <c r="P59" s="834">
        <v>60000</v>
      </c>
      <c r="Q59" s="834">
        <v>65000</v>
      </c>
      <c r="R59" s="834">
        <v>70000</v>
      </c>
      <c r="S59" s="834">
        <v>70000</v>
      </c>
      <c r="T59" s="308">
        <f t="shared" ref="T59:AH59" ca="1" si="34">Prior_Year*(1+gr_Other_OpEx+gr_Inflation)-(exp_OE_Savings/7)</f>
        <v>73850</v>
      </c>
      <c r="U59" s="308">
        <f t="shared" ca="1" si="34"/>
        <v>77911.75</v>
      </c>
      <c r="V59" s="308">
        <f t="shared" ca="1" si="34"/>
        <v>82196.896249999991</v>
      </c>
      <c r="W59" s="308">
        <f t="shared" ca="1" si="34"/>
        <v>86717.725543749984</v>
      </c>
      <c r="X59" s="308">
        <f t="shared" ca="1" si="34"/>
        <v>91487.200448656222</v>
      </c>
      <c r="Y59" s="308">
        <f t="shared" ca="1" si="34"/>
        <v>96518.996473332314</v>
      </c>
      <c r="Z59" s="308">
        <f t="shared" ca="1" si="34"/>
        <v>101827.54127936559</v>
      </c>
      <c r="AA59" s="308">
        <f t="shared" ca="1" si="34"/>
        <v>107428.05604973069</v>
      </c>
      <c r="AB59" s="308">
        <f t="shared" ca="1" si="34"/>
        <v>113336.59913246587</v>
      </c>
      <c r="AC59" s="308">
        <f t="shared" ca="1" si="34"/>
        <v>119570.11208475148</v>
      </c>
      <c r="AD59" s="308">
        <f t="shared" ca="1" si="34"/>
        <v>126146.46824941281</v>
      </c>
      <c r="AE59" s="308">
        <f t="shared" ca="1" si="34"/>
        <v>133084.5240031305</v>
      </c>
      <c r="AF59" s="308">
        <f t="shared" ca="1" si="34"/>
        <v>140404.17282330268</v>
      </c>
      <c r="AG59" s="308">
        <f t="shared" ca="1" si="34"/>
        <v>148126.40232858431</v>
      </c>
      <c r="AH59" s="308">
        <f t="shared" ca="1" si="34"/>
        <v>156273.35445665644</v>
      </c>
    </row>
    <row r="60" spans="1:34" s="309" customFormat="1" ht="11.25" outlineLevel="1" x14ac:dyDescent="0.2">
      <c r="A60" s="266"/>
      <c r="B60" s="266"/>
      <c r="C60" s="266"/>
      <c r="D60" s="307"/>
      <c r="E60" s="296" t="s">
        <v>119</v>
      </c>
      <c r="F60" s="297"/>
      <c r="G60" s="297"/>
      <c r="H60" s="299"/>
      <c r="I60" s="299"/>
      <c r="J60" s="834">
        <v>-100000</v>
      </c>
      <c r="K60" s="834">
        <v>-105000</v>
      </c>
      <c r="L60" s="834">
        <v>-110000</v>
      </c>
      <c r="M60" s="834">
        <v>-115000</v>
      </c>
      <c r="N60" s="834">
        <v>-120000</v>
      </c>
      <c r="O60" s="834">
        <v>-125000</v>
      </c>
      <c r="P60" s="834">
        <v>-130000</v>
      </c>
      <c r="Q60" s="834">
        <v>-135000</v>
      </c>
      <c r="R60" s="834">
        <v>-140000</v>
      </c>
      <c r="S60" s="834">
        <v>-140000</v>
      </c>
      <c r="T60" s="308">
        <f t="shared" ref="T60:AH60" ca="1" si="35">Prior_Year*(1+gr_Salaries)-(exp_OE_Savings/7)</f>
        <v>-144200</v>
      </c>
      <c r="U60" s="308">
        <f t="shared" ca="1" si="35"/>
        <v>-148526</v>
      </c>
      <c r="V60" s="308">
        <f t="shared" ca="1" si="35"/>
        <v>-152981.78</v>
      </c>
      <c r="W60" s="308">
        <f t="shared" ca="1" si="35"/>
        <v>-157571.2334</v>
      </c>
      <c r="X60" s="308">
        <f t="shared" ca="1" si="35"/>
        <v>-162298.370402</v>
      </c>
      <c r="Y60" s="308">
        <f t="shared" ca="1" si="35"/>
        <v>-167167.32151405999</v>
      </c>
      <c r="Z60" s="308">
        <f t="shared" ca="1" si="35"/>
        <v>-172182.34115948179</v>
      </c>
      <c r="AA60" s="308">
        <f t="shared" ca="1" si="35"/>
        <v>-177347.81139426626</v>
      </c>
      <c r="AB60" s="308">
        <f t="shared" ca="1" si="35"/>
        <v>-182668.24573609425</v>
      </c>
      <c r="AC60" s="308">
        <f t="shared" ca="1" si="35"/>
        <v>-188148.29310817708</v>
      </c>
      <c r="AD60" s="308">
        <f t="shared" ca="1" si="35"/>
        <v>-193792.74190142239</v>
      </c>
      <c r="AE60" s="308">
        <f t="shared" ca="1" si="35"/>
        <v>-199606.52415846506</v>
      </c>
      <c r="AF60" s="308">
        <f t="shared" ca="1" si="35"/>
        <v>-205594.71988321902</v>
      </c>
      <c r="AG60" s="308">
        <f t="shared" ca="1" si="35"/>
        <v>-211762.5614797156</v>
      </c>
      <c r="AH60" s="308">
        <f t="shared" ca="1" si="35"/>
        <v>-218115.43832410706</v>
      </c>
    </row>
    <row r="61" spans="1:34" ht="11.25" x14ac:dyDescent="0.2">
      <c r="E61" s="222"/>
      <c r="F61" s="284"/>
      <c r="G61" s="284"/>
      <c r="H61" s="287"/>
      <c r="I61" s="287"/>
      <c r="J61" s="289"/>
      <c r="K61" s="289"/>
      <c r="L61" s="289"/>
      <c r="M61" s="289"/>
      <c r="N61" s="289"/>
      <c r="O61" s="289"/>
      <c r="P61" s="289"/>
      <c r="Q61" s="211"/>
      <c r="R61" s="211"/>
      <c r="S61" s="211"/>
      <c r="T61" s="211"/>
      <c r="U61" s="211"/>
      <c r="V61" s="211"/>
      <c r="W61" s="211"/>
      <c r="X61" s="211"/>
      <c r="Y61" s="211"/>
      <c r="Z61" s="211"/>
      <c r="AA61" s="211"/>
      <c r="AB61" s="211"/>
      <c r="AC61" s="211"/>
      <c r="AD61" s="211"/>
      <c r="AE61" s="211"/>
      <c r="AF61" s="211"/>
      <c r="AG61" s="211"/>
      <c r="AH61" s="211"/>
    </row>
    <row r="62" spans="1:34" ht="3" customHeight="1" x14ac:dyDescent="0.2">
      <c r="E62" s="284"/>
      <c r="F62" s="284"/>
      <c r="G62" s="284"/>
      <c r="H62" s="284"/>
      <c r="I62" s="287"/>
      <c r="J62" s="284"/>
      <c r="K62" s="284"/>
      <c r="L62" s="284"/>
      <c r="M62" s="284"/>
      <c r="N62" s="293"/>
      <c r="O62" s="293"/>
      <c r="P62" s="293"/>
      <c r="Q62" s="284"/>
      <c r="R62" s="284"/>
      <c r="S62" s="284"/>
      <c r="T62" s="284"/>
      <c r="U62" s="284"/>
      <c r="V62" s="284"/>
      <c r="W62" s="284"/>
      <c r="X62" s="284"/>
      <c r="Y62" s="284"/>
      <c r="Z62" s="284"/>
      <c r="AA62" s="284"/>
      <c r="AB62" s="284"/>
      <c r="AC62" s="284"/>
      <c r="AD62" s="284"/>
      <c r="AE62" s="284"/>
      <c r="AF62" s="284"/>
      <c r="AG62" s="284"/>
      <c r="AH62" s="284"/>
    </row>
    <row r="63" spans="1:34" ht="11.25" x14ac:dyDescent="0.2">
      <c r="E63" s="302" t="s">
        <v>90</v>
      </c>
      <c r="F63" s="303"/>
      <c r="G63" s="303"/>
      <c r="H63" s="303"/>
      <c r="I63" s="304"/>
      <c r="J63" s="306">
        <f>J44+J45+J47+J48+J49+J50+J51</f>
        <v>840000</v>
      </c>
      <c r="K63" s="306">
        <f>K44+K45+K47+K48+K49+K50+K51</f>
        <v>900000</v>
      </c>
      <c r="L63" s="306">
        <f>L44+L45+L47+L48+L49+L50+L51</f>
        <v>960000</v>
      </c>
      <c r="M63" s="306">
        <f>exp_Salaries+exp_Benefits+exp_Scholarship+exp_Utilities+exp_Supplies+exp_Depreciation+exp_Other_OpEx</f>
        <v>1020000</v>
      </c>
      <c r="N63" s="305">
        <f>exp_Salaries+exp_Benefits+exp_Scholarship+exp_Utilities+exp_Supplies+exp_Depreciation+exp_Other_OpEx</f>
        <v>1080000</v>
      </c>
      <c r="O63" s="305">
        <f>exp_Salaries+exp_Benefits+exp_Scholarship+exp_Utilities+exp_Supplies+exp_Depreciation+exp_Other_OpEx</f>
        <v>1140000</v>
      </c>
      <c r="P63" s="305">
        <f>SUM(P44:P51)</f>
        <v>1200000</v>
      </c>
      <c r="Q63" s="306">
        <f t="shared" ref="Q63:AH63" si="36">exp_Salaries+exp_Benefits+-exp_OE_Savings+exp_Scholarship+exp_Utilities+exp_Supplies+exp_Depreciation+exp_Other_OpEx</f>
        <v>1260000</v>
      </c>
      <c r="R63" s="306">
        <f t="shared" si="36"/>
        <v>1320000</v>
      </c>
      <c r="S63" s="306">
        <f t="shared" si="36"/>
        <v>1320000</v>
      </c>
      <c r="T63" s="306">
        <f t="shared" ca="1" si="36"/>
        <v>1538254.0309172999</v>
      </c>
      <c r="U63" s="306">
        <f t="shared" ca="1" si="36"/>
        <v>1594128.2555374049</v>
      </c>
      <c r="V63" s="306">
        <f t="shared" ca="1" si="36"/>
        <v>1652599.2677783412</v>
      </c>
      <c r="W63" s="306">
        <f t="shared" ca="1" si="36"/>
        <v>1713808.2195691685</v>
      </c>
      <c r="X63" s="306">
        <f t="shared" ca="1" si="36"/>
        <v>1777904.8149806433</v>
      </c>
      <c r="Y63" s="306">
        <f t="shared" ca="1" si="36"/>
        <v>1837172.0448121212</v>
      </c>
      <c r="Z63" s="306">
        <f t="shared" ca="1" si="36"/>
        <v>1898761.1206747773</v>
      </c>
      <c r="AA63" s="306">
        <f t="shared" ca="1" si="36"/>
        <v>1962774.1629130454</v>
      </c>
      <c r="AB63" s="306">
        <f t="shared" ca="1" si="36"/>
        <v>2029318.2049137095</v>
      </c>
      <c r="AC63" s="306">
        <f t="shared" ca="1" si="36"/>
        <v>2098505.4438124122</v>
      </c>
      <c r="AD63" s="306">
        <f t="shared" ca="1" si="36"/>
        <v>2170453.504443605</v>
      </c>
      <c r="AE63" s="306">
        <f t="shared" ca="1" si="36"/>
        <v>2245285.717246972</v>
      </c>
      <c r="AF63" s="306">
        <f t="shared" ca="1" si="36"/>
        <v>2323131.4108821265</v>
      </c>
      <c r="AG63" s="306">
        <f t="shared" ca="1" si="36"/>
        <v>2404126.2203442911</v>
      </c>
      <c r="AH63" s="306">
        <f t="shared" ca="1" si="36"/>
        <v>2488412.4114168007</v>
      </c>
    </row>
    <row r="64" spans="1:34" ht="11.25" customHeight="1" x14ac:dyDescent="0.2">
      <c r="E64" s="284"/>
      <c r="F64" s="284"/>
      <c r="G64" s="284"/>
      <c r="H64" s="284"/>
      <c r="I64" s="287"/>
      <c r="J64" s="284"/>
      <c r="K64" s="284"/>
      <c r="L64" s="284"/>
      <c r="M64" s="284"/>
      <c r="N64" s="293"/>
      <c r="O64" s="293"/>
      <c r="P64" s="293"/>
      <c r="Q64" s="284"/>
      <c r="R64" s="284"/>
      <c r="S64" s="284"/>
      <c r="T64" s="284"/>
      <c r="U64" s="284"/>
      <c r="V64" s="284"/>
      <c r="W64" s="284"/>
      <c r="X64" s="284"/>
      <c r="Y64" s="284"/>
      <c r="Z64" s="284"/>
      <c r="AA64" s="284"/>
      <c r="AB64" s="284"/>
      <c r="AC64" s="284"/>
      <c r="AD64" s="284"/>
      <c r="AE64" s="284"/>
      <c r="AF64" s="284"/>
      <c r="AG64" s="284"/>
      <c r="AH64" s="284"/>
    </row>
    <row r="65" spans="5:34" ht="11.25" customHeight="1" x14ac:dyDescent="0.2">
      <c r="E65" s="312" t="s">
        <v>414</v>
      </c>
      <c r="F65" s="312"/>
      <c r="G65" s="312"/>
      <c r="H65" s="312"/>
      <c r="I65" s="313"/>
      <c r="J65" s="314">
        <f t="shared" ref="J65:O65" si="37">J40-J63</f>
        <v>-50000</v>
      </c>
      <c r="K65" s="314">
        <f t="shared" si="37"/>
        <v>-55000</v>
      </c>
      <c r="L65" s="314">
        <f t="shared" si="37"/>
        <v>-60000</v>
      </c>
      <c r="M65" s="314">
        <f t="shared" si="37"/>
        <v>-65000</v>
      </c>
      <c r="N65" s="315">
        <f t="shared" si="37"/>
        <v>-70000</v>
      </c>
      <c r="O65" s="315">
        <f t="shared" si="37"/>
        <v>-75000</v>
      </c>
      <c r="P65" s="315">
        <f>P40-P63</f>
        <v>-80000</v>
      </c>
      <c r="Q65" s="314">
        <f>Q40-Q63</f>
        <v>-85000</v>
      </c>
      <c r="R65" s="314">
        <f>R40-R63</f>
        <v>-90000</v>
      </c>
      <c r="S65" s="314">
        <f>S40-S63</f>
        <v>-90000</v>
      </c>
      <c r="T65" s="314">
        <f ca="1">T40-T63</f>
        <v>-912293.4687173015</v>
      </c>
      <c r="U65" s="314">
        <f t="shared" ref="U65:AH65" ca="1" si="38">U40-U63</f>
        <v>-942260.71070085873</v>
      </c>
      <c r="V65" s="314">
        <f t="shared" ca="1" si="38"/>
        <v>-973846.11510096374</v>
      </c>
      <c r="W65" s="314">
        <f t="shared" ca="1" si="38"/>
        <v>-1007148.2156812015</v>
      </c>
      <c r="X65" s="314">
        <f t="shared" ca="1" si="38"/>
        <v>-1042271.9886147489</v>
      </c>
      <c r="Y65" s="314">
        <f t="shared" ca="1" si="38"/>
        <v>-1071457.0605368041</v>
      </c>
      <c r="Z65" s="314">
        <f t="shared" ca="1" si="38"/>
        <v>-1101802.4152818529</v>
      </c>
      <c r="AA65" s="314">
        <f t="shared" ca="1" si="38"/>
        <v>-1133352.9656436197</v>
      </c>
      <c r="AB65" s="314">
        <f t="shared" ca="1" si="38"/>
        <v>-1166165.716357376</v>
      </c>
      <c r="AC65" s="314">
        <f t="shared" ca="1" si="38"/>
        <v>-1200295.8551511159</v>
      </c>
      <c r="AD65" s="314">
        <f t="shared" ca="1" si="38"/>
        <v>-1235801.1601533731</v>
      </c>
      <c r="AE65" s="314">
        <f t="shared" ca="1" si="38"/>
        <v>-1272742.1245100736</v>
      </c>
      <c r="AF65" s="314">
        <f t="shared" ca="1" si="38"/>
        <v>-1311182.0864420219</v>
      </c>
      <c r="AG65" s="314">
        <f t="shared" ca="1" si="38"/>
        <v>-1351187.3647890261</v>
      </c>
      <c r="AH65" s="314">
        <f t="shared" ca="1" si="38"/>
        <v>-1392827.4000333867</v>
      </c>
    </row>
    <row r="66" spans="5:34" ht="11.25" x14ac:dyDescent="0.2">
      <c r="E66" s="284"/>
      <c r="F66" s="284"/>
      <c r="G66" s="284"/>
      <c r="H66" s="284"/>
      <c r="I66" s="287"/>
      <c r="J66" s="284"/>
      <c r="K66" s="284"/>
      <c r="L66" s="284"/>
      <c r="M66" s="284"/>
      <c r="N66" s="293"/>
      <c r="O66" s="293"/>
      <c r="P66" s="293"/>
      <c r="Q66" s="284"/>
      <c r="R66" s="284"/>
      <c r="S66" s="284"/>
      <c r="T66" s="284"/>
      <c r="U66" s="284"/>
      <c r="V66" s="284"/>
      <c r="W66" s="284"/>
      <c r="X66" s="284"/>
      <c r="Y66" s="293"/>
      <c r="Z66" s="293"/>
      <c r="AA66" s="284"/>
      <c r="AB66" s="284"/>
      <c r="AC66" s="284"/>
      <c r="AD66" s="284"/>
      <c r="AE66" s="284"/>
      <c r="AF66" s="284"/>
      <c r="AG66" s="284"/>
      <c r="AH66" s="284"/>
    </row>
    <row r="67" spans="5:34" ht="11.25" x14ac:dyDescent="0.2">
      <c r="E67" s="285" t="s">
        <v>92</v>
      </c>
      <c r="F67" s="284"/>
      <c r="G67" s="284"/>
      <c r="H67" s="284"/>
      <c r="I67" s="287"/>
      <c r="J67" s="284"/>
      <c r="K67" s="284"/>
      <c r="L67" s="284"/>
      <c r="M67" s="284"/>
      <c r="N67" s="293"/>
      <c r="O67" s="293"/>
      <c r="P67" s="293"/>
      <c r="Q67" s="284"/>
      <c r="R67" s="284"/>
      <c r="S67" s="284"/>
      <c r="T67" s="284"/>
      <c r="U67" s="284"/>
      <c r="V67" s="284"/>
      <c r="W67" s="284"/>
      <c r="X67" s="284"/>
      <c r="Y67" s="293"/>
      <c r="Z67" s="293"/>
      <c r="AA67" s="284"/>
      <c r="AB67" s="284"/>
      <c r="AC67" s="284"/>
      <c r="AD67" s="284"/>
      <c r="AE67" s="284"/>
      <c r="AF67" s="284"/>
      <c r="AG67" s="284"/>
      <c r="AH67" s="284"/>
    </row>
    <row r="68" spans="5:34" ht="3" customHeight="1" x14ac:dyDescent="0.2">
      <c r="E68" s="284"/>
      <c r="F68" s="284"/>
      <c r="G68" s="284"/>
      <c r="H68" s="284"/>
      <c r="I68" s="287"/>
      <c r="J68" s="284"/>
      <c r="K68" s="284"/>
      <c r="L68" s="284"/>
      <c r="M68" s="284"/>
      <c r="N68" s="293"/>
      <c r="O68" s="293"/>
      <c r="P68" s="293"/>
      <c r="Q68" s="284"/>
      <c r="R68" s="284"/>
      <c r="S68" s="284"/>
      <c r="T68" s="284"/>
      <c r="U68" s="284"/>
      <c r="V68" s="284"/>
      <c r="W68" s="284"/>
      <c r="X68" s="284"/>
      <c r="Y68" s="293"/>
      <c r="Z68" s="293"/>
      <c r="AA68" s="284"/>
      <c r="AB68" s="284"/>
      <c r="AC68" s="284"/>
      <c r="AD68" s="284"/>
      <c r="AE68" s="284"/>
      <c r="AF68" s="284"/>
      <c r="AG68" s="284"/>
      <c r="AH68" s="284"/>
    </row>
    <row r="69" spans="5:34" ht="11.25" x14ac:dyDescent="0.2">
      <c r="E69" s="222" t="s">
        <v>25</v>
      </c>
      <c r="F69" s="284"/>
      <c r="G69" s="284"/>
      <c r="H69" s="284"/>
      <c r="I69" s="287"/>
      <c r="J69" s="284"/>
      <c r="K69" s="284"/>
      <c r="L69" s="284"/>
      <c r="M69" s="316"/>
      <c r="N69" s="317"/>
      <c r="O69" s="317"/>
      <c r="P69" s="317"/>
      <c r="Q69" s="316"/>
      <c r="R69" s="316"/>
      <c r="S69" s="316"/>
      <c r="T69" s="316"/>
      <c r="U69" s="316"/>
      <c r="V69" s="316"/>
      <c r="W69" s="316"/>
      <c r="X69" s="316"/>
      <c r="Y69" s="317"/>
      <c r="Z69" s="317"/>
      <c r="AA69" s="316"/>
      <c r="AB69" s="316"/>
      <c r="AC69" s="316"/>
      <c r="AD69" s="316"/>
      <c r="AE69" s="316"/>
      <c r="AF69" s="316"/>
      <c r="AG69" s="316"/>
      <c r="AH69" s="316"/>
    </row>
    <row r="70" spans="5:34" ht="11.25" x14ac:dyDescent="0.2">
      <c r="E70" s="224" t="s">
        <v>79</v>
      </c>
      <c r="F70" s="284"/>
      <c r="G70" s="284"/>
      <c r="H70" s="284"/>
      <c r="I70" s="287" t="s">
        <v>98</v>
      </c>
      <c r="J70" s="834">
        <v>80000</v>
      </c>
      <c r="K70" s="834">
        <v>85000</v>
      </c>
      <c r="L70" s="834">
        <v>90000</v>
      </c>
      <c r="M70" s="834">
        <v>95000</v>
      </c>
      <c r="N70" s="834">
        <v>100000</v>
      </c>
      <c r="O70" s="834">
        <v>105000</v>
      </c>
      <c r="P70" s="834">
        <v>110000</v>
      </c>
      <c r="Q70" s="834">
        <v>115000</v>
      </c>
      <c r="R70" s="834">
        <v>120000</v>
      </c>
      <c r="S70" s="834">
        <v>120000</v>
      </c>
      <c r="T70" s="158">
        <v>344600</v>
      </c>
      <c r="U70" s="158">
        <f t="shared" ref="U70:AH70" ca="1" si="39">(Prior_Year+rev_State_UCRP+rev_state_augmentation)*(1+gr_State_Educational_Approp)</f>
        <v>354938</v>
      </c>
      <c r="V70" s="158">
        <f t="shared" ca="1" si="39"/>
        <v>365586.14</v>
      </c>
      <c r="W70" s="158">
        <f t="shared" ca="1" si="39"/>
        <v>376553.7242</v>
      </c>
      <c r="X70" s="158">
        <f t="shared" ca="1" si="39"/>
        <v>387850.33592600003</v>
      </c>
      <c r="Y70" s="158">
        <f t="shared" ca="1" si="39"/>
        <v>399485.84600378003</v>
      </c>
      <c r="Z70" s="158">
        <f t="shared" ca="1" si="39"/>
        <v>411470.42138389341</v>
      </c>
      <c r="AA70" s="158">
        <f t="shared" ca="1" si="39"/>
        <v>423814.53402541025</v>
      </c>
      <c r="AB70" s="158">
        <f t="shared" ca="1" si="39"/>
        <v>436528.97004617256</v>
      </c>
      <c r="AC70" s="158">
        <f t="shared" ca="1" si="39"/>
        <v>449624.83914755774</v>
      </c>
      <c r="AD70" s="158">
        <f t="shared" ca="1" si="39"/>
        <v>463113.5843219845</v>
      </c>
      <c r="AE70" s="158">
        <f t="shared" ca="1" si="39"/>
        <v>477006.99185164407</v>
      </c>
      <c r="AF70" s="158">
        <f t="shared" ca="1" si="39"/>
        <v>491317.20160719339</v>
      </c>
      <c r="AG70" s="158">
        <f t="shared" ca="1" si="39"/>
        <v>506056.71765540919</v>
      </c>
      <c r="AH70" s="158">
        <f t="shared" ca="1" si="39"/>
        <v>521238.41918507149</v>
      </c>
    </row>
    <row r="71" spans="5:34" ht="11.25" x14ac:dyDescent="0.2">
      <c r="E71" s="224" t="s">
        <v>80</v>
      </c>
      <c r="F71" s="284"/>
      <c r="G71" s="284"/>
      <c r="H71" s="284"/>
      <c r="I71" s="287" t="s">
        <v>98</v>
      </c>
      <c r="J71" s="834">
        <v>30000</v>
      </c>
      <c r="K71" s="834">
        <v>35000</v>
      </c>
      <c r="L71" s="834">
        <v>40000</v>
      </c>
      <c r="M71" s="834">
        <v>45000</v>
      </c>
      <c r="N71" s="834">
        <v>50000</v>
      </c>
      <c r="O71" s="834">
        <v>55000</v>
      </c>
      <c r="P71" s="834">
        <v>60000</v>
      </c>
      <c r="Q71" s="834">
        <v>65000</v>
      </c>
      <c r="R71" s="834">
        <v>70000</v>
      </c>
      <c r="S71" s="834">
        <v>70000</v>
      </c>
      <c r="T71" s="318">
        <v>0</v>
      </c>
      <c r="U71" s="318">
        <v>0</v>
      </c>
      <c r="V71" s="318">
        <v>0</v>
      </c>
      <c r="W71" s="318">
        <v>0</v>
      </c>
      <c r="X71" s="318">
        <v>0</v>
      </c>
      <c r="Y71" s="318">
        <v>1</v>
      </c>
      <c r="Z71" s="318">
        <v>2</v>
      </c>
      <c r="AA71" s="318">
        <v>3</v>
      </c>
      <c r="AB71" s="318">
        <v>4</v>
      </c>
      <c r="AC71" s="318">
        <v>5</v>
      </c>
      <c r="AD71" s="318">
        <v>6</v>
      </c>
      <c r="AE71" s="318">
        <v>7</v>
      </c>
      <c r="AF71" s="318">
        <v>8</v>
      </c>
      <c r="AG71" s="318">
        <v>9</v>
      </c>
      <c r="AH71" s="318">
        <v>10</v>
      </c>
    </row>
    <row r="72" spans="5:34" ht="11.25" x14ac:dyDescent="0.2">
      <c r="E72" s="222" t="s">
        <v>26</v>
      </c>
      <c r="F72" s="284"/>
      <c r="G72" s="284"/>
      <c r="H72" s="284"/>
      <c r="I72" s="287" t="s">
        <v>98</v>
      </c>
      <c r="J72" s="834">
        <v>10000</v>
      </c>
      <c r="K72" s="834">
        <v>10000</v>
      </c>
      <c r="L72" s="834">
        <v>10000</v>
      </c>
      <c r="M72" s="834">
        <v>10000</v>
      </c>
      <c r="N72" s="834">
        <v>10000</v>
      </c>
      <c r="O72" s="834">
        <v>10000</v>
      </c>
      <c r="P72" s="834">
        <v>10000</v>
      </c>
      <c r="Q72" s="834">
        <v>10000</v>
      </c>
      <c r="R72" s="834">
        <v>10000</v>
      </c>
      <c r="S72" s="834">
        <v>10000</v>
      </c>
      <c r="T72" s="211">
        <v>0</v>
      </c>
      <c r="U72" s="211">
        <v>0</v>
      </c>
      <c r="V72" s="211">
        <v>0</v>
      </c>
      <c r="W72" s="211">
        <v>0</v>
      </c>
      <c r="X72" s="211">
        <v>0</v>
      </c>
      <c r="Y72" s="211">
        <v>1</v>
      </c>
      <c r="Z72" s="211">
        <v>2</v>
      </c>
      <c r="AA72" s="211">
        <v>3</v>
      </c>
      <c r="AB72" s="211">
        <v>4</v>
      </c>
      <c r="AC72" s="211">
        <v>5</v>
      </c>
      <c r="AD72" s="211">
        <v>6</v>
      </c>
      <c r="AE72" s="211">
        <v>7</v>
      </c>
      <c r="AF72" s="211">
        <v>8</v>
      </c>
      <c r="AG72" s="211">
        <v>9</v>
      </c>
      <c r="AH72" s="211">
        <v>10</v>
      </c>
    </row>
    <row r="73" spans="5:34" ht="11.25" x14ac:dyDescent="0.2">
      <c r="E73" s="222" t="s">
        <v>86</v>
      </c>
      <c r="F73" s="284"/>
      <c r="G73" s="284"/>
      <c r="H73" s="284"/>
      <c r="I73" s="287" t="s">
        <v>98</v>
      </c>
      <c r="J73" s="834">
        <v>5000</v>
      </c>
      <c r="K73" s="834">
        <v>5000</v>
      </c>
      <c r="L73" s="834">
        <v>5000</v>
      </c>
      <c r="M73" s="834">
        <v>5000</v>
      </c>
      <c r="N73" s="834">
        <v>5000</v>
      </c>
      <c r="O73" s="834">
        <v>5000</v>
      </c>
      <c r="P73" s="834">
        <v>5000</v>
      </c>
      <c r="Q73" s="834">
        <v>5000</v>
      </c>
      <c r="R73" s="834">
        <v>5000</v>
      </c>
      <c r="S73" s="834">
        <v>5000</v>
      </c>
      <c r="T73" s="211">
        <f t="shared" ref="T73:AH73" ca="1" si="40">Prior_Year</f>
        <v>5000</v>
      </c>
      <c r="U73" s="211">
        <f t="shared" ca="1" si="40"/>
        <v>5000</v>
      </c>
      <c r="V73" s="211">
        <f t="shared" ca="1" si="40"/>
        <v>5000</v>
      </c>
      <c r="W73" s="211">
        <f t="shared" ca="1" si="40"/>
        <v>5000</v>
      </c>
      <c r="X73" s="211">
        <f t="shared" ca="1" si="40"/>
        <v>5000</v>
      </c>
      <c r="Y73" s="211">
        <f t="shared" ca="1" si="40"/>
        <v>5000</v>
      </c>
      <c r="Z73" s="211">
        <f t="shared" ca="1" si="40"/>
        <v>5000</v>
      </c>
      <c r="AA73" s="211">
        <f t="shared" ca="1" si="40"/>
        <v>5000</v>
      </c>
      <c r="AB73" s="211">
        <f t="shared" ca="1" si="40"/>
        <v>5000</v>
      </c>
      <c r="AC73" s="211">
        <f t="shared" ca="1" si="40"/>
        <v>5000</v>
      </c>
      <c r="AD73" s="211">
        <f t="shared" ca="1" si="40"/>
        <v>5000</v>
      </c>
      <c r="AE73" s="211">
        <f t="shared" ca="1" si="40"/>
        <v>5000</v>
      </c>
      <c r="AF73" s="211">
        <f t="shared" ca="1" si="40"/>
        <v>5000</v>
      </c>
      <c r="AG73" s="211">
        <f t="shared" ca="1" si="40"/>
        <v>5000</v>
      </c>
      <c r="AH73" s="211">
        <f t="shared" ca="1" si="40"/>
        <v>5000</v>
      </c>
    </row>
    <row r="74" spans="5:34" ht="11.25" x14ac:dyDescent="0.2">
      <c r="E74" s="222" t="s">
        <v>78</v>
      </c>
      <c r="F74" s="284"/>
      <c r="G74" s="284"/>
      <c r="H74" s="284"/>
      <c r="I74" s="287" t="s">
        <v>98</v>
      </c>
      <c r="J74" s="834">
        <v>5000</v>
      </c>
      <c r="K74" s="834">
        <v>5000</v>
      </c>
      <c r="L74" s="834">
        <v>5000</v>
      </c>
      <c r="M74" s="834">
        <v>5000</v>
      </c>
      <c r="N74" s="834">
        <v>5000</v>
      </c>
      <c r="O74" s="834">
        <v>5000</v>
      </c>
      <c r="P74" s="834">
        <v>5000</v>
      </c>
      <c r="Q74" s="834">
        <v>5000</v>
      </c>
      <c r="R74" s="834">
        <v>5000</v>
      </c>
      <c r="S74" s="834">
        <v>5000</v>
      </c>
      <c r="T74" s="211">
        <f t="shared" ref="T74:AH74" ca="1" si="41">Prior_Year*(1+gr_Pell_Grant+gr_Inflation)</f>
        <v>5125</v>
      </c>
      <c r="U74" s="211">
        <f t="shared" ca="1" si="41"/>
        <v>5253.1249999999991</v>
      </c>
      <c r="V74" s="211">
        <f t="shared" ca="1" si="41"/>
        <v>5384.4531249999982</v>
      </c>
      <c r="W74" s="211">
        <f t="shared" ca="1" si="41"/>
        <v>5519.0644531249973</v>
      </c>
      <c r="X74" s="211">
        <f t="shared" ca="1" si="41"/>
        <v>5657.0410644531221</v>
      </c>
      <c r="Y74" s="211">
        <f t="shared" ca="1" si="41"/>
        <v>5798.46709106445</v>
      </c>
      <c r="Z74" s="211">
        <f t="shared" ca="1" si="41"/>
        <v>5943.4287683410603</v>
      </c>
      <c r="AA74" s="211">
        <f t="shared" ca="1" si="41"/>
        <v>6092.0144875495862</v>
      </c>
      <c r="AB74" s="211">
        <f t="shared" ca="1" si="41"/>
        <v>6244.3148497383254</v>
      </c>
      <c r="AC74" s="211">
        <f t="shared" ca="1" si="41"/>
        <v>6400.4227209817827</v>
      </c>
      <c r="AD74" s="211">
        <f t="shared" ca="1" si="41"/>
        <v>6560.433289006327</v>
      </c>
      <c r="AE74" s="211">
        <f t="shared" ca="1" si="41"/>
        <v>6724.4441212314841</v>
      </c>
      <c r="AF74" s="211">
        <f t="shared" ca="1" si="41"/>
        <v>6892.5552242622707</v>
      </c>
      <c r="AG74" s="211">
        <f t="shared" ca="1" si="41"/>
        <v>7064.869104868827</v>
      </c>
      <c r="AH74" s="211">
        <f t="shared" ca="1" si="41"/>
        <v>7241.4908324905473</v>
      </c>
    </row>
    <row r="75" spans="5:34" ht="11.25" x14ac:dyDescent="0.2">
      <c r="E75" s="222" t="s">
        <v>27</v>
      </c>
      <c r="F75" s="284"/>
      <c r="G75" s="284"/>
      <c r="H75" s="284"/>
      <c r="I75" s="287"/>
      <c r="J75" s="834">
        <v>60000</v>
      </c>
      <c r="K75" s="834">
        <v>65000</v>
      </c>
      <c r="L75" s="834">
        <v>70000</v>
      </c>
      <c r="M75" s="834">
        <v>75000</v>
      </c>
      <c r="N75" s="834">
        <v>80000</v>
      </c>
      <c r="O75" s="834">
        <v>85000</v>
      </c>
      <c r="P75" s="834">
        <v>90000</v>
      </c>
      <c r="Q75" s="834">
        <v>95000</v>
      </c>
      <c r="R75" s="834">
        <v>100000</v>
      </c>
      <c r="S75" s="834">
        <v>100000</v>
      </c>
      <c r="T75" s="211">
        <f t="shared" ref="T75:AH75" ca="1" si="42">Prior_Year*(1+gr_Gifts+gr_Inflation)</f>
        <v>103499.99999999999</v>
      </c>
      <c r="U75" s="211">
        <f t="shared" ca="1" si="42"/>
        <v>107122.49999999997</v>
      </c>
      <c r="V75" s="211">
        <f t="shared" ca="1" si="42"/>
        <v>110871.78749999996</v>
      </c>
      <c r="W75" s="211">
        <f t="shared" ca="1" si="42"/>
        <v>114752.30006249995</v>
      </c>
      <c r="X75" s="211">
        <f t="shared" ca="1" si="42"/>
        <v>118768.63056468744</v>
      </c>
      <c r="Y75" s="211">
        <f t="shared" ca="1" si="42"/>
        <v>122925.53263445149</v>
      </c>
      <c r="Z75" s="211">
        <f t="shared" ca="1" si="42"/>
        <v>127227.92627665728</v>
      </c>
      <c r="AA75" s="211">
        <f t="shared" ca="1" si="42"/>
        <v>131680.90369634028</v>
      </c>
      <c r="AB75" s="211">
        <f t="shared" ca="1" si="42"/>
        <v>136289.73532571219</v>
      </c>
      <c r="AC75" s="211">
        <f t="shared" ca="1" si="42"/>
        <v>141059.8760621121</v>
      </c>
      <c r="AD75" s="211">
        <f t="shared" ca="1" si="42"/>
        <v>145996.97172428601</v>
      </c>
      <c r="AE75" s="211">
        <f t="shared" ca="1" si="42"/>
        <v>151106.865734636</v>
      </c>
      <c r="AF75" s="211">
        <f t="shared" ca="1" si="42"/>
        <v>156395.60603534823</v>
      </c>
      <c r="AG75" s="211">
        <f t="shared" ca="1" si="42"/>
        <v>161869.4522465854</v>
      </c>
      <c r="AH75" s="211">
        <f t="shared" ca="1" si="42"/>
        <v>167534.88307521588</v>
      </c>
    </row>
    <row r="76" spans="5:34" ht="11.25" x14ac:dyDescent="0.2">
      <c r="E76" s="222" t="s">
        <v>81</v>
      </c>
      <c r="F76" s="284"/>
      <c r="G76" s="284"/>
      <c r="H76" s="284"/>
      <c r="I76" s="287"/>
      <c r="J76" s="289"/>
      <c r="K76" s="289"/>
      <c r="L76" s="289"/>
      <c r="M76" s="289"/>
      <c r="N76" s="289"/>
      <c r="O76" s="289"/>
      <c r="P76" s="289"/>
      <c r="Q76" s="319"/>
      <c r="R76" s="319"/>
      <c r="S76" s="319"/>
      <c r="T76" s="319"/>
      <c r="U76" s="319"/>
      <c r="V76" s="319"/>
      <c r="W76" s="319"/>
      <c r="X76" s="319"/>
      <c r="Y76" s="319"/>
      <c r="Z76" s="319"/>
      <c r="AA76" s="319"/>
      <c r="AB76" s="319"/>
      <c r="AC76" s="319"/>
      <c r="AD76" s="319"/>
      <c r="AE76" s="319"/>
      <c r="AF76" s="319"/>
      <c r="AG76" s="319"/>
      <c r="AH76" s="319"/>
    </row>
    <row r="77" spans="5:34" ht="11.25" x14ac:dyDescent="0.2">
      <c r="E77" s="845" t="s">
        <v>82</v>
      </c>
      <c r="F77" s="284"/>
      <c r="G77" s="284"/>
      <c r="H77" s="284"/>
      <c r="I77" s="287"/>
      <c r="J77" s="289">
        <f t="shared" ref="J77:L77" si="43">regent_endowment_payout</f>
        <v>60000</v>
      </c>
      <c r="K77" s="289">
        <f t="shared" si="43"/>
        <v>60000</v>
      </c>
      <c r="L77" s="289">
        <f t="shared" si="43"/>
        <v>60000</v>
      </c>
      <c r="M77" s="289">
        <f t="shared" ref="M77:AH77" si="44">regent_endowment_payout</f>
        <v>60000</v>
      </c>
      <c r="N77" s="289">
        <f t="shared" si="44"/>
        <v>60000</v>
      </c>
      <c r="O77" s="289">
        <f t="shared" si="44"/>
        <v>60000</v>
      </c>
      <c r="P77" s="289">
        <f t="shared" si="44"/>
        <v>60000</v>
      </c>
      <c r="Q77" s="211">
        <f t="shared" si="44"/>
        <v>60000</v>
      </c>
      <c r="R77" s="211">
        <f t="shared" si="44"/>
        <v>60000</v>
      </c>
      <c r="S77" s="211">
        <f t="shared" si="44"/>
        <v>60000</v>
      </c>
      <c r="T77" s="211">
        <f t="shared" si="44"/>
        <v>14000</v>
      </c>
      <c r="U77" s="211">
        <f t="shared" si="44"/>
        <v>15581.4</v>
      </c>
      <c r="V77" s="211">
        <f t="shared" si="44"/>
        <v>16732.7978</v>
      </c>
      <c r="W77" s="211">
        <f t="shared" si="44"/>
        <v>17446.153070600001</v>
      </c>
      <c r="X77" s="211">
        <f t="shared" si="44"/>
        <v>17716.886191216199</v>
      </c>
      <c r="Y77" s="211">
        <f t="shared" si="44"/>
        <v>17543.950413430706</v>
      </c>
      <c r="Z77" s="211">
        <f t="shared" si="44"/>
        <v>17348.476505979834</v>
      </c>
      <c r="AA77" s="211">
        <f t="shared" si="44"/>
        <v>17144.642649612037</v>
      </c>
      <c r="AB77" s="211">
        <f t="shared" si="44"/>
        <v>16943.400383144221</v>
      </c>
      <c r="AC77" s="211">
        <f t="shared" si="44"/>
        <v>16752.29051995344</v>
      </c>
      <c r="AD77" s="211">
        <f t="shared" si="44"/>
        <v>16575.312198053976</v>
      </c>
      <c r="AE77" s="211">
        <f t="shared" si="44"/>
        <v>16412.847220075477</v>
      </c>
      <c r="AF77" s="211">
        <f t="shared" si="44"/>
        <v>16264.989998556804</v>
      </c>
      <c r="AG77" s="211">
        <f t="shared" si="44"/>
        <v>16131.657482282568</v>
      </c>
      <c r="AH77" s="211">
        <f t="shared" si="44"/>
        <v>16012.67579170994</v>
      </c>
    </row>
    <row r="78" spans="5:34" ht="11.25" x14ac:dyDescent="0.2">
      <c r="E78" s="224" t="s">
        <v>68</v>
      </c>
      <c r="F78" s="284"/>
      <c r="G78" s="284"/>
      <c r="H78" s="284"/>
      <c r="I78" s="287"/>
      <c r="J78" s="834">
        <v>5000</v>
      </c>
      <c r="K78" s="834">
        <v>5000</v>
      </c>
      <c r="L78" s="834">
        <v>5000</v>
      </c>
      <c r="M78" s="834">
        <v>5000</v>
      </c>
      <c r="N78" s="834">
        <v>5000</v>
      </c>
      <c r="O78" s="834">
        <v>5000</v>
      </c>
      <c r="P78" s="834">
        <v>5000</v>
      </c>
      <c r="Q78" s="834">
        <v>5000</v>
      </c>
      <c r="R78" s="834">
        <v>5000</v>
      </c>
      <c r="S78" s="834">
        <v>5000</v>
      </c>
      <c r="T78" s="211">
        <f t="shared" ref="T78:AH78" ca="1" si="45">Prior_Year*(1+gr_STIP)</f>
        <v>4900</v>
      </c>
      <c r="U78" s="211">
        <f t="shared" ca="1" si="45"/>
        <v>4802</v>
      </c>
      <c r="V78" s="211">
        <f t="shared" ca="1" si="45"/>
        <v>4705.96</v>
      </c>
      <c r="W78" s="211">
        <f t="shared" ca="1" si="45"/>
        <v>4611.8407999999999</v>
      </c>
      <c r="X78" s="211">
        <f t="shared" ca="1" si="45"/>
        <v>4519.6039840000003</v>
      </c>
      <c r="Y78" s="211">
        <f t="shared" ca="1" si="45"/>
        <v>4429.21190432</v>
      </c>
      <c r="Z78" s="211">
        <f t="shared" ca="1" si="45"/>
        <v>4340.6276662336004</v>
      </c>
      <c r="AA78" s="211">
        <f t="shared" ca="1" si="45"/>
        <v>4253.8151129089283</v>
      </c>
      <c r="AB78" s="211">
        <f t="shared" ca="1" si="45"/>
        <v>4168.7388106507497</v>
      </c>
      <c r="AC78" s="211">
        <f t="shared" ca="1" si="45"/>
        <v>4085.3640344377345</v>
      </c>
      <c r="AD78" s="211">
        <f t="shared" ca="1" si="45"/>
        <v>4003.6567537489796</v>
      </c>
      <c r="AE78" s="211">
        <f t="shared" ca="1" si="45"/>
        <v>3923.5836186739998</v>
      </c>
      <c r="AF78" s="211">
        <f t="shared" ca="1" si="45"/>
        <v>3845.1119463005198</v>
      </c>
      <c r="AG78" s="211">
        <f t="shared" ca="1" si="45"/>
        <v>3768.2097073745094</v>
      </c>
      <c r="AH78" s="211">
        <f t="shared" ca="1" si="45"/>
        <v>3692.8455132270192</v>
      </c>
    </row>
    <row r="79" spans="5:34" ht="11.25" x14ac:dyDescent="0.2">
      <c r="E79" s="224" t="s">
        <v>85</v>
      </c>
      <c r="F79" s="284"/>
      <c r="G79" s="284"/>
      <c r="H79" s="284"/>
      <c r="I79" s="287"/>
      <c r="J79" s="834">
        <v>10000</v>
      </c>
      <c r="K79" s="834">
        <v>10000</v>
      </c>
      <c r="L79" s="834">
        <v>10000</v>
      </c>
      <c r="M79" s="834">
        <v>10000</v>
      </c>
      <c r="N79" s="834">
        <v>10000</v>
      </c>
      <c r="O79" s="834">
        <v>10000</v>
      </c>
      <c r="P79" s="834">
        <v>10000</v>
      </c>
      <c r="Q79" s="834">
        <v>10000</v>
      </c>
      <c r="R79" s="834">
        <v>10000</v>
      </c>
      <c r="S79" s="834">
        <v>10000</v>
      </c>
      <c r="T79" s="211">
        <f t="shared" ref="T79:AH83" ca="1" si="46">Prior_Year*(1+gr_TRIP)</f>
        <v>10400</v>
      </c>
      <c r="U79" s="211">
        <f t="shared" ca="1" si="46"/>
        <v>10816</v>
      </c>
      <c r="V79" s="211">
        <f t="shared" ca="1" si="46"/>
        <v>11248.640000000001</v>
      </c>
      <c r="W79" s="211">
        <f t="shared" ca="1" si="46"/>
        <v>11698.585600000002</v>
      </c>
      <c r="X79" s="211">
        <f t="shared" ca="1" si="46"/>
        <v>12166.529024000003</v>
      </c>
      <c r="Y79" s="211">
        <f t="shared" ca="1" si="46"/>
        <v>12653.190184960004</v>
      </c>
      <c r="Z79" s="211">
        <f t="shared" ca="1" si="46"/>
        <v>13159.317792358404</v>
      </c>
      <c r="AA79" s="211">
        <f t="shared" ca="1" si="46"/>
        <v>13685.690504052742</v>
      </c>
      <c r="AB79" s="211">
        <f t="shared" ca="1" si="46"/>
        <v>14233.118124214852</v>
      </c>
      <c r="AC79" s="211">
        <f t="shared" ca="1" si="46"/>
        <v>14802.442849183446</v>
      </c>
      <c r="AD79" s="211">
        <f t="shared" ca="1" si="46"/>
        <v>15394.540563150784</v>
      </c>
      <c r="AE79" s="211">
        <f t="shared" ca="1" si="46"/>
        <v>16010.322185676816</v>
      </c>
      <c r="AF79" s="211">
        <f t="shared" ca="1" si="46"/>
        <v>16650.73507310389</v>
      </c>
      <c r="AG79" s="211">
        <f t="shared" ca="1" si="46"/>
        <v>17316.764476028045</v>
      </c>
      <c r="AH79" s="211">
        <f t="shared" ca="1" si="46"/>
        <v>18009.435055069167</v>
      </c>
    </row>
    <row r="80" spans="5:34" ht="11.25" x14ac:dyDescent="0.2">
      <c r="E80" s="224" t="s">
        <v>300</v>
      </c>
      <c r="F80" s="284"/>
      <c r="G80" s="284"/>
      <c r="H80" s="284"/>
      <c r="I80" s="287"/>
      <c r="J80" s="834">
        <v>0</v>
      </c>
      <c r="K80" s="834">
        <v>500</v>
      </c>
      <c r="L80" s="834">
        <v>0</v>
      </c>
      <c r="M80" s="834">
        <v>0</v>
      </c>
      <c r="N80" s="834">
        <v>0</v>
      </c>
      <c r="O80" s="834">
        <v>0</v>
      </c>
      <c r="P80" s="834">
        <v>0</v>
      </c>
      <c r="Q80" s="834">
        <v>0</v>
      </c>
      <c r="R80" s="834">
        <v>1000</v>
      </c>
      <c r="S80" s="834">
        <v>0</v>
      </c>
      <c r="T80" s="211">
        <f t="shared" ca="1" si="46"/>
        <v>0</v>
      </c>
      <c r="U80" s="211">
        <f t="shared" ca="1" si="46"/>
        <v>0</v>
      </c>
      <c r="V80" s="211">
        <f t="shared" ca="1" si="46"/>
        <v>0</v>
      </c>
      <c r="W80" s="211">
        <f t="shared" ca="1" si="46"/>
        <v>0</v>
      </c>
      <c r="X80" s="211">
        <f t="shared" ca="1" si="46"/>
        <v>0</v>
      </c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</row>
    <row r="81" spans="5:34" ht="11.25" x14ac:dyDescent="0.2">
      <c r="E81" s="222" t="s">
        <v>83</v>
      </c>
      <c r="F81" s="284"/>
      <c r="G81" s="284"/>
      <c r="H81" s="284"/>
      <c r="I81" s="287"/>
      <c r="J81" s="834">
        <v>-1000</v>
      </c>
      <c r="K81" s="834">
        <v>-1000</v>
      </c>
      <c r="L81" s="834">
        <v>-1000</v>
      </c>
      <c r="M81" s="834">
        <v>-1000</v>
      </c>
      <c r="N81" s="834">
        <v>-1000</v>
      </c>
      <c r="O81" s="834">
        <v>-1000</v>
      </c>
      <c r="P81" s="834">
        <v>-1000</v>
      </c>
      <c r="Q81" s="834">
        <v>-1000</v>
      </c>
      <c r="R81" s="834">
        <v>-1000</v>
      </c>
      <c r="S81" s="834">
        <v>-1000</v>
      </c>
      <c r="T81" s="211">
        <f t="shared" ca="1" si="46"/>
        <v>-1040</v>
      </c>
      <c r="U81" s="211">
        <f t="shared" ca="1" si="46"/>
        <v>-1081.6000000000001</v>
      </c>
      <c r="V81" s="211">
        <f t="shared" ca="1" si="46"/>
        <v>-1124.8640000000003</v>
      </c>
      <c r="W81" s="211">
        <f t="shared" ca="1" si="46"/>
        <v>-1169.8585600000004</v>
      </c>
      <c r="X81" s="211">
        <f t="shared" ca="1" si="46"/>
        <v>-1216.6529024000004</v>
      </c>
      <c r="Y81" s="319">
        <v>0</v>
      </c>
      <c r="Z81" s="319">
        <v>0</v>
      </c>
      <c r="AA81" s="319">
        <v>0</v>
      </c>
      <c r="AB81" s="319">
        <v>0</v>
      </c>
      <c r="AC81" s="319">
        <v>0</v>
      </c>
      <c r="AD81" s="319">
        <v>0</v>
      </c>
      <c r="AE81" s="319">
        <v>0</v>
      </c>
      <c r="AF81" s="319">
        <v>0</v>
      </c>
      <c r="AG81" s="319">
        <v>0</v>
      </c>
      <c r="AH81" s="319">
        <v>0</v>
      </c>
    </row>
    <row r="82" spans="5:34" ht="11.25" x14ac:dyDescent="0.2">
      <c r="E82" s="222" t="s">
        <v>28</v>
      </c>
      <c r="F82" s="284"/>
      <c r="G82" s="284"/>
      <c r="H82" s="284"/>
      <c r="I82" s="287"/>
      <c r="J82" s="834">
        <v>-1000</v>
      </c>
      <c r="K82" s="834">
        <v>-1000</v>
      </c>
      <c r="L82" s="834">
        <v>-1000</v>
      </c>
      <c r="M82" s="834">
        <v>-1000</v>
      </c>
      <c r="N82" s="834">
        <v>-1000</v>
      </c>
      <c r="O82" s="834">
        <v>-1000</v>
      </c>
      <c r="P82" s="834">
        <v>-1000</v>
      </c>
      <c r="Q82" s="834">
        <v>-1000</v>
      </c>
      <c r="R82" s="834">
        <v>-1000</v>
      </c>
      <c r="S82" s="834">
        <v>-1000</v>
      </c>
      <c r="T82" s="211">
        <f t="shared" ca="1" si="46"/>
        <v>-1040</v>
      </c>
      <c r="U82" s="211">
        <f t="shared" ca="1" si="46"/>
        <v>-1081.6000000000001</v>
      </c>
      <c r="V82" s="211">
        <f t="shared" ca="1" si="46"/>
        <v>-1124.8640000000003</v>
      </c>
      <c r="W82" s="211">
        <f t="shared" ca="1" si="46"/>
        <v>-1169.8585600000004</v>
      </c>
      <c r="X82" s="211">
        <f t="shared" ca="1" si="46"/>
        <v>-1216.6529024000004</v>
      </c>
      <c r="Y82" s="320">
        <v>0</v>
      </c>
      <c r="Z82" s="320">
        <v>0</v>
      </c>
      <c r="AA82" s="320">
        <v>0</v>
      </c>
      <c r="AB82" s="320">
        <v>0</v>
      </c>
      <c r="AC82" s="320">
        <v>0</v>
      </c>
      <c r="AD82" s="320">
        <v>0</v>
      </c>
      <c r="AE82" s="320">
        <v>0</v>
      </c>
      <c r="AF82" s="320">
        <v>0</v>
      </c>
      <c r="AG82" s="320">
        <v>0</v>
      </c>
      <c r="AH82" s="320">
        <v>0</v>
      </c>
    </row>
    <row r="83" spans="5:34" ht="11.25" x14ac:dyDescent="0.2">
      <c r="E83" s="222" t="s">
        <v>29</v>
      </c>
      <c r="F83" s="284"/>
      <c r="G83" s="284"/>
      <c r="H83" s="284"/>
      <c r="I83" s="287"/>
      <c r="J83" s="834">
        <v>1000</v>
      </c>
      <c r="K83" s="834">
        <v>1000</v>
      </c>
      <c r="L83" s="834">
        <v>1000</v>
      </c>
      <c r="M83" s="834">
        <v>1000</v>
      </c>
      <c r="N83" s="834">
        <v>1000</v>
      </c>
      <c r="O83" s="834">
        <v>1000</v>
      </c>
      <c r="P83" s="834">
        <v>1000</v>
      </c>
      <c r="Q83" s="834">
        <v>1000</v>
      </c>
      <c r="R83" s="834">
        <v>1000</v>
      </c>
      <c r="S83" s="834">
        <v>1000</v>
      </c>
      <c r="T83" s="211">
        <f t="shared" ca="1" si="46"/>
        <v>1040</v>
      </c>
      <c r="U83" s="211">
        <f t="shared" ca="1" si="46"/>
        <v>1081.6000000000001</v>
      </c>
      <c r="V83" s="211">
        <f t="shared" ca="1" si="46"/>
        <v>1124.8640000000003</v>
      </c>
      <c r="W83" s="211">
        <f t="shared" ca="1" si="46"/>
        <v>1169.8585600000004</v>
      </c>
      <c r="X83" s="211">
        <f t="shared" ca="1" si="46"/>
        <v>1216.6529024000004</v>
      </c>
      <c r="Y83" s="320"/>
      <c r="Z83" s="320"/>
      <c r="AA83" s="320"/>
      <c r="AB83" s="320"/>
      <c r="AC83" s="320"/>
      <c r="AD83" s="320"/>
      <c r="AE83" s="320"/>
      <c r="AF83" s="320"/>
      <c r="AG83" s="320"/>
      <c r="AH83" s="320"/>
    </row>
    <row r="84" spans="5:34" ht="3" customHeight="1" x14ac:dyDescent="0.2">
      <c r="E84" s="284"/>
      <c r="F84" s="284"/>
      <c r="G84" s="284"/>
      <c r="H84" s="284"/>
      <c r="I84" s="287"/>
      <c r="J84" s="284"/>
      <c r="K84" s="284"/>
      <c r="L84" s="284"/>
      <c r="M84" s="284"/>
      <c r="N84" s="293"/>
      <c r="O84" s="293"/>
      <c r="P84" s="293"/>
      <c r="Q84" s="284"/>
      <c r="R84" s="284"/>
      <c r="S84" s="284"/>
      <c r="T84" s="284"/>
      <c r="U84" s="284"/>
      <c r="V84" s="284"/>
      <c r="W84" s="284"/>
      <c r="X84" s="284"/>
      <c r="Y84" s="284"/>
      <c r="Z84" s="284"/>
      <c r="AA84" s="284"/>
      <c r="AB84" s="284"/>
      <c r="AC84" s="284"/>
      <c r="AD84" s="284"/>
      <c r="AE84" s="284"/>
      <c r="AF84" s="284"/>
      <c r="AG84" s="284"/>
      <c r="AH84" s="284"/>
    </row>
    <row r="85" spans="5:34" ht="11.25" x14ac:dyDescent="0.2">
      <c r="E85" s="302" t="s">
        <v>91</v>
      </c>
      <c r="F85" s="302"/>
      <c r="G85" s="302"/>
      <c r="H85" s="302"/>
      <c r="I85" s="304"/>
      <c r="J85" s="306">
        <f>J70+J72+J75+J82+J83</f>
        <v>150000</v>
      </c>
      <c r="K85" s="306">
        <f>K70+K72+K75+K82+K83</f>
        <v>160000</v>
      </c>
      <c r="L85" s="306">
        <f>L70+L72+L75+L82+L83</f>
        <v>170000</v>
      </c>
      <c r="M85" s="306">
        <f t="shared" ref="M85:U85" si="47">SUM(M70:M83)</f>
        <v>309000</v>
      </c>
      <c r="N85" s="305">
        <f t="shared" si="47"/>
        <v>324000</v>
      </c>
      <c r="O85" s="305">
        <f>SUM(O70:O83)</f>
        <v>339000</v>
      </c>
      <c r="P85" s="305">
        <f t="shared" si="47"/>
        <v>354000</v>
      </c>
      <c r="Q85" s="306">
        <f t="shared" si="47"/>
        <v>369000</v>
      </c>
      <c r="R85" s="306">
        <f t="shared" si="47"/>
        <v>385000</v>
      </c>
      <c r="S85" s="306">
        <f t="shared" si="47"/>
        <v>384000</v>
      </c>
      <c r="T85" s="306">
        <f t="shared" ca="1" si="47"/>
        <v>486485</v>
      </c>
      <c r="U85" s="306">
        <f t="shared" ca="1" si="47"/>
        <v>502431.42500000005</v>
      </c>
      <c r="V85" s="306">
        <f ca="1">SUM(V70:V83)</f>
        <v>518404.91442500002</v>
      </c>
      <c r="W85" s="306">
        <f ca="1">SUM(W70:W83)</f>
        <v>534411.80962622503</v>
      </c>
      <c r="X85" s="306">
        <f ca="1">SUM(X70:X83)</f>
        <v>550462.37385195692</v>
      </c>
      <c r="Y85" s="306">
        <f t="shared" ref="Y85:AH85" ca="1" si="48">SUM(Y70:Y83)</f>
        <v>567838.19823200675</v>
      </c>
      <c r="Z85" s="306">
        <f t="shared" ca="1" si="48"/>
        <v>584494.19839346362</v>
      </c>
      <c r="AA85" s="306">
        <f t="shared" ca="1" si="48"/>
        <v>601677.60047587391</v>
      </c>
      <c r="AB85" s="306">
        <f t="shared" ca="1" si="48"/>
        <v>619416.27753963298</v>
      </c>
      <c r="AC85" s="306">
        <f t="shared" ca="1" si="48"/>
        <v>637735.23533422628</v>
      </c>
      <c r="AD85" s="306">
        <f t="shared" ca="1" si="48"/>
        <v>656656.49885023059</v>
      </c>
      <c r="AE85" s="306">
        <f t="shared" ca="1" si="48"/>
        <v>676199.05473193771</v>
      </c>
      <c r="AF85" s="306">
        <f t="shared" ca="1" si="48"/>
        <v>696382.19988476508</v>
      </c>
      <c r="AG85" s="306">
        <f t="shared" ca="1" si="48"/>
        <v>717225.67067254859</v>
      </c>
      <c r="AH85" s="306">
        <f t="shared" ca="1" si="48"/>
        <v>738749.74945278396</v>
      </c>
    </row>
    <row r="86" spans="5:34" ht="11.25" x14ac:dyDescent="0.2">
      <c r="E86" s="321"/>
      <c r="F86" s="284"/>
      <c r="G86" s="284"/>
      <c r="H86" s="284"/>
      <c r="I86" s="287"/>
      <c r="J86" s="322"/>
      <c r="K86" s="322"/>
      <c r="L86" s="322"/>
      <c r="M86" s="322"/>
      <c r="N86" s="288"/>
      <c r="O86" s="288"/>
      <c r="P86" s="288"/>
      <c r="Q86" s="322"/>
      <c r="R86" s="322"/>
      <c r="S86" s="322"/>
      <c r="T86" s="322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</row>
    <row r="87" spans="5:34" ht="11.25" x14ac:dyDescent="0.2">
      <c r="E87" s="312" t="s">
        <v>87</v>
      </c>
      <c r="F87" s="312"/>
      <c r="G87" s="312"/>
      <c r="H87" s="312"/>
      <c r="I87" s="313"/>
      <c r="J87" s="314">
        <f t="shared" ref="J87:U87" si="49">J65+J85</f>
        <v>100000</v>
      </c>
      <c r="K87" s="314">
        <f t="shared" si="49"/>
        <v>105000</v>
      </c>
      <c r="L87" s="314">
        <f t="shared" si="49"/>
        <v>110000</v>
      </c>
      <c r="M87" s="314">
        <f t="shared" si="49"/>
        <v>244000</v>
      </c>
      <c r="N87" s="315">
        <f t="shared" si="49"/>
        <v>254000</v>
      </c>
      <c r="O87" s="315">
        <f t="shared" si="49"/>
        <v>264000</v>
      </c>
      <c r="P87" s="315">
        <f t="shared" si="49"/>
        <v>274000</v>
      </c>
      <c r="Q87" s="314">
        <f t="shared" si="49"/>
        <v>284000</v>
      </c>
      <c r="R87" s="314">
        <f t="shared" si="49"/>
        <v>295000</v>
      </c>
      <c r="S87" s="314">
        <f t="shared" si="49"/>
        <v>294000</v>
      </c>
      <c r="T87" s="314">
        <f t="shared" ca="1" si="49"/>
        <v>-425808.4687173015</v>
      </c>
      <c r="U87" s="314">
        <f t="shared" ca="1" si="49"/>
        <v>-439829.28570085869</v>
      </c>
      <c r="V87" s="314">
        <f ca="1">V65+V85</f>
        <v>-455441.20067596372</v>
      </c>
      <c r="W87" s="314">
        <f ca="1">W65+W85</f>
        <v>-472736.40605497651</v>
      </c>
      <c r="X87" s="314">
        <f ca="1">X65+X85</f>
        <v>-491809.61476279201</v>
      </c>
      <c r="Y87" s="314">
        <f t="shared" ref="Y87:AH87" ca="1" si="50">Y65+Y85</f>
        <v>-503618.8623047974</v>
      </c>
      <c r="Z87" s="314">
        <f t="shared" ca="1" si="50"/>
        <v>-517308.21688838932</v>
      </c>
      <c r="AA87" s="314">
        <f t="shared" ca="1" si="50"/>
        <v>-531675.36516774574</v>
      </c>
      <c r="AB87" s="314">
        <f t="shared" ca="1" si="50"/>
        <v>-546749.43881774298</v>
      </c>
      <c r="AC87" s="314">
        <f t="shared" ca="1" si="50"/>
        <v>-562560.61981688964</v>
      </c>
      <c r="AD87" s="314">
        <f t="shared" ca="1" si="50"/>
        <v>-579144.66130314255</v>
      </c>
      <c r="AE87" s="314">
        <f t="shared" ca="1" si="50"/>
        <v>-596543.06977813586</v>
      </c>
      <c r="AF87" s="314">
        <f t="shared" ca="1" si="50"/>
        <v>-614799.8865572568</v>
      </c>
      <c r="AG87" s="314">
        <f t="shared" ca="1" si="50"/>
        <v>-633961.69411647751</v>
      </c>
      <c r="AH87" s="314">
        <f t="shared" ca="1" si="50"/>
        <v>-654077.6505806027</v>
      </c>
    </row>
    <row r="88" spans="5:34" ht="11.25" x14ac:dyDescent="0.2">
      <c r="E88" s="284"/>
      <c r="F88" s="284"/>
      <c r="G88" s="284"/>
      <c r="H88" s="284"/>
      <c r="I88" s="287"/>
      <c r="J88" s="284"/>
      <c r="K88" s="284"/>
      <c r="L88" s="284"/>
      <c r="M88" s="284"/>
      <c r="N88" s="293"/>
      <c r="O88" s="293"/>
      <c r="P88" s="293"/>
      <c r="Q88" s="284"/>
      <c r="R88" s="284"/>
      <c r="S88" s="284"/>
      <c r="T88" s="284"/>
      <c r="U88" s="284"/>
      <c r="V88" s="284"/>
      <c r="W88" s="284"/>
      <c r="X88" s="284"/>
      <c r="Y88" s="293"/>
      <c r="Z88" s="293"/>
      <c r="AA88" s="284"/>
      <c r="AB88" s="284"/>
      <c r="AC88" s="284"/>
      <c r="AD88" s="284"/>
      <c r="AE88" s="284"/>
      <c r="AF88" s="284"/>
      <c r="AG88" s="284"/>
      <c r="AH88" s="284"/>
    </row>
    <row r="89" spans="5:34" ht="11.25" x14ac:dyDescent="0.2">
      <c r="E89" s="285" t="s">
        <v>33</v>
      </c>
      <c r="F89" s="284"/>
      <c r="G89" s="284"/>
      <c r="H89" s="284"/>
      <c r="I89" s="287"/>
      <c r="J89" s="284"/>
      <c r="K89" s="284"/>
      <c r="L89" s="284"/>
      <c r="M89" s="284"/>
      <c r="N89" s="293"/>
      <c r="O89" s="293"/>
      <c r="P89" s="293"/>
      <c r="Q89" s="284"/>
      <c r="R89" s="284"/>
      <c r="S89" s="284"/>
      <c r="T89" s="284"/>
      <c r="U89" s="284"/>
      <c r="V89" s="284"/>
      <c r="W89" s="284"/>
      <c r="X89" s="284"/>
      <c r="Y89" s="293"/>
      <c r="Z89" s="293"/>
      <c r="AA89" s="284"/>
      <c r="AB89" s="284"/>
      <c r="AC89" s="284"/>
      <c r="AD89" s="284"/>
      <c r="AE89" s="284"/>
      <c r="AF89" s="284"/>
      <c r="AG89" s="284"/>
      <c r="AH89" s="284"/>
    </row>
    <row r="90" spans="5:34" ht="3" customHeight="1" x14ac:dyDescent="0.2">
      <c r="E90" s="323"/>
      <c r="F90" s="284"/>
      <c r="G90" s="284"/>
      <c r="H90" s="284"/>
      <c r="I90" s="287"/>
      <c r="J90" s="284"/>
      <c r="K90" s="284"/>
      <c r="L90" s="284"/>
      <c r="M90" s="284"/>
      <c r="N90" s="293"/>
      <c r="O90" s="293"/>
      <c r="P90" s="293"/>
      <c r="Q90" s="284"/>
      <c r="R90" s="284"/>
      <c r="S90" s="284"/>
      <c r="T90" s="284"/>
      <c r="U90" s="284"/>
      <c r="V90" s="284"/>
      <c r="W90" s="284"/>
      <c r="X90" s="284"/>
      <c r="Y90" s="293"/>
      <c r="Z90" s="293"/>
      <c r="AA90" s="284"/>
      <c r="AB90" s="284"/>
      <c r="AC90" s="284"/>
      <c r="AD90" s="284"/>
      <c r="AE90" s="284"/>
      <c r="AF90" s="284"/>
      <c r="AG90" s="284"/>
      <c r="AH90" s="284"/>
    </row>
    <row r="91" spans="5:34" ht="11.25" x14ac:dyDescent="0.2">
      <c r="E91" s="222" t="s">
        <v>30</v>
      </c>
      <c r="F91" s="284"/>
      <c r="G91" s="284"/>
      <c r="H91" s="284"/>
      <c r="I91" s="287"/>
      <c r="J91" s="834">
        <v>5000</v>
      </c>
      <c r="K91" s="834">
        <v>5000</v>
      </c>
      <c r="L91" s="834">
        <v>5000</v>
      </c>
      <c r="M91" s="834">
        <v>5000</v>
      </c>
      <c r="N91" s="834">
        <v>5000</v>
      </c>
      <c r="O91" s="834">
        <v>5000</v>
      </c>
      <c r="P91" s="834">
        <v>5000</v>
      </c>
      <c r="Q91" s="834">
        <v>5000</v>
      </c>
      <c r="R91" s="834">
        <v>5000</v>
      </c>
      <c r="S91" s="834">
        <v>5000</v>
      </c>
      <c r="T91" s="217">
        <f t="shared" ref="T91:AH91" ca="1" si="51">Prior_Year*(1+gr_State_Capital_Approp)</f>
        <v>5000</v>
      </c>
      <c r="U91" s="217">
        <f t="shared" ca="1" si="51"/>
        <v>5000</v>
      </c>
      <c r="V91" s="217">
        <f t="shared" ca="1" si="51"/>
        <v>5000</v>
      </c>
      <c r="W91" s="217">
        <f t="shared" ca="1" si="51"/>
        <v>5000</v>
      </c>
      <c r="X91" s="217">
        <f t="shared" ca="1" si="51"/>
        <v>5000</v>
      </c>
      <c r="Y91" s="217">
        <f t="shared" ca="1" si="51"/>
        <v>5000</v>
      </c>
      <c r="Z91" s="217">
        <f t="shared" ca="1" si="51"/>
        <v>5000</v>
      </c>
      <c r="AA91" s="217">
        <f t="shared" ca="1" si="51"/>
        <v>5000</v>
      </c>
      <c r="AB91" s="217">
        <f t="shared" ca="1" si="51"/>
        <v>5000</v>
      </c>
      <c r="AC91" s="217">
        <f t="shared" ca="1" si="51"/>
        <v>5000</v>
      </c>
      <c r="AD91" s="217">
        <f t="shared" ca="1" si="51"/>
        <v>5000</v>
      </c>
      <c r="AE91" s="217">
        <f t="shared" ca="1" si="51"/>
        <v>5000</v>
      </c>
      <c r="AF91" s="217">
        <f t="shared" ca="1" si="51"/>
        <v>5000</v>
      </c>
      <c r="AG91" s="217">
        <f t="shared" ca="1" si="51"/>
        <v>5000</v>
      </c>
      <c r="AH91" s="217">
        <f t="shared" ca="1" si="51"/>
        <v>5000</v>
      </c>
    </row>
    <row r="92" spans="5:34" ht="11.25" x14ac:dyDescent="0.2">
      <c r="E92" s="222" t="s">
        <v>31</v>
      </c>
      <c r="F92" s="284"/>
      <c r="G92" s="284"/>
      <c r="H92" s="284"/>
      <c r="I92" s="287"/>
      <c r="J92" s="834">
        <v>10000</v>
      </c>
      <c r="K92" s="834">
        <v>10000</v>
      </c>
      <c r="L92" s="834">
        <v>10000</v>
      </c>
      <c r="M92" s="834">
        <v>10000</v>
      </c>
      <c r="N92" s="834">
        <v>10000</v>
      </c>
      <c r="O92" s="834">
        <v>10000</v>
      </c>
      <c r="P92" s="834">
        <v>10000</v>
      </c>
      <c r="Q92" s="834">
        <v>10000</v>
      </c>
      <c r="R92" s="834">
        <v>10000</v>
      </c>
      <c r="S92" s="834">
        <v>10000</v>
      </c>
      <c r="T92" s="211">
        <f t="shared" ref="T92:AH92" ca="1" si="52">Prior_Year*(1+gr_Capital_Gifts)</f>
        <v>10000</v>
      </c>
      <c r="U92" s="211">
        <f t="shared" ca="1" si="52"/>
        <v>10000</v>
      </c>
      <c r="V92" s="211">
        <f t="shared" ca="1" si="52"/>
        <v>10000</v>
      </c>
      <c r="W92" s="211">
        <f t="shared" ca="1" si="52"/>
        <v>10000</v>
      </c>
      <c r="X92" s="211">
        <f t="shared" ca="1" si="52"/>
        <v>10000</v>
      </c>
      <c r="Y92" s="211">
        <f t="shared" ca="1" si="52"/>
        <v>10000</v>
      </c>
      <c r="Z92" s="211">
        <f t="shared" ca="1" si="52"/>
        <v>10000</v>
      </c>
      <c r="AA92" s="211">
        <f t="shared" ca="1" si="52"/>
        <v>10000</v>
      </c>
      <c r="AB92" s="211">
        <f t="shared" ca="1" si="52"/>
        <v>10000</v>
      </c>
      <c r="AC92" s="211">
        <f t="shared" ca="1" si="52"/>
        <v>10000</v>
      </c>
      <c r="AD92" s="211">
        <f t="shared" ca="1" si="52"/>
        <v>10000</v>
      </c>
      <c r="AE92" s="211">
        <f t="shared" ca="1" si="52"/>
        <v>10000</v>
      </c>
      <c r="AF92" s="211">
        <f t="shared" ca="1" si="52"/>
        <v>10000</v>
      </c>
      <c r="AG92" s="211">
        <f t="shared" ca="1" si="52"/>
        <v>10000</v>
      </c>
      <c r="AH92" s="211">
        <f t="shared" ca="1" si="52"/>
        <v>10000</v>
      </c>
    </row>
    <row r="93" spans="5:34" ht="11.25" x14ac:dyDescent="0.2">
      <c r="E93" s="222" t="s">
        <v>32</v>
      </c>
      <c r="F93" s="284"/>
      <c r="G93" s="284"/>
      <c r="H93" s="284"/>
      <c r="I93" s="287"/>
      <c r="J93" s="834">
        <v>180000</v>
      </c>
      <c r="K93" s="834">
        <v>185000</v>
      </c>
      <c r="L93" s="834">
        <v>190000</v>
      </c>
      <c r="M93" s="834">
        <v>195000</v>
      </c>
      <c r="N93" s="834">
        <v>200000</v>
      </c>
      <c r="O93" s="834">
        <v>205000</v>
      </c>
      <c r="P93" s="834">
        <v>210000</v>
      </c>
      <c r="Q93" s="834">
        <v>215000</v>
      </c>
      <c r="R93" s="834">
        <v>220000</v>
      </c>
      <c r="S93" s="834">
        <v>220000</v>
      </c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</row>
    <row r="94" spans="5:34" ht="11.25" hidden="1" outlineLevel="1" x14ac:dyDescent="0.2">
      <c r="E94" s="310" t="s">
        <v>52</v>
      </c>
      <c r="F94" s="297"/>
      <c r="G94" s="297"/>
      <c r="H94" s="297"/>
      <c r="I94" s="299"/>
      <c r="J94" s="301"/>
      <c r="K94" s="301"/>
      <c r="L94" s="301"/>
      <c r="M94" s="324">
        <v>245380</v>
      </c>
      <c r="N94" s="300">
        <v>214143</v>
      </c>
      <c r="O94" s="300">
        <v>263902</v>
      </c>
      <c r="P94" s="300">
        <v>311179</v>
      </c>
      <c r="Q94" s="308"/>
      <c r="R94" s="308"/>
      <c r="S94" s="308"/>
      <c r="T94" s="308"/>
      <c r="U94" s="308"/>
      <c r="V94" s="308"/>
      <c r="W94" s="308"/>
      <c r="X94" s="308"/>
      <c r="Y94" s="308"/>
      <c r="Z94" s="308"/>
      <c r="AA94" s="308"/>
      <c r="AB94" s="308"/>
      <c r="AC94" s="308"/>
      <c r="AD94" s="308"/>
      <c r="AE94" s="308"/>
      <c r="AF94" s="308"/>
      <c r="AG94" s="308"/>
      <c r="AH94" s="308"/>
    </row>
    <row r="95" spans="5:34" ht="11.25" hidden="1" outlineLevel="1" x14ac:dyDescent="0.2">
      <c r="E95" s="310" t="s">
        <v>115</v>
      </c>
      <c r="F95" s="297"/>
      <c r="G95" s="297"/>
      <c r="H95" s="297"/>
      <c r="I95" s="299"/>
      <c r="J95" s="301"/>
      <c r="K95" s="301"/>
      <c r="L95" s="301"/>
      <c r="M95" s="324">
        <v>-63413</v>
      </c>
      <c r="N95" s="300">
        <v>5869</v>
      </c>
      <c r="O95" s="300">
        <v>24104</v>
      </c>
      <c r="P95" s="300">
        <f>exp_Debt_Service</f>
        <v>76600</v>
      </c>
      <c r="Q95" s="308">
        <f t="shared" ref="Q95:AH95" si="53">exp_Debt_Service</f>
        <v>112659</v>
      </c>
      <c r="R95" s="308">
        <f t="shared" si="53"/>
        <v>78800</v>
      </c>
      <c r="S95" s="308">
        <f t="shared" si="53"/>
        <v>79900</v>
      </c>
      <c r="T95" s="308">
        <f t="shared" si="53"/>
        <v>81000</v>
      </c>
      <c r="U95" s="308">
        <f t="shared" si="53"/>
        <v>82100</v>
      </c>
      <c r="V95" s="308">
        <f t="shared" si="53"/>
        <v>83200</v>
      </c>
      <c r="W95" s="308">
        <f t="shared" si="53"/>
        <v>84300</v>
      </c>
      <c r="X95" s="308">
        <f t="shared" si="53"/>
        <v>85400</v>
      </c>
      <c r="Y95" s="308">
        <f t="shared" si="53"/>
        <v>86500</v>
      </c>
      <c r="Z95" s="308">
        <f t="shared" si="53"/>
        <v>87600</v>
      </c>
      <c r="AA95" s="308">
        <f t="shared" si="53"/>
        <v>88700</v>
      </c>
      <c r="AB95" s="308">
        <f t="shared" si="53"/>
        <v>89800</v>
      </c>
      <c r="AC95" s="308">
        <f t="shared" si="53"/>
        <v>90900</v>
      </c>
      <c r="AD95" s="308">
        <f t="shared" si="53"/>
        <v>92000</v>
      </c>
      <c r="AE95" s="308">
        <f t="shared" si="53"/>
        <v>93100</v>
      </c>
      <c r="AF95" s="308">
        <f t="shared" si="53"/>
        <v>94200</v>
      </c>
      <c r="AG95" s="308">
        <f t="shared" si="53"/>
        <v>95300</v>
      </c>
      <c r="AH95" s="308">
        <f t="shared" si="53"/>
        <v>96400</v>
      </c>
    </row>
    <row r="96" spans="5:34" ht="11.25" hidden="1" outlineLevel="1" x14ac:dyDescent="0.2">
      <c r="E96" s="310" t="s">
        <v>218</v>
      </c>
      <c r="F96" s="297"/>
      <c r="G96" s="297"/>
      <c r="H96" s="297"/>
      <c r="I96" s="299"/>
      <c r="J96" s="301"/>
      <c r="K96" s="301"/>
      <c r="L96" s="301"/>
      <c r="M96" s="324"/>
      <c r="N96" s="300">
        <v>-26274</v>
      </c>
      <c r="O96" s="300">
        <v>-23570</v>
      </c>
      <c r="P96" s="300">
        <v>-26156</v>
      </c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  <c r="AF96" s="301"/>
      <c r="AG96" s="301"/>
      <c r="AH96" s="301"/>
    </row>
    <row r="97" spans="4:34" ht="11.25" hidden="1" outlineLevel="1" x14ac:dyDescent="0.2">
      <c r="E97" s="310" t="s">
        <v>219</v>
      </c>
      <c r="F97" s="297"/>
      <c r="G97" s="297"/>
      <c r="H97" s="297"/>
      <c r="I97" s="299"/>
      <c r="J97" s="301"/>
      <c r="K97" s="301"/>
      <c r="L97" s="301"/>
      <c r="M97" s="324"/>
      <c r="N97" s="300">
        <v>-1266</v>
      </c>
      <c r="O97" s="300">
        <v>138</v>
      </c>
      <c r="P97" s="300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  <c r="AF97" s="301"/>
      <c r="AG97" s="301"/>
      <c r="AH97" s="301"/>
    </row>
    <row r="98" spans="4:34" ht="11.25" hidden="1" outlineLevel="1" x14ac:dyDescent="0.2">
      <c r="E98" s="310" t="s">
        <v>113</v>
      </c>
      <c r="F98" s="297"/>
      <c r="G98" s="297"/>
      <c r="H98" s="297"/>
      <c r="I98" s="299"/>
      <c r="J98" s="301"/>
      <c r="K98" s="301"/>
      <c r="L98" s="301"/>
      <c r="M98" s="324">
        <v>-26955</v>
      </c>
      <c r="N98" s="300">
        <v>-30016</v>
      </c>
      <c r="O98" s="300">
        <v>5707</v>
      </c>
      <c r="P98" s="300">
        <v>0</v>
      </c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</row>
    <row r="99" spans="4:34" ht="11.25" hidden="1" outlineLevel="1" x14ac:dyDescent="0.2">
      <c r="E99" s="310" t="s">
        <v>220</v>
      </c>
      <c r="F99" s="297"/>
      <c r="G99" s="297"/>
      <c r="H99" s="297"/>
      <c r="I99" s="299"/>
      <c r="J99" s="301"/>
      <c r="K99" s="301"/>
      <c r="L99" s="301"/>
      <c r="M99" s="324"/>
      <c r="N99" s="300">
        <v>8782</v>
      </c>
      <c r="O99" s="300">
        <v>-2286</v>
      </c>
      <c r="P99" s="300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</row>
    <row r="100" spans="4:34" ht="11.25" hidden="1" outlineLevel="1" x14ac:dyDescent="0.2">
      <c r="E100" s="310" t="s">
        <v>114</v>
      </c>
      <c r="F100" s="297"/>
      <c r="G100" s="297"/>
      <c r="H100" s="297"/>
      <c r="I100" s="299"/>
      <c r="J100" s="301"/>
      <c r="K100" s="301"/>
      <c r="L100" s="301"/>
      <c r="M100" s="324">
        <v>-10616</v>
      </c>
      <c r="N100" s="300">
        <v>-39456</v>
      </c>
      <c r="O100" s="300">
        <v>-11752</v>
      </c>
      <c r="P100" s="300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</row>
    <row r="101" spans="4:34" ht="11.25" hidden="1" outlineLevel="1" x14ac:dyDescent="0.2">
      <c r="E101" s="310" t="s">
        <v>221</v>
      </c>
      <c r="F101" s="297"/>
      <c r="G101" s="297"/>
      <c r="H101" s="297"/>
      <c r="I101" s="299"/>
      <c r="J101" s="301"/>
      <c r="K101" s="301"/>
      <c r="L101" s="301"/>
      <c r="M101" s="324"/>
      <c r="N101" s="300">
        <v>6823</v>
      </c>
      <c r="O101" s="300">
        <v>7764</v>
      </c>
      <c r="P101" s="300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</row>
    <row r="102" spans="4:34" ht="11.25" hidden="1" outlineLevel="1" x14ac:dyDescent="0.2">
      <c r="E102" s="310" t="s">
        <v>53</v>
      </c>
      <c r="F102" s="297"/>
      <c r="G102" s="297"/>
      <c r="H102" s="297"/>
      <c r="I102" s="299"/>
      <c r="J102" s="301"/>
      <c r="K102" s="301"/>
      <c r="L102" s="301"/>
      <c r="M102" s="324">
        <f>13289+6682+1726+663-2945</f>
        <v>19415</v>
      </c>
      <c r="N102" s="300">
        <v>19726</v>
      </c>
      <c r="O102" s="300">
        <v>11585</v>
      </c>
      <c r="P102" s="300"/>
      <c r="Q102" s="308"/>
      <c r="R102" s="308"/>
      <c r="S102" s="308"/>
      <c r="T102" s="308"/>
      <c r="U102" s="308"/>
      <c r="V102" s="308"/>
      <c r="W102" s="308"/>
      <c r="X102" s="308"/>
      <c r="Y102" s="308"/>
      <c r="Z102" s="308"/>
      <c r="AA102" s="308"/>
      <c r="AB102" s="308"/>
      <c r="AC102" s="308"/>
      <c r="AD102" s="308"/>
      <c r="AE102" s="308"/>
      <c r="AF102" s="308"/>
      <c r="AG102" s="308"/>
      <c r="AH102" s="308"/>
    </row>
    <row r="103" spans="4:34" ht="3" customHeight="1" collapsed="1" x14ac:dyDescent="0.2">
      <c r="E103" s="222"/>
      <c r="F103" s="284"/>
      <c r="G103" s="284"/>
      <c r="H103" s="284"/>
      <c r="I103" s="287"/>
      <c r="J103" s="319"/>
      <c r="K103" s="319"/>
      <c r="L103" s="319"/>
      <c r="M103" s="319"/>
      <c r="N103" s="289"/>
      <c r="O103" s="289"/>
      <c r="P103" s="289"/>
      <c r="Q103" s="319"/>
      <c r="R103" s="319"/>
      <c r="S103" s="319"/>
      <c r="T103" s="319"/>
      <c r="U103" s="319"/>
      <c r="V103" s="319"/>
      <c r="W103" s="319"/>
      <c r="X103" s="319"/>
      <c r="Y103" s="319"/>
      <c r="Z103" s="319"/>
      <c r="AA103" s="319"/>
      <c r="AB103" s="319"/>
      <c r="AC103" s="319"/>
      <c r="AD103" s="319"/>
      <c r="AE103" s="319"/>
      <c r="AF103" s="319"/>
      <c r="AG103" s="319"/>
      <c r="AH103" s="319"/>
    </row>
    <row r="104" spans="4:34" ht="11.25" x14ac:dyDescent="0.2">
      <c r="E104" s="302" t="s">
        <v>93</v>
      </c>
      <c r="F104" s="302"/>
      <c r="G104" s="302"/>
      <c r="H104" s="302"/>
      <c r="I104" s="304"/>
      <c r="J104" s="306">
        <f t="shared" ref="J104:U104" si="54">SUM(J91:J93)</f>
        <v>195000</v>
      </c>
      <c r="K104" s="306">
        <f t="shared" si="54"/>
        <v>200000</v>
      </c>
      <c r="L104" s="306">
        <f t="shared" si="54"/>
        <v>205000</v>
      </c>
      <c r="M104" s="306">
        <f t="shared" si="54"/>
        <v>210000</v>
      </c>
      <c r="N104" s="305">
        <f t="shared" si="54"/>
        <v>215000</v>
      </c>
      <c r="O104" s="305">
        <f t="shared" si="54"/>
        <v>220000</v>
      </c>
      <c r="P104" s="305">
        <f t="shared" si="54"/>
        <v>225000</v>
      </c>
      <c r="Q104" s="306">
        <f t="shared" si="54"/>
        <v>230000</v>
      </c>
      <c r="R104" s="306">
        <f t="shared" si="54"/>
        <v>235000</v>
      </c>
      <c r="S104" s="306">
        <f t="shared" si="54"/>
        <v>235000</v>
      </c>
      <c r="T104" s="306">
        <f t="shared" ca="1" si="54"/>
        <v>15000</v>
      </c>
      <c r="U104" s="306">
        <f t="shared" ca="1" si="54"/>
        <v>15000</v>
      </c>
      <c r="V104" s="306">
        <f ca="1">SUM(V91:V93)</f>
        <v>15000</v>
      </c>
      <c r="W104" s="306">
        <f ca="1">SUM(W91:W93)</f>
        <v>15000</v>
      </c>
      <c r="X104" s="306">
        <f ca="1">SUM(X91:X93)</f>
        <v>15000</v>
      </c>
      <c r="Y104" s="306">
        <f t="shared" ref="Y104:AH104" ca="1" si="55">SUM(Y91:Y93)</f>
        <v>15000</v>
      </c>
      <c r="Z104" s="306">
        <f t="shared" ca="1" si="55"/>
        <v>15000</v>
      </c>
      <c r="AA104" s="306">
        <f t="shared" ca="1" si="55"/>
        <v>15000</v>
      </c>
      <c r="AB104" s="306">
        <f t="shared" ca="1" si="55"/>
        <v>15000</v>
      </c>
      <c r="AC104" s="306">
        <f t="shared" ca="1" si="55"/>
        <v>15000</v>
      </c>
      <c r="AD104" s="306">
        <f t="shared" ca="1" si="55"/>
        <v>15000</v>
      </c>
      <c r="AE104" s="306">
        <f t="shared" ca="1" si="55"/>
        <v>15000</v>
      </c>
      <c r="AF104" s="306">
        <f t="shared" ca="1" si="55"/>
        <v>15000</v>
      </c>
      <c r="AG104" s="306">
        <f t="shared" ca="1" si="55"/>
        <v>15000</v>
      </c>
      <c r="AH104" s="306">
        <f t="shared" ca="1" si="55"/>
        <v>15000</v>
      </c>
    </row>
    <row r="105" spans="4:34" ht="11.25" x14ac:dyDescent="0.2">
      <c r="E105" s="284"/>
      <c r="F105" s="284"/>
      <c r="G105" s="284"/>
      <c r="H105" s="284"/>
      <c r="I105" s="287"/>
      <c r="J105" s="284"/>
      <c r="K105" s="284"/>
      <c r="L105" s="284"/>
      <c r="M105" s="284"/>
      <c r="N105" s="293"/>
      <c r="O105" s="293"/>
      <c r="P105" s="293"/>
      <c r="Q105" s="284"/>
      <c r="R105" s="284"/>
      <c r="S105" s="284"/>
      <c r="T105" s="284"/>
      <c r="U105" s="284"/>
      <c r="V105" s="284"/>
      <c r="W105" s="284"/>
      <c r="X105" s="284"/>
      <c r="Y105" s="284"/>
      <c r="Z105" s="284"/>
      <c r="AA105" s="284"/>
      <c r="AB105" s="284"/>
      <c r="AC105" s="284"/>
      <c r="AD105" s="284"/>
      <c r="AE105" s="284"/>
      <c r="AF105" s="284"/>
      <c r="AG105" s="284"/>
      <c r="AH105" s="284"/>
    </row>
    <row r="106" spans="4:34" ht="11.25" x14ac:dyDescent="0.2">
      <c r="E106" s="302" t="s">
        <v>94</v>
      </c>
      <c r="F106" s="302"/>
      <c r="G106" s="302"/>
      <c r="H106" s="302"/>
      <c r="I106" s="304"/>
      <c r="J106" s="325">
        <f>J65+J85+J104</f>
        <v>295000</v>
      </c>
      <c r="K106" s="325">
        <f>K65+K85+K104</f>
        <v>305000</v>
      </c>
      <c r="L106" s="325">
        <f>L65+L85+L104</f>
        <v>315000</v>
      </c>
      <c r="M106" s="325">
        <f>M65+M85+M104</f>
        <v>454000</v>
      </c>
      <c r="N106" s="305">
        <f>N65+N85+N104</f>
        <v>469000</v>
      </c>
      <c r="O106" s="305">
        <f t="shared" ref="O106:U106" si="56">O87+O104</f>
        <v>484000</v>
      </c>
      <c r="P106" s="305">
        <f t="shared" si="56"/>
        <v>499000</v>
      </c>
      <c r="Q106" s="325">
        <f t="shared" si="56"/>
        <v>514000</v>
      </c>
      <c r="R106" s="325">
        <f t="shared" si="56"/>
        <v>530000</v>
      </c>
      <c r="S106" s="325">
        <f t="shared" si="56"/>
        <v>529000</v>
      </c>
      <c r="T106" s="325">
        <f t="shared" ca="1" si="56"/>
        <v>-410808.4687173015</v>
      </c>
      <c r="U106" s="325">
        <f t="shared" ca="1" si="56"/>
        <v>-424829.28570085869</v>
      </c>
      <c r="V106" s="325">
        <f ca="1">V87+V104</f>
        <v>-440441.20067596372</v>
      </c>
      <c r="W106" s="325">
        <f ca="1">W87+W104</f>
        <v>-457736.40605497651</v>
      </c>
      <c r="X106" s="325">
        <f ca="1">X87+X104</f>
        <v>-476809.61476279201</v>
      </c>
      <c r="Y106" s="325">
        <f t="shared" ref="Y106:AH106" ca="1" si="57">Y87+Y104</f>
        <v>-488618.8623047974</v>
      </c>
      <c r="Z106" s="325">
        <f t="shared" ca="1" si="57"/>
        <v>-502308.21688838932</v>
      </c>
      <c r="AA106" s="325">
        <f t="shared" ca="1" si="57"/>
        <v>-516675.36516774574</v>
      </c>
      <c r="AB106" s="325">
        <f t="shared" ca="1" si="57"/>
        <v>-531749.43881774298</v>
      </c>
      <c r="AC106" s="325">
        <f t="shared" ca="1" si="57"/>
        <v>-547560.61981688964</v>
      </c>
      <c r="AD106" s="325">
        <f t="shared" ca="1" si="57"/>
        <v>-564144.66130314255</v>
      </c>
      <c r="AE106" s="325">
        <f t="shared" ca="1" si="57"/>
        <v>-581543.06977813586</v>
      </c>
      <c r="AF106" s="325">
        <f t="shared" ca="1" si="57"/>
        <v>-599799.8865572568</v>
      </c>
      <c r="AG106" s="325">
        <f t="shared" ca="1" si="57"/>
        <v>-618961.69411647751</v>
      </c>
      <c r="AH106" s="325">
        <f t="shared" ca="1" si="57"/>
        <v>-639077.6505806027</v>
      </c>
    </row>
    <row r="107" spans="4:34" ht="11.25" x14ac:dyDescent="0.2">
      <c r="E107" s="284"/>
      <c r="F107" s="284"/>
      <c r="G107" s="284"/>
      <c r="H107" s="284"/>
      <c r="I107" s="287"/>
      <c r="J107" s="284"/>
      <c r="K107" s="284"/>
      <c r="L107" s="284"/>
      <c r="M107" s="284"/>
      <c r="N107" s="293"/>
      <c r="O107" s="293"/>
      <c r="P107" s="293"/>
      <c r="Q107" s="284"/>
      <c r="R107" s="284"/>
      <c r="S107" s="284"/>
      <c r="T107" s="284"/>
      <c r="U107" s="284"/>
      <c r="V107" s="284"/>
      <c r="W107" s="284"/>
      <c r="X107" s="284"/>
      <c r="Y107" s="284"/>
      <c r="Z107" s="284"/>
      <c r="AA107" s="284"/>
      <c r="AB107" s="284"/>
      <c r="AC107" s="284"/>
      <c r="AD107" s="284"/>
      <c r="AE107" s="284"/>
      <c r="AF107" s="284"/>
      <c r="AG107" s="284"/>
      <c r="AH107" s="284"/>
    </row>
    <row r="108" spans="4:34" ht="11.25" x14ac:dyDescent="0.2">
      <c r="E108" s="284" t="s">
        <v>95</v>
      </c>
      <c r="F108" s="284"/>
      <c r="G108" s="284"/>
      <c r="H108" s="284"/>
      <c r="I108" s="287"/>
      <c r="J108" s="320">
        <v>1000000</v>
      </c>
      <c r="K108" s="211">
        <f t="shared" ref="K108:U108" si="58">J109</f>
        <v>1295000</v>
      </c>
      <c r="L108" s="211">
        <f t="shared" si="58"/>
        <v>1600000</v>
      </c>
      <c r="M108" s="211">
        <f t="shared" si="58"/>
        <v>1915000</v>
      </c>
      <c r="N108" s="289">
        <f t="shared" si="58"/>
        <v>2369000</v>
      </c>
      <c r="O108" s="289">
        <f>N109</f>
        <v>2838000</v>
      </c>
      <c r="P108" s="288">
        <f t="shared" si="58"/>
        <v>3322000</v>
      </c>
      <c r="Q108" s="468">
        <f>P109</f>
        <v>3821000</v>
      </c>
      <c r="R108" s="217">
        <f t="shared" si="58"/>
        <v>4335000</v>
      </c>
      <c r="S108" s="217">
        <f t="shared" si="58"/>
        <v>4865000</v>
      </c>
      <c r="T108" s="217">
        <f t="shared" si="58"/>
        <v>5394000</v>
      </c>
      <c r="U108" s="217">
        <f t="shared" ca="1" si="58"/>
        <v>4983191.5312826987</v>
      </c>
      <c r="V108" s="217">
        <f ca="1">U109</f>
        <v>4558362.2455818402</v>
      </c>
      <c r="W108" s="217">
        <f ca="1">V109</f>
        <v>4117921.0449058763</v>
      </c>
      <c r="X108" s="217">
        <f ca="1">W109</f>
        <v>3660184.6388508999</v>
      </c>
      <c r="Y108" s="217">
        <f t="shared" ref="Y108:AH108" ca="1" si="59">X109</f>
        <v>3183375.024088108</v>
      </c>
      <c r="Z108" s="217">
        <f t="shared" ca="1" si="59"/>
        <v>2694756.1617833106</v>
      </c>
      <c r="AA108" s="217">
        <f t="shared" ca="1" si="59"/>
        <v>2192447.944894921</v>
      </c>
      <c r="AB108" s="217">
        <f t="shared" ca="1" si="59"/>
        <v>1675772.5797271752</v>
      </c>
      <c r="AC108" s="217">
        <f t="shared" ca="1" si="59"/>
        <v>1144023.1409094322</v>
      </c>
      <c r="AD108" s="217">
        <f t="shared" ca="1" si="59"/>
        <v>596462.52109254256</v>
      </c>
      <c r="AE108" s="217">
        <f t="shared" ca="1" si="59"/>
        <v>32317.859789400012</v>
      </c>
      <c r="AF108" s="217">
        <f t="shared" ca="1" si="59"/>
        <v>-549225.20998873585</v>
      </c>
      <c r="AG108" s="217">
        <f t="shared" ca="1" si="59"/>
        <v>-1149025.0965459927</v>
      </c>
      <c r="AH108" s="217">
        <f t="shared" ca="1" si="59"/>
        <v>-1767986.7906624703</v>
      </c>
    </row>
    <row r="109" spans="4:34" ht="12" thickBot="1" x14ac:dyDescent="0.25">
      <c r="E109" s="326" t="s">
        <v>88</v>
      </c>
      <c r="F109" s="327"/>
      <c r="G109" s="327"/>
      <c r="H109" s="327"/>
      <c r="I109" s="328"/>
      <c r="J109" s="329">
        <f>J108+J106</f>
        <v>1295000</v>
      </c>
      <c r="K109" s="329">
        <f>K108+K106</f>
        <v>1600000</v>
      </c>
      <c r="L109" s="329">
        <f>L106+L108</f>
        <v>1915000</v>
      </c>
      <c r="M109" s="329">
        <f t="shared" ref="M109:U109" si="60">M106+M108</f>
        <v>2369000</v>
      </c>
      <c r="N109" s="330">
        <f t="shared" si="60"/>
        <v>2838000</v>
      </c>
      <c r="O109" s="330">
        <f>O106+O108</f>
        <v>3322000</v>
      </c>
      <c r="P109" s="330">
        <f>P106+P108</f>
        <v>3821000</v>
      </c>
      <c r="Q109" s="329">
        <f t="shared" si="60"/>
        <v>4335000</v>
      </c>
      <c r="R109" s="329">
        <f t="shared" si="60"/>
        <v>4865000</v>
      </c>
      <c r="S109" s="329">
        <f t="shared" si="60"/>
        <v>5394000</v>
      </c>
      <c r="T109" s="329">
        <f t="shared" ca="1" si="60"/>
        <v>4983191.5312826987</v>
      </c>
      <c r="U109" s="329">
        <f t="shared" ca="1" si="60"/>
        <v>4558362.2455818402</v>
      </c>
      <c r="V109" s="329">
        <f ca="1">V106+V108</f>
        <v>4117921.0449058763</v>
      </c>
      <c r="W109" s="329">
        <f ca="1">W106+W108</f>
        <v>3660184.6388508999</v>
      </c>
      <c r="X109" s="329">
        <f ca="1">X106+X108</f>
        <v>3183375.024088108</v>
      </c>
      <c r="Y109" s="329">
        <f t="shared" ref="Y109:AH109" ca="1" si="61">Y106+Y108</f>
        <v>2694756.1617833106</v>
      </c>
      <c r="Z109" s="329">
        <f t="shared" ca="1" si="61"/>
        <v>2192447.944894921</v>
      </c>
      <c r="AA109" s="329">
        <f t="shared" ca="1" si="61"/>
        <v>1675772.5797271752</v>
      </c>
      <c r="AB109" s="329">
        <f t="shared" ca="1" si="61"/>
        <v>1144023.1409094322</v>
      </c>
      <c r="AC109" s="329">
        <f t="shared" ca="1" si="61"/>
        <v>596462.52109254256</v>
      </c>
      <c r="AD109" s="329">
        <f t="shared" ca="1" si="61"/>
        <v>32317.859789400012</v>
      </c>
      <c r="AE109" s="329">
        <f t="shared" ca="1" si="61"/>
        <v>-549225.20998873585</v>
      </c>
      <c r="AF109" s="329">
        <f t="shared" ca="1" si="61"/>
        <v>-1149025.0965459927</v>
      </c>
      <c r="AG109" s="329">
        <f t="shared" ca="1" si="61"/>
        <v>-1767986.7906624703</v>
      </c>
      <c r="AH109" s="329">
        <f t="shared" ca="1" si="61"/>
        <v>-2407064.441243073</v>
      </c>
    </row>
    <row r="110" spans="4:34" ht="12" thickTop="1" x14ac:dyDescent="0.2">
      <c r="E110" s="331"/>
      <c r="F110" s="323"/>
      <c r="G110" s="323"/>
      <c r="H110" s="323"/>
      <c r="I110" s="332"/>
      <c r="J110" s="323"/>
      <c r="K110" s="333"/>
      <c r="L110" s="333"/>
      <c r="M110" s="333"/>
      <c r="N110" s="333"/>
      <c r="O110" s="333"/>
      <c r="P110" s="323"/>
      <c r="Q110" s="323"/>
      <c r="R110" s="323"/>
      <c r="S110" s="323"/>
      <c r="T110" s="323"/>
      <c r="U110" s="323"/>
      <c r="V110" s="323"/>
      <c r="W110" s="323"/>
      <c r="X110" s="323"/>
      <c r="Y110" s="333"/>
      <c r="Z110" s="323"/>
      <c r="AA110" s="323"/>
      <c r="AB110" s="323"/>
      <c r="AC110" s="323"/>
      <c r="AD110" s="323"/>
      <c r="AE110" s="323"/>
      <c r="AF110" s="323"/>
      <c r="AG110" s="323"/>
      <c r="AH110" s="323"/>
    </row>
    <row r="111" spans="4:34" ht="11.25" x14ac:dyDescent="0.2">
      <c r="E111" s="284"/>
      <c r="F111" s="284"/>
      <c r="G111" s="284"/>
      <c r="H111" s="284"/>
      <c r="I111" s="334"/>
      <c r="J111" s="217"/>
      <c r="K111" s="217"/>
      <c r="L111" s="217"/>
      <c r="M111" s="217"/>
      <c r="N111" s="335"/>
      <c r="O111" s="284"/>
      <c r="P111" s="284"/>
      <c r="Q111" s="284"/>
      <c r="R111" s="284"/>
      <c r="S111" s="284"/>
      <c r="T111" s="284"/>
      <c r="U111" s="284"/>
      <c r="V111" s="284"/>
      <c r="W111" s="284"/>
      <c r="X111" s="284"/>
      <c r="Y111" s="284"/>
      <c r="Z111" s="284"/>
      <c r="AA111" s="284"/>
      <c r="AB111" s="284"/>
      <c r="AC111" s="284"/>
      <c r="AD111" s="284"/>
      <c r="AE111" s="284"/>
      <c r="AF111" s="284"/>
      <c r="AG111" s="284"/>
      <c r="AH111" s="284"/>
    </row>
    <row r="112" spans="4:34" s="257" customFormat="1" ht="18" x14ac:dyDescent="0.25">
      <c r="D112" s="264"/>
      <c r="E112" s="336" t="s">
        <v>97</v>
      </c>
      <c r="F112" s="275"/>
      <c r="G112" s="275"/>
      <c r="H112" s="275"/>
      <c r="I112" s="283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</row>
    <row r="113" spans="4:34" s="257" customFormat="1" ht="11.25" x14ac:dyDescent="0.2">
      <c r="D113" s="264"/>
      <c r="E113" s="337" t="s">
        <v>0</v>
      </c>
      <c r="F113" s="275"/>
      <c r="G113" s="275"/>
      <c r="H113" s="275"/>
      <c r="I113" s="283"/>
      <c r="J113" s="338"/>
      <c r="K113" s="338"/>
      <c r="L113" s="338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</row>
    <row r="114" spans="4:34" s="257" customFormat="1" ht="3" customHeight="1" x14ac:dyDescent="0.2">
      <c r="D114" s="264"/>
      <c r="E114" s="337"/>
      <c r="F114" s="275"/>
      <c r="G114" s="275"/>
      <c r="H114" s="275"/>
      <c r="I114" s="283"/>
      <c r="J114" s="275"/>
      <c r="K114" s="275"/>
      <c r="L114" s="275"/>
      <c r="M114" s="275"/>
      <c r="N114" s="275"/>
      <c r="O114" s="275"/>
      <c r="P114" s="275"/>
      <c r="Q114" s="275"/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</row>
    <row r="115" spans="4:34" s="257" customFormat="1" ht="11.25" x14ac:dyDescent="0.2">
      <c r="D115" s="264"/>
      <c r="E115" s="339">
        <v>2016</v>
      </c>
      <c r="F115" s="275"/>
      <c r="G115" s="275"/>
      <c r="H115" s="275"/>
      <c r="I115" s="277"/>
      <c r="J115" s="340" t="s">
        <v>1</v>
      </c>
      <c r="K115" s="340"/>
      <c r="L115" s="340"/>
      <c r="M115" s="340" t="s">
        <v>2</v>
      </c>
      <c r="N115" s="341"/>
      <c r="O115" s="342"/>
      <c r="P115" s="342"/>
      <c r="Q115" s="342"/>
      <c r="R115" s="342"/>
      <c r="S115" s="342"/>
      <c r="T115" s="342"/>
      <c r="U115" s="342"/>
      <c r="V115" s="343"/>
      <c r="W115" s="343"/>
      <c r="X115" s="342"/>
      <c r="Y115" s="342"/>
      <c r="Z115" s="342"/>
      <c r="AA115" s="342"/>
      <c r="AB115" s="342"/>
      <c r="AC115" s="342"/>
      <c r="AD115" s="342"/>
      <c r="AE115" s="342"/>
      <c r="AF115" s="343"/>
      <c r="AG115" s="343"/>
      <c r="AH115" s="342"/>
    </row>
    <row r="116" spans="4:34" s="257" customFormat="1" ht="11.25" x14ac:dyDescent="0.2">
      <c r="D116" s="264"/>
      <c r="E116" s="275"/>
      <c r="F116" s="275"/>
      <c r="G116" s="275"/>
      <c r="H116" s="275"/>
      <c r="I116" s="277"/>
      <c r="J116" s="278">
        <v>-5</v>
      </c>
      <c r="K116" s="278">
        <v>-4</v>
      </c>
      <c r="L116" s="278">
        <v>-3</v>
      </c>
      <c r="M116" s="278">
        <v>-2</v>
      </c>
      <c r="N116" s="278">
        <v>-1</v>
      </c>
      <c r="O116" s="278">
        <v>0</v>
      </c>
      <c r="P116" s="278">
        <v>1</v>
      </c>
      <c r="Q116" s="278">
        <f t="shared" ref="Q116:AH116" si="62">Q117-CurrentFiscalYear</f>
        <v>-3</v>
      </c>
      <c r="R116" s="278">
        <f t="shared" si="62"/>
        <v>-2</v>
      </c>
      <c r="S116" s="278">
        <f t="shared" si="62"/>
        <v>-1</v>
      </c>
      <c r="T116" s="278">
        <f t="shared" si="62"/>
        <v>0</v>
      </c>
      <c r="U116" s="278">
        <f t="shared" si="62"/>
        <v>1</v>
      </c>
      <c r="V116" s="278">
        <f t="shared" si="62"/>
        <v>2</v>
      </c>
      <c r="W116" s="278">
        <f t="shared" si="62"/>
        <v>3</v>
      </c>
      <c r="X116" s="278">
        <f t="shared" si="62"/>
        <v>4</v>
      </c>
      <c r="Y116" s="278">
        <f t="shared" si="62"/>
        <v>5</v>
      </c>
      <c r="Z116" s="278">
        <f t="shared" si="62"/>
        <v>6</v>
      </c>
      <c r="AA116" s="278">
        <f t="shared" si="62"/>
        <v>7</v>
      </c>
      <c r="AB116" s="278">
        <f t="shared" si="62"/>
        <v>8</v>
      </c>
      <c r="AC116" s="278">
        <f t="shared" si="62"/>
        <v>9</v>
      </c>
      <c r="AD116" s="278">
        <f t="shared" si="62"/>
        <v>10</v>
      </c>
      <c r="AE116" s="278">
        <f t="shared" si="62"/>
        <v>11</v>
      </c>
      <c r="AF116" s="278">
        <f t="shared" si="62"/>
        <v>12</v>
      </c>
      <c r="AG116" s="278">
        <f t="shared" si="62"/>
        <v>13</v>
      </c>
      <c r="AH116" s="278">
        <f t="shared" si="62"/>
        <v>14</v>
      </c>
    </row>
    <row r="117" spans="4:34" s="257" customFormat="1" ht="11.25" x14ac:dyDescent="0.2">
      <c r="D117" s="264"/>
      <c r="E117" s="275"/>
      <c r="F117" s="275"/>
      <c r="G117" s="275"/>
      <c r="H117" s="275"/>
      <c r="I117" s="277"/>
      <c r="J117" s="280">
        <v>2006</v>
      </c>
      <c r="K117" s="280">
        <v>2007</v>
      </c>
      <c r="L117" s="280">
        <v>2008</v>
      </c>
      <c r="M117" s="280">
        <v>2009</v>
      </c>
      <c r="N117" s="280">
        <v>2010</v>
      </c>
      <c r="O117" s="281">
        <v>2011</v>
      </c>
      <c r="P117" s="281">
        <v>2012</v>
      </c>
      <c r="Q117" s="281">
        <v>2013</v>
      </c>
      <c r="R117" s="281">
        <v>2014</v>
      </c>
      <c r="S117" s="281">
        <v>2015</v>
      </c>
      <c r="T117" s="281">
        <v>2016</v>
      </c>
      <c r="U117" s="281">
        <v>2017</v>
      </c>
      <c r="V117" s="281">
        <v>2018</v>
      </c>
      <c r="W117" s="281">
        <v>2019</v>
      </c>
      <c r="X117" s="281">
        <v>2020</v>
      </c>
      <c r="Y117" s="281">
        <v>2021</v>
      </c>
      <c r="Z117" s="281">
        <v>2022</v>
      </c>
      <c r="AA117" s="281">
        <v>2023</v>
      </c>
      <c r="AB117" s="281">
        <v>2024</v>
      </c>
      <c r="AC117" s="281">
        <v>2025</v>
      </c>
      <c r="AD117" s="281">
        <v>2026</v>
      </c>
      <c r="AE117" s="281">
        <v>2027</v>
      </c>
      <c r="AF117" s="281">
        <v>2028</v>
      </c>
      <c r="AG117" s="281">
        <v>2029</v>
      </c>
      <c r="AH117" s="281">
        <v>2030</v>
      </c>
    </row>
    <row r="118" spans="4:34" s="257" customFormat="1" ht="3" customHeight="1" x14ac:dyDescent="0.2">
      <c r="D118" s="264"/>
      <c r="E118" s="275"/>
      <c r="F118" s="275"/>
      <c r="G118" s="275"/>
      <c r="H118" s="275"/>
      <c r="I118" s="283"/>
      <c r="J118" s="275"/>
      <c r="K118" s="275"/>
      <c r="L118" s="275"/>
      <c r="M118" s="284"/>
      <c r="N118" s="275"/>
      <c r="O118" s="275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</row>
    <row r="119" spans="4:34" s="257" customFormat="1" ht="12.75" customHeight="1" x14ac:dyDescent="0.2">
      <c r="D119" s="264"/>
      <c r="E119" s="344" t="s">
        <v>5</v>
      </c>
      <c r="F119" s="302"/>
      <c r="G119" s="302"/>
      <c r="H119" s="302"/>
      <c r="I119" s="304"/>
      <c r="J119" s="302"/>
      <c r="K119" s="345">
        <v>2.5000000000000001E-2</v>
      </c>
      <c r="L119" s="345">
        <v>2.5000000000000001E-2</v>
      </c>
      <c r="M119" s="345">
        <v>2.5000000000000001E-2</v>
      </c>
      <c r="N119" s="345">
        <v>2.5000000000000001E-2</v>
      </c>
      <c r="O119" s="345">
        <v>2.5000000000000001E-2</v>
      </c>
      <c r="P119" s="345">
        <v>2.5000000000000001E-2</v>
      </c>
      <c r="Q119" s="345">
        <v>2.5000000000000001E-2</v>
      </c>
      <c r="R119" s="345">
        <v>2.5000000000000001E-2</v>
      </c>
      <c r="S119" s="345">
        <v>2.5000000000000001E-2</v>
      </c>
      <c r="T119" s="345">
        <v>2.5000000000000001E-2</v>
      </c>
      <c r="U119" s="345">
        <v>2.5000000000000001E-2</v>
      </c>
      <c r="V119" s="345">
        <v>2.5000000000000001E-2</v>
      </c>
      <c r="W119" s="345">
        <v>2.5000000000000001E-2</v>
      </c>
      <c r="X119" s="345">
        <v>2.5000000000000001E-2</v>
      </c>
      <c r="Y119" s="345">
        <v>2.5000000000000001E-2</v>
      </c>
      <c r="Z119" s="345">
        <v>2.5000000000000001E-2</v>
      </c>
      <c r="AA119" s="345">
        <v>2.5000000000000001E-2</v>
      </c>
      <c r="AB119" s="345">
        <v>2.5000000000000001E-2</v>
      </c>
      <c r="AC119" s="345">
        <v>2.5000000000000001E-2</v>
      </c>
      <c r="AD119" s="345">
        <v>2.5000000000000001E-2</v>
      </c>
      <c r="AE119" s="345">
        <v>2.5000000000000001E-2</v>
      </c>
      <c r="AF119" s="345">
        <v>2.5000000000000001E-2</v>
      </c>
      <c r="AG119" s="345">
        <v>2.5000000000000001E-2</v>
      </c>
      <c r="AH119" s="345">
        <v>2.5000000000000001E-2</v>
      </c>
    </row>
    <row r="120" spans="4:34" s="257" customFormat="1" ht="3" customHeight="1" x14ac:dyDescent="0.2">
      <c r="D120" s="264"/>
      <c r="E120" s="275"/>
      <c r="F120" s="275"/>
      <c r="G120" s="275"/>
      <c r="H120" s="275"/>
      <c r="I120" s="283"/>
      <c r="J120" s="275"/>
      <c r="K120" s="275"/>
      <c r="L120" s="275"/>
      <c r="M120" s="284"/>
      <c r="N120" s="275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</row>
    <row r="121" spans="4:34" s="257" customFormat="1" ht="11.25" x14ac:dyDescent="0.2">
      <c r="D121" s="264"/>
      <c r="E121" s="285" t="s">
        <v>18</v>
      </c>
      <c r="F121" s="275"/>
      <c r="G121" s="275"/>
      <c r="H121" s="275"/>
      <c r="I121" s="283"/>
      <c r="J121" s="275"/>
      <c r="K121" s="275"/>
      <c r="L121" s="275"/>
      <c r="M121" s="284"/>
      <c r="N121" s="275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</row>
    <row r="122" spans="4:34" ht="11.25" x14ac:dyDescent="0.2">
      <c r="E122" s="346" t="s">
        <v>24</v>
      </c>
      <c r="F122" s="347"/>
      <c r="G122" s="347"/>
      <c r="H122" s="348"/>
      <c r="I122" s="349"/>
      <c r="J122" s="350"/>
      <c r="K122" s="351"/>
      <c r="L122" s="350"/>
      <c r="M122" s="350"/>
      <c r="N122" s="350"/>
      <c r="O122" s="391"/>
      <c r="P122" s="391"/>
      <c r="Q122" s="391"/>
      <c r="R122" s="391"/>
      <c r="S122" s="391"/>
      <c r="T122" s="391"/>
      <c r="U122" s="391"/>
      <c r="V122" s="392"/>
      <c r="W122" s="392"/>
      <c r="X122" s="391"/>
      <c r="Y122" s="391"/>
      <c r="Z122" s="391"/>
      <c r="AA122" s="391"/>
      <c r="AB122" s="391"/>
      <c r="AC122" s="391"/>
      <c r="AD122" s="391"/>
      <c r="AE122" s="391"/>
      <c r="AF122" s="392"/>
      <c r="AG122" s="392"/>
      <c r="AH122" s="391"/>
    </row>
    <row r="123" spans="4:34" ht="11.25" outlineLevel="1" x14ac:dyDescent="0.2">
      <c r="E123" s="224" t="s">
        <v>110</v>
      </c>
      <c r="F123" s="284"/>
      <c r="G123" s="284"/>
      <c r="H123" s="286" t="s">
        <v>164</v>
      </c>
      <c r="I123" s="287"/>
      <c r="J123" s="352"/>
      <c r="K123" s="352"/>
      <c r="L123" s="352"/>
      <c r="M123" s="352"/>
      <c r="N123" s="352"/>
      <c r="O123" s="839" t="s">
        <v>157</v>
      </c>
      <c r="P123" s="839"/>
      <c r="Q123" s="839"/>
      <c r="R123" s="839"/>
      <c r="S123" s="839"/>
      <c r="T123" s="839"/>
      <c r="U123" s="839"/>
      <c r="V123" s="839"/>
      <c r="W123" s="839"/>
      <c r="X123" s="839"/>
      <c r="Y123" s="839" t="s">
        <v>157</v>
      </c>
      <c r="Z123" s="839"/>
      <c r="AA123" s="839"/>
      <c r="AB123" s="839"/>
      <c r="AC123" s="839"/>
      <c r="AD123" s="839"/>
      <c r="AE123" s="839"/>
      <c r="AF123" s="839"/>
      <c r="AG123" s="839"/>
      <c r="AH123" s="839"/>
    </row>
    <row r="124" spans="4:34" ht="11.25" outlineLevel="1" x14ac:dyDescent="0.2">
      <c r="E124" s="224" t="s">
        <v>112</v>
      </c>
      <c r="F124" s="284"/>
      <c r="G124" s="284"/>
      <c r="H124" s="286" t="s">
        <v>100</v>
      </c>
      <c r="I124" s="287"/>
      <c r="J124" s="352"/>
      <c r="K124" s="352"/>
      <c r="L124" s="352"/>
      <c r="M124" s="352"/>
      <c r="N124" s="352"/>
      <c r="O124" s="393"/>
      <c r="P124" s="394"/>
      <c r="Q124" s="395">
        <v>0</v>
      </c>
      <c r="R124" s="395">
        <v>0</v>
      </c>
      <c r="S124" s="395">
        <v>0</v>
      </c>
      <c r="T124" s="395">
        <v>2.5000000000000001E-2</v>
      </c>
      <c r="U124" s="395">
        <v>2.5000000000000001E-2</v>
      </c>
      <c r="V124" s="395">
        <v>2.5000000000000001E-2</v>
      </c>
      <c r="W124" s="395">
        <v>2.5000000000000001E-2</v>
      </c>
      <c r="X124" s="395">
        <v>2.5000000000000001E-2</v>
      </c>
      <c r="Y124" s="393"/>
      <c r="Z124" s="394"/>
      <c r="AA124" s="395">
        <v>3.5714285714285698E-2</v>
      </c>
      <c r="AB124" s="395">
        <v>4.0178571428571397E-2</v>
      </c>
      <c r="AC124" s="395">
        <v>4.4642857142857199E-2</v>
      </c>
      <c r="AD124" s="395">
        <v>4.9107142857142898E-2</v>
      </c>
      <c r="AE124" s="395">
        <v>5.3571428571428603E-2</v>
      </c>
      <c r="AF124" s="395">
        <v>5.8035714285714302E-2</v>
      </c>
      <c r="AG124" s="395">
        <v>6.25E-2</v>
      </c>
      <c r="AH124" s="395">
        <v>6.6964285714285698E-2</v>
      </c>
    </row>
    <row r="125" spans="4:34" ht="11.25" outlineLevel="1" x14ac:dyDescent="0.2">
      <c r="E125" s="224" t="s">
        <v>111</v>
      </c>
      <c r="F125" s="284"/>
      <c r="G125" s="284"/>
      <c r="H125" s="286" t="s">
        <v>135</v>
      </c>
      <c r="I125" s="287"/>
      <c r="J125" s="352"/>
      <c r="K125" s="352"/>
      <c r="L125" s="352"/>
      <c r="M125" s="352"/>
      <c r="N125" s="352"/>
      <c r="O125" s="839" t="s">
        <v>157</v>
      </c>
      <c r="P125" s="839"/>
      <c r="Q125" s="839"/>
      <c r="R125" s="839"/>
      <c r="S125" s="839"/>
      <c r="T125" s="839"/>
      <c r="U125" s="839"/>
      <c r="V125" s="839"/>
      <c r="W125" s="839"/>
      <c r="X125" s="839"/>
      <c r="Y125" s="839" t="s">
        <v>157</v>
      </c>
      <c r="Z125" s="839"/>
      <c r="AA125" s="839"/>
      <c r="AB125" s="839"/>
      <c r="AC125" s="839"/>
      <c r="AD125" s="839"/>
      <c r="AE125" s="839"/>
      <c r="AF125" s="839"/>
      <c r="AG125" s="839"/>
      <c r="AH125" s="839"/>
    </row>
    <row r="126" spans="4:34" ht="11.25" outlineLevel="1" x14ac:dyDescent="0.2">
      <c r="E126" s="224" t="s">
        <v>65</v>
      </c>
      <c r="F126" s="284"/>
      <c r="G126" s="284"/>
      <c r="H126" s="286" t="s">
        <v>143</v>
      </c>
      <c r="I126" s="287"/>
      <c r="J126" s="352"/>
      <c r="K126" s="352"/>
      <c r="L126" s="352"/>
      <c r="M126" s="352"/>
      <c r="N126" s="352"/>
      <c r="O126" s="839" t="s">
        <v>160</v>
      </c>
      <c r="P126" s="839"/>
      <c r="Q126" s="839"/>
      <c r="R126" s="839"/>
      <c r="S126" s="839"/>
      <c r="T126" s="839"/>
      <c r="U126" s="839"/>
      <c r="V126" s="839"/>
      <c r="W126" s="839"/>
      <c r="X126" s="839"/>
      <c r="Y126" s="839" t="s">
        <v>160</v>
      </c>
      <c r="Z126" s="839"/>
      <c r="AA126" s="839"/>
      <c r="AB126" s="839"/>
      <c r="AC126" s="839"/>
      <c r="AD126" s="839"/>
      <c r="AE126" s="839"/>
      <c r="AF126" s="839"/>
      <c r="AG126" s="839"/>
      <c r="AH126" s="839"/>
    </row>
    <row r="127" spans="4:34" ht="11.25" outlineLevel="1" x14ac:dyDescent="0.2">
      <c r="E127" s="224" t="s">
        <v>108</v>
      </c>
      <c r="F127" s="284"/>
      <c r="G127" s="284"/>
      <c r="H127" s="286" t="s">
        <v>143</v>
      </c>
      <c r="I127" s="287"/>
      <c r="J127" s="352"/>
      <c r="K127" s="352"/>
      <c r="L127" s="352"/>
      <c r="M127" s="352"/>
      <c r="N127" s="352"/>
      <c r="O127" s="839"/>
      <c r="P127" s="839"/>
      <c r="Q127" s="839"/>
      <c r="R127" s="839"/>
      <c r="S127" s="839"/>
      <c r="T127" s="839"/>
      <c r="U127" s="839"/>
      <c r="V127" s="839"/>
      <c r="W127" s="839"/>
      <c r="X127" s="839"/>
      <c r="Y127" s="839"/>
      <c r="Z127" s="839"/>
      <c r="AA127" s="839"/>
      <c r="AB127" s="839"/>
      <c r="AC127" s="839"/>
      <c r="AD127" s="839"/>
      <c r="AE127" s="839"/>
      <c r="AF127" s="839"/>
      <c r="AG127" s="839"/>
      <c r="AH127" s="839"/>
    </row>
    <row r="128" spans="4:34" ht="11.25" outlineLevel="1" x14ac:dyDescent="0.2">
      <c r="E128" s="224" t="s">
        <v>64</v>
      </c>
      <c r="F128" s="284"/>
      <c r="G128" s="284"/>
      <c r="H128" s="286" t="s">
        <v>156</v>
      </c>
      <c r="I128" s="287"/>
      <c r="J128" s="352"/>
      <c r="K128" s="352"/>
      <c r="L128" s="352"/>
      <c r="M128" s="352"/>
      <c r="N128" s="352"/>
      <c r="O128" s="839" t="s">
        <v>157</v>
      </c>
      <c r="P128" s="839"/>
      <c r="Q128" s="839"/>
      <c r="R128" s="839"/>
      <c r="S128" s="839"/>
      <c r="T128" s="839"/>
      <c r="U128" s="839"/>
      <c r="V128" s="839"/>
      <c r="W128" s="839"/>
      <c r="X128" s="839"/>
      <c r="Y128" s="839" t="s">
        <v>157</v>
      </c>
      <c r="Z128" s="839"/>
      <c r="AA128" s="839"/>
      <c r="AB128" s="839"/>
      <c r="AC128" s="839"/>
      <c r="AD128" s="839"/>
      <c r="AE128" s="839"/>
      <c r="AF128" s="839"/>
      <c r="AG128" s="839"/>
      <c r="AH128" s="839"/>
    </row>
    <row r="129" spans="5:34" ht="3" customHeight="1" outlineLevel="1" x14ac:dyDescent="0.2">
      <c r="E129" s="222"/>
      <c r="F129" s="284"/>
      <c r="G129" s="284"/>
      <c r="H129" s="286"/>
      <c r="I129" s="287"/>
      <c r="J129" s="354"/>
      <c r="K129" s="354"/>
      <c r="L129" s="354"/>
      <c r="O129" s="396"/>
      <c r="P129" s="397"/>
      <c r="Q129" s="397"/>
      <c r="R129" s="397"/>
      <c r="S129" s="397"/>
      <c r="T129" s="397"/>
      <c r="U129" s="397"/>
      <c r="V129" s="397"/>
      <c r="W129" s="397"/>
      <c r="X129" s="397"/>
      <c r="Y129" s="396"/>
      <c r="Z129" s="397"/>
      <c r="AA129" s="397"/>
      <c r="AB129" s="397"/>
      <c r="AC129" s="397"/>
      <c r="AD129" s="397"/>
      <c r="AE129" s="397"/>
      <c r="AF129" s="397"/>
      <c r="AG129" s="397"/>
      <c r="AH129" s="397"/>
    </row>
    <row r="130" spans="5:34" ht="11.25" x14ac:dyDescent="0.2">
      <c r="E130" s="222" t="s">
        <v>170</v>
      </c>
      <c r="F130" s="284"/>
      <c r="G130" s="284"/>
      <c r="H130" s="286" t="s">
        <v>134</v>
      </c>
      <c r="I130" s="287"/>
      <c r="J130" s="355"/>
      <c r="K130" s="355"/>
      <c r="L130" s="355"/>
      <c r="M130" s="355"/>
      <c r="N130" s="355"/>
      <c r="O130" s="839" t="s">
        <v>157</v>
      </c>
      <c r="P130" s="839"/>
      <c r="Q130" s="839"/>
      <c r="R130" s="839"/>
      <c r="S130" s="839"/>
      <c r="T130" s="839"/>
      <c r="U130" s="839"/>
      <c r="V130" s="839"/>
      <c r="W130" s="839"/>
      <c r="X130" s="839"/>
      <c r="Y130" s="839" t="s">
        <v>157</v>
      </c>
      <c r="Z130" s="839"/>
      <c r="AA130" s="839"/>
      <c r="AB130" s="839"/>
      <c r="AC130" s="839"/>
      <c r="AD130" s="839"/>
      <c r="AE130" s="839"/>
      <c r="AF130" s="839"/>
      <c r="AG130" s="839"/>
      <c r="AH130" s="839"/>
    </row>
    <row r="131" spans="5:34" ht="11.25" x14ac:dyDescent="0.2">
      <c r="E131" s="222" t="s">
        <v>171</v>
      </c>
      <c r="F131" s="284"/>
      <c r="G131" s="284"/>
      <c r="H131" s="286"/>
      <c r="I131" s="287"/>
      <c r="J131" s="355"/>
      <c r="K131" s="355"/>
      <c r="L131" s="355"/>
      <c r="M131" s="355"/>
      <c r="N131" s="355"/>
      <c r="O131" s="839" t="s">
        <v>157</v>
      </c>
      <c r="P131" s="839"/>
      <c r="Q131" s="839"/>
      <c r="R131" s="839"/>
      <c r="S131" s="839"/>
      <c r="T131" s="839"/>
      <c r="U131" s="839"/>
      <c r="V131" s="839"/>
      <c r="W131" s="839"/>
      <c r="X131" s="839"/>
      <c r="Y131" s="839" t="s">
        <v>157</v>
      </c>
      <c r="Z131" s="839"/>
      <c r="AA131" s="839"/>
      <c r="AB131" s="839"/>
      <c r="AC131" s="839"/>
      <c r="AD131" s="839"/>
      <c r="AE131" s="839"/>
      <c r="AF131" s="839"/>
      <c r="AG131" s="839"/>
      <c r="AH131" s="839"/>
    </row>
    <row r="132" spans="5:34" ht="15" x14ac:dyDescent="0.2">
      <c r="E132" s="222" t="s">
        <v>23</v>
      </c>
      <c r="F132" s="284"/>
      <c r="G132" s="284"/>
      <c r="H132" s="286" t="s">
        <v>136</v>
      </c>
      <c r="I132" s="287"/>
      <c r="J132" s="355"/>
      <c r="K132" s="355"/>
      <c r="L132" s="355"/>
      <c r="M132" s="355"/>
      <c r="N132" s="355"/>
      <c r="O132" s="353">
        <v>0</v>
      </c>
      <c r="P132" s="353">
        <v>0</v>
      </c>
      <c r="Q132" s="695">
        <v>0</v>
      </c>
      <c r="R132" s="582">
        <v>0</v>
      </c>
      <c r="S132" s="582">
        <v>0.04</v>
      </c>
      <c r="T132" s="582">
        <v>0.03</v>
      </c>
      <c r="U132" s="582">
        <v>0.03</v>
      </c>
      <c r="V132" s="582">
        <v>0.03</v>
      </c>
      <c r="W132" s="582">
        <v>0.03</v>
      </c>
      <c r="X132" s="582">
        <v>0.03</v>
      </c>
      <c r="Y132" s="582">
        <v>0.03</v>
      </c>
      <c r="Z132" s="582">
        <v>0.03</v>
      </c>
      <c r="AA132" s="582">
        <v>0.03</v>
      </c>
      <c r="AB132" s="582">
        <v>0.03</v>
      </c>
      <c r="AC132" s="582">
        <v>0.03</v>
      </c>
      <c r="AD132" s="582">
        <v>0.03</v>
      </c>
      <c r="AE132" s="582">
        <v>0.03</v>
      </c>
      <c r="AF132" s="582">
        <v>0.03</v>
      </c>
      <c r="AG132" s="582">
        <v>0.03</v>
      </c>
      <c r="AH132" s="582">
        <v>0.03</v>
      </c>
    </row>
    <row r="133" spans="5:34" ht="15" x14ac:dyDescent="0.2">
      <c r="E133" s="222" t="s">
        <v>22</v>
      </c>
      <c r="F133" s="284"/>
      <c r="G133" s="284"/>
      <c r="H133" s="286" t="s">
        <v>136</v>
      </c>
      <c r="I133" s="287"/>
      <c r="J133" s="355"/>
      <c r="K133" s="355"/>
      <c r="L133" s="355"/>
      <c r="M133" s="355"/>
      <c r="N133" s="355"/>
      <c r="O133" s="353">
        <v>0</v>
      </c>
      <c r="P133" s="353">
        <v>0</v>
      </c>
      <c r="Q133" s="695">
        <v>0</v>
      </c>
      <c r="R133" s="582">
        <v>0</v>
      </c>
      <c r="S133" s="582">
        <v>0</v>
      </c>
      <c r="T133" s="582">
        <v>0</v>
      </c>
      <c r="U133" s="582">
        <v>0</v>
      </c>
      <c r="V133" s="582">
        <v>0</v>
      </c>
      <c r="W133" s="582">
        <v>0</v>
      </c>
      <c r="X133" s="582">
        <v>0</v>
      </c>
      <c r="Y133" s="582">
        <v>0</v>
      </c>
      <c r="Z133" s="582">
        <v>0</v>
      </c>
      <c r="AA133" s="582">
        <v>0</v>
      </c>
      <c r="AB133" s="582">
        <v>0</v>
      </c>
      <c r="AC133" s="582">
        <v>0</v>
      </c>
      <c r="AD133" s="582">
        <v>0</v>
      </c>
      <c r="AE133" s="582">
        <v>0</v>
      </c>
      <c r="AF133" s="582">
        <v>0</v>
      </c>
      <c r="AG133" s="582">
        <v>0</v>
      </c>
      <c r="AH133" s="582">
        <v>0</v>
      </c>
    </row>
    <row r="134" spans="5:34" ht="15" x14ac:dyDescent="0.2">
      <c r="E134" s="356" t="s">
        <v>21</v>
      </c>
      <c r="F134" s="357"/>
      <c r="G134" s="357"/>
      <c r="H134" s="358" t="s">
        <v>136</v>
      </c>
      <c r="I134" s="359"/>
      <c r="J134" s="360"/>
      <c r="K134" s="360"/>
      <c r="L134" s="360"/>
      <c r="M134" s="360"/>
      <c r="N134" s="360"/>
      <c r="O134" s="361">
        <v>0</v>
      </c>
      <c r="P134" s="361">
        <v>0</v>
      </c>
      <c r="Q134" s="590">
        <v>0</v>
      </c>
      <c r="R134" s="580">
        <v>0</v>
      </c>
      <c r="S134" s="580">
        <v>0</v>
      </c>
      <c r="T134" s="580">
        <v>0.03</v>
      </c>
      <c r="U134" s="580">
        <v>0.03</v>
      </c>
      <c r="V134" s="580">
        <v>0.03</v>
      </c>
      <c r="W134" s="580">
        <v>0.03</v>
      </c>
      <c r="X134" s="580">
        <v>0.03</v>
      </c>
      <c r="Y134" s="580">
        <v>0.03</v>
      </c>
      <c r="Z134" s="580">
        <v>0.03</v>
      </c>
      <c r="AA134" s="580">
        <v>0.03</v>
      </c>
      <c r="AB134" s="580">
        <v>0.03</v>
      </c>
      <c r="AC134" s="580">
        <v>0.03</v>
      </c>
      <c r="AD134" s="580">
        <v>0.03</v>
      </c>
      <c r="AE134" s="580">
        <v>0.03</v>
      </c>
      <c r="AF134" s="580">
        <v>0.03</v>
      </c>
      <c r="AG134" s="580">
        <v>0.03</v>
      </c>
      <c r="AH134" s="580">
        <v>0.03</v>
      </c>
    </row>
    <row r="135" spans="5:34" ht="3" customHeight="1" x14ac:dyDescent="0.2">
      <c r="E135" s="284"/>
      <c r="F135" s="284"/>
      <c r="G135" s="284"/>
      <c r="H135" s="284"/>
      <c r="I135" s="287"/>
      <c r="Q135" s="587"/>
      <c r="R135" s="587"/>
      <c r="S135" s="587"/>
      <c r="T135" s="587"/>
      <c r="U135" s="587"/>
      <c r="V135" s="587"/>
      <c r="W135" s="587"/>
      <c r="X135" s="587"/>
      <c r="AA135" s="587"/>
      <c r="AB135" s="587"/>
      <c r="AC135" s="587"/>
      <c r="AD135" s="587"/>
      <c r="AE135" s="587"/>
      <c r="AF135" s="587"/>
      <c r="AG135" s="587"/>
      <c r="AH135" s="587"/>
    </row>
    <row r="136" spans="5:34" ht="11.25" x14ac:dyDescent="0.2">
      <c r="E136" s="285" t="s">
        <v>17</v>
      </c>
      <c r="F136" s="284"/>
      <c r="G136" s="284"/>
      <c r="H136" s="284"/>
      <c r="I136" s="287"/>
    </row>
    <row r="137" spans="5:34" ht="11.25" x14ac:dyDescent="0.2">
      <c r="E137" s="346" t="s">
        <v>20</v>
      </c>
      <c r="F137" s="347"/>
      <c r="G137" s="347"/>
      <c r="H137" s="347"/>
      <c r="I137" s="349"/>
      <c r="J137" s="362"/>
      <c r="K137" s="362"/>
      <c r="L137" s="362"/>
      <c r="M137" s="362"/>
      <c r="N137" s="362"/>
      <c r="O137" s="839" t="s">
        <v>157</v>
      </c>
      <c r="P137" s="839"/>
      <c r="Q137" s="839"/>
      <c r="R137" s="839"/>
      <c r="S137" s="839"/>
      <c r="T137" s="839"/>
      <c r="U137" s="839"/>
      <c r="V137" s="839"/>
      <c r="W137" s="839"/>
      <c r="X137" s="839"/>
      <c r="Y137" s="839" t="s">
        <v>157</v>
      </c>
      <c r="Z137" s="839"/>
      <c r="AA137" s="839"/>
      <c r="AB137" s="839"/>
      <c r="AC137" s="839"/>
      <c r="AD137" s="839"/>
      <c r="AE137" s="839"/>
      <c r="AF137" s="839"/>
      <c r="AG137" s="839"/>
      <c r="AH137" s="839"/>
    </row>
    <row r="138" spans="5:34" ht="11.25" x14ac:dyDescent="0.2">
      <c r="E138" s="222" t="s">
        <v>8</v>
      </c>
      <c r="F138" s="284"/>
      <c r="G138" s="284"/>
      <c r="H138" s="284" t="s">
        <v>96</v>
      </c>
      <c r="I138" s="287"/>
      <c r="J138" s="355"/>
      <c r="K138" s="355"/>
      <c r="L138" s="355"/>
      <c r="M138" s="355"/>
      <c r="N138" s="355"/>
      <c r="O138" s="839" t="s">
        <v>157</v>
      </c>
      <c r="P138" s="839"/>
      <c r="Q138" s="839"/>
      <c r="R138" s="839"/>
      <c r="S138" s="839"/>
      <c r="T138" s="839"/>
      <c r="U138" s="839"/>
      <c r="V138" s="839"/>
      <c r="W138" s="839"/>
      <c r="X138" s="839"/>
      <c r="Y138" s="839" t="s">
        <v>157</v>
      </c>
      <c r="Z138" s="839"/>
      <c r="AA138" s="839"/>
      <c r="AB138" s="839"/>
      <c r="AC138" s="839"/>
      <c r="AD138" s="839"/>
      <c r="AE138" s="839"/>
      <c r="AF138" s="839"/>
      <c r="AG138" s="839"/>
      <c r="AH138" s="839"/>
    </row>
    <row r="139" spans="5:34" ht="11.25" x14ac:dyDescent="0.2">
      <c r="E139" s="222" t="s">
        <v>9</v>
      </c>
      <c r="F139" s="284"/>
      <c r="G139" s="284"/>
      <c r="H139" s="284" t="s">
        <v>125</v>
      </c>
      <c r="I139" s="287"/>
      <c r="J139" s="355"/>
      <c r="K139" s="355"/>
      <c r="L139" s="355"/>
      <c r="M139" s="355"/>
      <c r="N139" s="355"/>
      <c r="O139" s="839" t="s">
        <v>157</v>
      </c>
      <c r="P139" s="839"/>
      <c r="Q139" s="839"/>
      <c r="R139" s="839"/>
      <c r="S139" s="839"/>
      <c r="T139" s="839"/>
      <c r="U139" s="839"/>
      <c r="V139" s="839"/>
      <c r="W139" s="839"/>
      <c r="X139" s="839"/>
      <c r="Y139" s="839" t="s">
        <v>157</v>
      </c>
      <c r="Z139" s="839"/>
      <c r="AA139" s="839"/>
      <c r="AB139" s="839"/>
      <c r="AC139" s="839"/>
      <c r="AD139" s="839"/>
      <c r="AE139" s="839"/>
      <c r="AF139" s="839"/>
      <c r="AG139" s="839"/>
      <c r="AH139" s="839"/>
    </row>
    <row r="140" spans="5:34" ht="11.25" x14ac:dyDescent="0.2">
      <c r="E140" s="222" t="s">
        <v>4</v>
      </c>
      <c r="F140" s="284"/>
      <c r="G140" s="284"/>
      <c r="H140" s="284" t="s">
        <v>136</v>
      </c>
      <c r="I140" s="287"/>
      <c r="J140" s="292"/>
      <c r="K140" s="355"/>
      <c r="L140" s="355"/>
      <c r="M140" s="355"/>
      <c r="N140" s="355"/>
      <c r="O140" s="353">
        <v>0</v>
      </c>
      <c r="P140" s="353">
        <v>0</v>
      </c>
      <c r="Q140" s="479">
        <v>0</v>
      </c>
      <c r="R140" s="479">
        <v>0</v>
      </c>
      <c r="S140" s="479">
        <v>0</v>
      </c>
      <c r="T140" s="479">
        <v>0</v>
      </c>
      <c r="U140" s="479">
        <v>0</v>
      </c>
      <c r="V140" s="479">
        <v>0</v>
      </c>
      <c r="W140" s="479">
        <v>0</v>
      </c>
      <c r="X140" s="479">
        <v>0</v>
      </c>
      <c r="Y140" s="479">
        <v>0</v>
      </c>
      <c r="Z140" s="479">
        <v>0</v>
      </c>
      <c r="AA140" s="479">
        <v>0</v>
      </c>
      <c r="AB140" s="479">
        <v>0</v>
      </c>
      <c r="AC140" s="479">
        <v>0</v>
      </c>
      <c r="AD140" s="479">
        <v>0</v>
      </c>
      <c r="AE140" s="479">
        <v>0</v>
      </c>
      <c r="AF140" s="479">
        <v>0</v>
      </c>
      <c r="AG140" s="479">
        <v>0</v>
      </c>
      <c r="AH140" s="479">
        <v>0</v>
      </c>
    </row>
    <row r="141" spans="5:34" ht="11.25" x14ac:dyDescent="0.2">
      <c r="E141" s="222" t="s">
        <v>10</v>
      </c>
      <c r="F141" s="284"/>
      <c r="G141" s="284"/>
      <c r="H141" s="284" t="s">
        <v>136</v>
      </c>
      <c r="I141" s="287"/>
      <c r="J141" s="292"/>
      <c r="K141" s="355"/>
      <c r="L141" s="355"/>
      <c r="M141" s="355"/>
      <c r="N141" s="355"/>
      <c r="O141" s="353">
        <v>0</v>
      </c>
      <c r="P141" s="353">
        <v>0</v>
      </c>
      <c r="Q141" s="479">
        <v>0</v>
      </c>
      <c r="R141" s="479">
        <v>0</v>
      </c>
      <c r="S141" s="479">
        <v>0.03</v>
      </c>
      <c r="T141" s="479">
        <v>0</v>
      </c>
      <c r="U141" s="479">
        <v>0</v>
      </c>
      <c r="V141" s="479">
        <v>0</v>
      </c>
      <c r="W141" s="479">
        <v>0</v>
      </c>
      <c r="X141" s="479">
        <v>0</v>
      </c>
      <c r="Y141" s="479">
        <v>0</v>
      </c>
      <c r="Z141" s="479">
        <v>0</v>
      </c>
      <c r="AA141" s="479">
        <v>0</v>
      </c>
      <c r="AB141" s="479">
        <v>0</v>
      </c>
      <c r="AC141" s="479">
        <v>0</v>
      </c>
      <c r="AD141" s="479">
        <v>0</v>
      </c>
      <c r="AE141" s="479">
        <v>0</v>
      </c>
      <c r="AF141" s="479">
        <v>0</v>
      </c>
      <c r="AG141" s="479">
        <v>0</v>
      </c>
      <c r="AH141" s="479">
        <v>0</v>
      </c>
    </row>
    <row r="142" spans="5:34" ht="11.25" x14ac:dyDescent="0.2">
      <c r="E142" s="222" t="s">
        <v>19</v>
      </c>
      <c r="F142" s="284"/>
      <c r="G142" s="284"/>
      <c r="H142" s="284" t="s">
        <v>137</v>
      </c>
      <c r="I142" s="287"/>
      <c r="J142" s="292"/>
      <c r="K142" s="355"/>
      <c r="L142" s="355"/>
      <c r="M142" s="355"/>
      <c r="N142" s="355"/>
      <c r="O142" s="353">
        <v>0</v>
      </c>
      <c r="P142" s="353">
        <v>0</v>
      </c>
      <c r="Q142" s="479">
        <v>0</v>
      </c>
      <c r="R142" s="479">
        <v>0</v>
      </c>
      <c r="S142" s="479">
        <v>0</v>
      </c>
      <c r="T142" s="479">
        <v>0</v>
      </c>
      <c r="U142" s="479">
        <v>0</v>
      </c>
      <c r="V142" s="479">
        <v>0</v>
      </c>
      <c r="W142" s="479">
        <v>0</v>
      </c>
      <c r="X142" s="479">
        <v>0</v>
      </c>
      <c r="Y142" s="479">
        <v>0</v>
      </c>
      <c r="Z142" s="479">
        <v>0</v>
      </c>
      <c r="AA142" s="479">
        <v>0</v>
      </c>
      <c r="AB142" s="479">
        <v>0</v>
      </c>
      <c r="AC142" s="479">
        <v>0</v>
      </c>
      <c r="AD142" s="479">
        <v>0</v>
      </c>
      <c r="AE142" s="479">
        <v>0</v>
      </c>
      <c r="AF142" s="479">
        <v>0</v>
      </c>
      <c r="AG142" s="479">
        <v>0</v>
      </c>
      <c r="AH142" s="479">
        <v>0</v>
      </c>
    </row>
    <row r="143" spans="5:34" ht="11.25" x14ac:dyDescent="0.2">
      <c r="E143" s="356" t="s">
        <v>11</v>
      </c>
      <c r="F143" s="357"/>
      <c r="G143" s="357"/>
      <c r="H143" s="357" t="s">
        <v>136</v>
      </c>
      <c r="I143" s="359"/>
      <c r="J143" s="363"/>
      <c r="K143" s="360"/>
      <c r="L143" s="360"/>
      <c r="M143" s="360"/>
      <c r="N143" s="360"/>
      <c r="O143" s="841" t="s">
        <v>157</v>
      </c>
      <c r="P143" s="841"/>
      <c r="Q143" s="841"/>
      <c r="R143" s="841"/>
      <c r="S143" s="841"/>
      <c r="T143" s="841"/>
      <c r="U143" s="841"/>
      <c r="V143" s="841"/>
      <c r="W143" s="841"/>
      <c r="X143" s="841"/>
      <c r="Y143" s="841" t="s">
        <v>157</v>
      </c>
      <c r="Z143" s="841"/>
      <c r="AA143" s="841"/>
      <c r="AB143" s="841"/>
      <c r="AC143" s="841"/>
      <c r="AD143" s="841"/>
      <c r="AE143" s="841"/>
      <c r="AF143" s="841"/>
      <c r="AG143" s="841"/>
      <c r="AH143" s="841"/>
    </row>
    <row r="144" spans="5:34" ht="3" customHeight="1" x14ac:dyDescent="0.2">
      <c r="E144" s="284"/>
      <c r="F144" s="284"/>
      <c r="G144" s="284"/>
      <c r="H144" s="284"/>
      <c r="I144" s="287"/>
    </row>
    <row r="145" spans="5:34" ht="11.25" x14ac:dyDescent="0.2">
      <c r="E145" s="285" t="s">
        <v>92</v>
      </c>
      <c r="F145" s="284"/>
      <c r="G145" s="284"/>
      <c r="H145" s="284"/>
      <c r="I145" s="287"/>
    </row>
    <row r="146" spans="5:34" ht="11.25" x14ac:dyDescent="0.2">
      <c r="E146" s="346" t="s">
        <v>25</v>
      </c>
      <c r="F146" s="347"/>
      <c r="G146" s="347"/>
      <c r="H146" s="347"/>
      <c r="I146" s="349"/>
      <c r="J146" s="364"/>
      <c r="K146" s="364"/>
      <c r="L146" s="364"/>
      <c r="M146" s="364"/>
      <c r="N146" s="364"/>
      <c r="O146" s="398"/>
      <c r="P146" s="398"/>
      <c r="Q146" s="398"/>
      <c r="R146" s="398"/>
      <c r="S146" s="398"/>
      <c r="T146" s="398"/>
      <c r="U146" s="398"/>
      <c r="V146" s="399"/>
      <c r="W146" s="399"/>
      <c r="X146" s="398"/>
      <c r="Y146" s="398"/>
      <c r="Z146" s="398"/>
      <c r="AA146" s="398"/>
      <c r="AB146" s="398"/>
      <c r="AC146" s="398"/>
      <c r="AD146" s="398"/>
      <c r="AE146" s="398"/>
      <c r="AF146" s="399"/>
      <c r="AG146" s="399"/>
      <c r="AH146" s="398"/>
    </row>
    <row r="147" spans="5:34" ht="11.25" x14ac:dyDescent="0.2">
      <c r="E147" s="224" t="s">
        <v>79</v>
      </c>
      <c r="F147" s="284"/>
      <c r="G147" s="284"/>
      <c r="H147" s="284"/>
      <c r="I147" s="287"/>
      <c r="J147" s="365"/>
      <c r="K147" s="365"/>
      <c r="L147" s="365"/>
      <c r="M147" s="366"/>
      <c r="N147" s="366"/>
      <c r="O147" s="839" t="s">
        <v>157</v>
      </c>
      <c r="P147" s="839"/>
      <c r="Q147" s="839"/>
      <c r="R147" s="839"/>
      <c r="S147" s="839"/>
      <c r="T147" s="839"/>
      <c r="U147" s="839"/>
      <c r="V147" s="839"/>
      <c r="W147" s="839"/>
      <c r="X147" s="839"/>
      <c r="Y147" s="839" t="s">
        <v>157</v>
      </c>
      <c r="Z147" s="839"/>
      <c r="AA147" s="839"/>
      <c r="AB147" s="839"/>
      <c r="AC147" s="839"/>
      <c r="AD147" s="839"/>
      <c r="AE147" s="839"/>
      <c r="AF147" s="839"/>
      <c r="AG147" s="839"/>
      <c r="AH147" s="839"/>
    </row>
    <row r="148" spans="5:34" ht="11.25" x14ac:dyDescent="0.2">
      <c r="E148" s="224" t="s">
        <v>212</v>
      </c>
      <c r="F148" s="284"/>
      <c r="G148" s="284"/>
      <c r="H148" s="284"/>
      <c r="I148" s="287"/>
      <c r="J148" s="365"/>
      <c r="K148" s="365"/>
      <c r="L148" s="365"/>
      <c r="M148" s="366"/>
      <c r="N148" s="366"/>
      <c r="O148" s="367"/>
      <c r="P148" s="368">
        <v>0</v>
      </c>
      <c r="Q148" s="368">
        <v>0</v>
      </c>
      <c r="R148" s="368">
        <v>0</v>
      </c>
      <c r="S148" s="368">
        <v>0</v>
      </c>
      <c r="T148" s="367"/>
      <c r="U148" s="367"/>
      <c r="V148" s="367"/>
      <c r="W148" s="367"/>
      <c r="X148" s="367"/>
      <c r="Y148" s="812"/>
      <c r="Z148" s="368"/>
      <c r="AA148" s="368"/>
      <c r="AB148" s="368"/>
      <c r="AC148" s="368"/>
      <c r="AD148" s="812"/>
      <c r="AE148" s="812"/>
      <c r="AF148" s="812"/>
      <c r="AG148" s="812"/>
      <c r="AH148" s="812"/>
    </row>
    <row r="149" spans="5:34" ht="11.25" x14ac:dyDescent="0.2">
      <c r="E149" s="224" t="s">
        <v>214</v>
      </c>
      <c r="F149" s="284"/>
      <c r="G149" s="284"/>
      <c r="H149" s="284"/>
      <c r="I149" s="287"/>
      <c r="J149" s="365"/>
      <c r="K149" s="365"/>
      <c r="L149" s="365"/>
      <c r="M149" s="366"/>
      <c r="N149" s="366"/>
      <c r="O149" s="367"/>
      <c r="P149" s="368">
        <v>0</v>
      </c>
      <c r="Q149" s="368">
        <v>-59900</v>
      </c>
      <c r="R149" s="368">
        <v>0</v>
      </c>
      <c r="S149" s="368">
        <v>0</v>
      </c>
      <c r="T149" s="368"/>
      <c r="U149" s="367"/>
      <c r="V149" s="367"/>
      <c r="W149" s="367"/>
      <c r="X149" s="367"/>
      <c r="Y149" s="812"/>
      <c r="Z149" s="368"/>
      <c r="AA149" s="368"/>
      <c r="AB149" s="368"/>
      <c r="AC149" s="368"/>
      <c r="AD149" s="368"/>
      <c r="AE149" s="812"/>
      <c r="AF149" s="812"/>
      <c r="AG149" s="812"/>
      <c r="AH149" s="812"/>
    </row>
    <row r="150" spans="5:34" ht="11.25" x14ac:dyDescent="0.2">
      <c r="E150" s="224" t="s">
        <v>213</v>
      </c>
      <c r="F150" s="284"/>
      <c r="G150" s="284"/>
      <c r="H150" s="369"/>
      <c r="I150" s="287"/>
      <c r="J150" s="365"/>
      <c r="K150" s="365"/>
      <c r="L150" s="365"/>
      <c r="M150" s="366"/>
      <c r="N150" s="366"/>
      <c r="O150" s="370"/>
      <c r="P150" s="371">
        <v>0</v>
      </c>
      <c r="Q150" s="371">
        <v>0</v>
      </c>
      <c r="R150" s="371">
        <f>'2. MD&amp;A'!R53</f>
        <v>0</v>
      </c>
      <c r="S150" s="371">
        <f>'2. MD&amp;A'!S53</f>
        <v>0</v>
      </c>
      <c r="T150" s="371"/>
      <c r="U150" s="371"/>
      <c r="V150" s="371"/>
      <c r="W150" s="371"/>
      <c r="X150" s="371"/>
      <c r="Y150" s="370"/>
      <c r="Z150" s="371"/>
      <c r="AA150" s="371"/>
      <c r="AB150" s="371"/>
      <c r="AC150" s="371"/>
      <c r="AD150" s="371"/>
      <c r="AE150" s="371"/>
      <c r="AF150" s="371"/>
      <c r="AG150" s="371"/>
      <c r="AH150" s="371"/>
    </row>
    <row r="151" spans="5:34" ht="11.25" x14ac:dyDescent="0.2">
      <c r="E151" s="224" t="s">
        <v>80</v>
      </c>
      <c r="F151" s="284"/>
      <c r="G151" s="284"/>
      <c r="H151" s="284" t="s">
        <v>138</v>
      </c>
      <c r="I151" s="287"/>
      <c r="J151" s="365"/>
      <c r="K151" s="365"/>
      <c r="L151" s="365"/>
      <c r="M151" s="366"/>
      <c r="N151" s="366"/>
      <c r="O151" s="372">
        <v>0</v>
      </c>
      <c r="P151" s="372">
        <v>0</v>
      </c>
      <c r="Q151" s="372">
        <v>0</v>
      </c>
      <c r="R151" s="372">
        <v>0</v>
      </c>
      <c r="S151" s="372">
        <v>0</v>
      </c>
      <c r="T151" s="372">
        <v>0</v>
      </c>
      <c r="U151" s="372">
        <v>0</v>
      </c>
      <c r="V151" s="372">
        <v>0</v>
      </c>
      <c r="W151" s="372">
        <v>0</v>
      </c>
      <c r="X151" s="372">
        <v>0</v>
      </c>
      <c r="Y151" s="372">
        <v>0</v>
      </c>
      <c r="Z151" s="372">
        <v>0</v>
      </c>
      <c r="AA151" s="372">
        <v>0</v>
      </c>
      <c r="AB151" s="372">
        <v>0</v>
      </c>
      <c r="AC151" s="372">
        <v>0</v>
      </c>
      <c r="AD151" s="372">
        <v>0</v>
      </c>
      <c r="AE151" s="372">
        <v>0</v>
      </c>
      <c r="AF151" s="372">
        <v>0</v>
      </c>
      <c r="AG151" s="372">
        <v>0</v>
      </c>
      <c r="AH151" s="372">
        <v>0</v>
      </c>
    </row>
    <row r="152" spans="5:34" ht="11.25" x14ac:dyDescent="0.2">
      <c r="E152" s="222" t="s">
        <v>26</v>
      </c>
      <c r="F152" s="284"/>
      <c r="G152" s="284"/>
      <c r="H152" s="284" t="s">
        <v>139</v>
      </c>
      <c r="I152" s="287"/>
      <c r="J152" s="373"/>
      <c r="K152" s="373"/>
      <c r="L152" s="373"/>
      <c r="M152" s="355"/>
      <c r="N152" s="355"/>
      <c r="O152" s="374">
        <v>0</v>
      </c>
      <c r="P152" s="374">
        <v>0</v>
      </c>
      <c r="Q152" s="374">
        <v>0</v>
      </c>
      <c r="R152" s="374">
        <v>0</v>
      </c>
      <c r="S152" s="374">
        <v>0</v>
      </c>
      <c r="T152" s="374">
        <v>0</v>
      </c>
      <c r="U152" s="374">
        <v>0</v>
      </c>
      <c r="V152" s="374">
        <v>0</v>
      </c>
      <c r="W152" s="374">
        <v>0</v>
      </c>
      <c r="X152" s="374">
        <v>0</v>
      </c>
      <c r="Y152" s="374">
        <v>0</v>
      </c>
      <c r="Z152" s="374">
        <v>0</v>
      </c>
      <c r="AA152" s="374">
        <v>0</v>
      </c>
      <c r="AB152" s="374">
        <v>0</v>
      </c>
      <c r="AC152" s="374">
        <v>0</v>
      </c>
      <c r="AD152" s="374">
        <v>0</v>
      </c>
      <c r="AE152" s="374">
        <v>0</v>
      </c>
      <c r="AF152" s="374">
        <v>0</v>
      </c>
      <c r="AG152" s="374">
        <v>0</v>
      </c>
      <c r="AH152" s="374">
        <v>0</v>
      </c>
    </row>
    <row r="153" spans="5:34" ht="11.25" x14ac:dyDescent="0.2">
      <c r="E153" s="222" t="s">
        <v>99</v>
      </c>
      <c r="F153" s="284"/>
      <c r="G153" s="284"/>
      <c r="H153" s="284" t="s">
        <v>140</v>
      </c>
      <c r="I153" s="287"/>
      <c r="J153" s="373"/>
      <c r="K153" s="373"/>
      <c r="L153" s="373"/>
      <c r="M153" s="373"/>
      <c r="N153" s="355"/>
      <c r="O153" s="374">
        <v>0</v>
      </c>
      <c r="P153" s="374">
        <v>0</v>
      </c>
      <c r="Q153" s="374">
        <v>0</v>
      </c>
      <c r="R153" s="374">
        <v>0</v>
      </c>
      <c r="S153" s="374">
        <v>0</v>
      </c>
      <c r="T153" s="374">
        <v>0</v>
      </c>
      <c r="U153" s="374">
        <v>0</v>
      </c>
      <c r="V153" s="374">
        <v>0</v>
      </c>
      <c r="W153" s="374">
        <v>0</v>
      </c>
      <c r="X153" s="374">
        <v>0</v>
      </c>
      <c r="Y153" s="374">
        <v>0</v>
      </c>
      <c r="Z153" s="374">
        <v>0</v>
      </c>
      <c r="AA153" s="374">
        <v>0</v>
      </c>
      <c r="AB153" s="374">
        <v>0</v>
      </c>
      <c r="AC153" s="374">
        <v>0</v>
      </c>
      <c r="AD153" s="374">
        <v>0</v>
      </c>
      <c r="AE153" s="374">
        <v>0</v>
      </c>
      <c r="AF153" s="374">
        <v>0</v>
      </c>
      <c r="AG153" s="374">
        <v>0</v>
      </c>
      <c r="AH153" s="374">
        <v>0</v>
      </c>
    </row>
    <row r="154" spans="5:34" ht="11.25" x14ac:dyDescent="0.2">
      <c r="E154" s="222" t="s">
        <v>78</v>
      </c>
      <c r="F154" s="284"/>
      <c r="G154" s="284"/>
      <c r="H154" s="284" t="s">
        <v>136</v>
      </c>
      <c r="I154" s="287"/>
      <c r="J154" s="373"/>
      <c r="K154" s="373"/>
      <c r="L154" s="373"/>
      <c r="M154" s="355"/>
      <c r="N154" s="355"/>
      <c r="O154" s="374">
        <v>0</v>
      </c>
      <c r="P154" s="374">
        <v>0</v>
      </c>
      <c r="Q154" s="374">
        <v>0</v>
      </c>
      <c r="R154" s="374">
        <v>0</v>
      </c>
      <c r="S154" s="374">
        <v>0</v>
      </c>
      <c r="T154" s="374">
        <v>0</v>
      </c>
      <c r="U154" s="374">
        <v>0</v>
      </c>
      <c r="V154" s="374">
        <v>0</v>
      </c>
      <c r="W154" s="374">
        <v>0</v>
      </c>
      <c r="X154" s="374">
        <v>0</v>
      </c>
      <c r="Y154" s="374">
        <v>0</v>
      </c>
      <c r="Z154" s="374">
        <v>0</v>
      </c>
      <c r="AA154" s="374">
        <v>0</v>
      </c>
      <c r="AB154" s="374">
        <v>0</v>
      </c>
      <c r="AC154" s="374">
        <v>0</v>
      </c>
      <c r="AD154" s="374">
        <v>0</v>
      </c>
      <c r="AE154" s="374">
        <v>0</v>
      </c>
      <c r="AF154" s="374">
        <v>0</v>
      </c>
      <c r="AG154" s="374">
        <v>0</v>
      </c>
      <c r="AH154" s="374">
        <v>0</v>
      </c>
    </row>
    <row r="155" spans="5:34" ht="11.25" x14ac:dyDescent="0.2">
      <c r="E155" s="222" t="s">
        <v>27</v>
      </c>
      <c r="F155" s="284"/>
      <c r="G155" s="284"/>
      <c r="H155" s="284" t="s">
        <v>136</v>
      </c>
      <c r="I155" s="287"/>
      <c r="J155" s="373"/>
      <c r="K155" s="373"/>
      <c r="L155" s="373"/>
      <c r="M155" s="355"/>
      <c r="N155" s="355"/>
      <c r="O155" s="842" t="s">
        <v>157</v>
      </c>
      <c r="P155" s="842"/>
      <c r="Q155" s="842"/>
      <c r="R155" s="842"/>
      <c r="S155" s="842"/>
      <c r="T155" s="842"/>
      <c r="U155" s="842"/>
      <c r="V155" s="842"/>
      <c r="W155" s="842"/>
      <c r="X155" s="842"/>
      <c r="Y155" s="842" t="s">
        <v>157</v>
      </c>
      <c r="Z155" s="842"/>
      <c r="AA155" s="842"/>
      <c r="AB155" s="842"/>
      <c r="AC155" s="842"/>
      <c r="AD155" s="842"/>
      <c r="AE155" s="842"/>
      <c r="AF155" s="842"/>
      <c r="AG155" s="842"/>
      <c r="AH155" s="842"/>
    </row>
    <row r="156" spans="5:34" ht="11.25" x14ac:dyDescent="0.2">
      <c r="E156" s="222" t="s">
        <v>81</v>
      </c>
      <c r="F156" s="284"/>
      <c r="G156" s="284"/>
      <c r="H156" s="284"/>
      <c r="I156" s="287"/>
      <c r="J156" s="373"/>
      <c r="K156" s="373"/>
      <c r="L156" s="373"/>
      <c r="M156" s="373"/>
      <c r="N156" s="373"/>
      <c r="O156" s="375"/>
      <c r="P156" s="375"/>
      <c r="Q156" s="375"/>
      <c r="R156" s="375"/>
      <c r="S156" s="375"/>
      <c r="T156" s="375"/>
      <c r="U156" s="375"/>
      <c r="V156" s="375"/>
      <c r="W156" s="375"/>
      <c r="X156" s="375"/>
      <c r="Y156" s="375"/>
      <c r="Z156" s="375"/>
      <c r="AA156" s="375"/>
      <c r="AB156" s="375"/>
      <c r="AC156" s="375"/>
      <c r="AD156" s="375"/>
      <c r="AE156" s="375"/>
      <c r="AF156" s="375"/>
      <c r="AG156" s="375"/>
      <c r="AH156" s="375"/>
    </row>
    <row r="157" spans="5:34" ht="11.25" x14ac:dyDescent="0.2">
      <c r="E157" s="224" t="s">
        <v>82</v>
      </c>
      <c r="F157" s="284"/>
      <c r="G157" s="284"/>
      <c r="H157" s="284" t="s">
        <v>141</v>
      </c>
      <c r="I157" s="287"/>
      <c r="J157" s="373"/>
      <c r="K157" s="373"/>
      <c r="L157" s="373"/>
      <c r="M157" s="355"/>
      <c r="N157" s="355"/>
      <c r="O157" s="842" t="s">
        <v>158</v>
      </c>
      <c r="P157" s="842"/>
      <c r="Q157" s="842"/>
      <c r="R157" s="842"/>
      <c r="S157" s="842"/>
      <c r="T157" s="842"/>
      <c r="U157" s="842"/>
      <c r="V157" s="842"/>
      <c r="W157" s="842"/>
      <c r="X157" s="842"/>
      <c r="Y157" s="842" t="s">
        <v>158</v>
      </c>
      <c r="Z157" s="842"/>
      <c r="AA157" s="842"/>
      <c r="AB157" s="842"/>
      <c r="AC157" s="842"/>
      <c r="AD157" s="842"/>
      <c r="AE157" s="842"/>
      <c r="AF157" s="842"/>
      <c r="AG157" s="842"/>
      <c r="AH157" s="842"/>
    </row>
    <row r="158" spans="5:34" ht="11.25" x14ac:dyDescent="0.2">
      <c r="E158" s="224" t="s">
        <v>68</v>
      </c>
      <c r="F158" s="284"/>
      <c r="G158" s="284"/>
      <c r="H158" s="284" t="s">
        <v>142</v>
      </c>
      <c r="I158" s="287"/>
      <c r="J158" s="373"/>
      <c r="K158" s="373"/>
      <c r="L158" s="373"/>
      <c r="M158" s="355"/>
      <c r="N158" s="355"/>
      <c r="O158" s="374">
        <v>0</v>
      </c>
      <c r="P158" s="374">
        <v>-0.02</v>
      </c>
      <c r="Q158" s="374">
        <v>-0.02</v>
      </c>
      <c r="R158" s="374">
        <v>-0.02</v>
      </c>
      <c r="S158" s="374">
        <v>-0.02</v>
      </c>
      <c r="T158" s="374">
        <v>-0.02</v>
      </c>
      <c r="U158" s="374">
        <v>-0.02</v>
      </c>
      <c r="V158" s="374">
        <v>-0.02</v>
      </c>
      <c r="W158" s="374">
        <v>-0.02</v>
      </c>
      <c r="X158" s="374">
        <v>-0.02</v>
      </c>
      <c r="Y158" s="374">
        <v>-0.02</v>
      </c>
      <c r="Z158" s="374">
        <v>-0.02</v>
      </c>
      <c r="AA158" s="374">
        <v>-0.02</v>
      </c>
      <c r="AB158" s="374">
        <v>-0.02</v>
      </c>
      <c r="AC158" s="374">
        <v>-0.02</v>
      </c>
      <c r="AD158" s="374">
        <v>-0.02</v>
      </c>
      <c r="AE158" s="374">
        <v>-0.02</v>
      </c>
      <c r="AF158" s="374">
        <v>-0.02</v>
      </c>
      <c r="AG158" s="374">
        <v>-0.02</v>
      </c>
      <c r="AH158" s="374">
        <v>-0.02</v>
      </c>
    </row>
    <row r="159" spans="5:34" ht="11.25" x14ac:dyDescent="0.2">
      <c r="E159" s="224" t="s">
        <v>85</v>
      </c>
      <c r="F159" s="284"/>
      <c r="G159" s="284"/>
      <c r="H159" s="284" t="s">
        <v>142</v>
      </c>
      <c r="I159" s="287"/>
      <c r="J159" s="373"/>
      <c r="K159" s="373"/>
      <c r="L159" s="373"/>
      <c r="M159" s="355"/>
      <c r="N159" s="355"/>
      <c r="O159" s="374">
        <v>0</v>
      </c>
      <c r="P159" s="374">
        <v>0.04</v>
      </c>
      <c r="Q159" s="374">
        <v>0.04</v>
      </c>
      <c r="R159" s="374">
        <v>0.04</v>
      </c>
      <c r="S159" s="374">
        <v>0.04</v>
      </c>
      <c r="T159" s="374">
        <v>0.04</v>
      </c>
      <c r="U159" s="374">
        <v>0.04</v>
      </c>
      <c r="V159" s="374">
        <v>0.04</v>
      </c>
      <c r="W159" s="374">
        <v>0.04</v>
      </c>
      <c r="X159" s="374">
        <v>0.04</v>
      </c>
      <c r="Y159" s="374">
        <v>0.04</v>
      </c>
      <c r="Z159" s="374">
        <v>0.04</v>
      </c>
      <c r="AA159" s="374">
        <v>0.04</v>
      </c>
      <c r="AB159" s="374">
        <v>0.04</v>
      </c>
      <c r="AC159" s="374">
        <v>0.04</v>
      </c>
      <c r="AD159" s="374">
        <v>0.04</v>
      </c>
      <c r="AE159" s="374">
        <v>0.04</v>
      </c>
      <c r="AF159" s="374">
        <v>0.04</v>
      </c>
      <c r="AG159" s="374">
        <v>0.04</v>
      </c>
      <c r="AH159" s="374">
        <v>0.04</v>
      </c>
    </row>
    <row r="160" spans="5:34" ht="11.25" x14ac:dyDescent="0.2">
      <c r="E160" s="222" t="s">
        <v>83</v>
      </c>
      <c r="F160" s="284"/>
      <c r="G160" s="284"/>
      <c r="H160" s="284" t="s">
        <v>109</v>
      </c>
      <c r="I160" s="287"/>
      <c r="J160" s="373"/>
      <c r="K160" s="373"/>
      <c r="L160" s="373"/>
      <c r="M160" s="355"/>
      <c r="N160" s="355"/>
      <c r="O160" s="839" t="s">
        <v>159</v>
      </c>
      <c r="P160" s="839"/>
      <c r="Q160" s="839"/>
      <c r="R160" s="839"/>
      <c r="S160" s="839"/>
      <c r="T160" s="839"/>
      <c r="U160" s="839"/>
      <c r="V160" s="839"/>
      <c r="W160" s="839"/>
      <c r="X160" s="839"/>
      <c r="Y160" s="839" t="s">
        <v>159</v>
      </c>
      <c r="Z160" s="839"/>
      <c r="AA160" s="839"/>
      <c r="AB160" s="839"/>
      <c r="AC160" s="839"/>
      <c r="AD160" s="839"/>
      <c r="AE160" s="839"/>
      <c r="AF160" s="839"/>
      <c r="AG160" s="839"/>
      <c r="AH160" s="839"/>
    </row>
    <row r="161" spans="1:34" ht="11.25" x14ac:dyDescent="0.2">
      <c r="E161" s="222" t="s">
        <v>28</v>
      </c>
      <c r="F161" s="284"/>
      <c r="G161" s="284"/>
      <c r="H161" s="284" t="s">
        <v>109</v>
      </c>
      <c r="I161" s="287"/>
      <c r="J161" s="373"/>
      <c r="K161" s="373"/>
      <c r="L161" s="373"/>
      <c r="M161" s="355"/>
      <c r="N161" s="355"/>
      <c r="O161" s="839" t="s">
        <v>159</v>
      </c>
      <c r="P161" s="839"/>
      <c r="Q161" s="839"/>
      <c r="R161" s="839"/>
      <c r="S161" s="839"/>
      <c r="T161" s="839"/>
      <c r="U161" s="839"/>
      <c r="V161" s="839"/>
      <c r="W161" s="839"/>
      <c r="X161" s="839"/>
      <c r="Y161" s="839" t="s">
        <v>159</v>
      </c>
      <c r="Z161" s="839"/>
      <c r="AA161" s="839"/>
      <c r="AB161" s="839"/>
      <c r="AC161" s="839"/>
      <c r="AD161" s="839"/>
      <c r="AE161" s="839"/>
      <c r="AF161" s="839"/>
      <c r="AG161" s="839"/>
      <c r="AH161" s="839"/>
    </row>
    <row r="162" spans="1:34" ht="11.25" x14ac:dyDescent="0.2">
      <c r="E162" s="356" t="s">
        <v>29</v>
      </c>
      <c r="F162" s="357"/>
      <c r="G162" s="357"/>
      <c r="H162" s="357" t="s">
        <v>120</v>
      </c>
      <c r="I162" s="359"/>
      <c r="J162" s="376"/>
      <c r="K162" s="376"/>
      <c r="L162" s="376"/>
      <c r="M162" s="360"/>
      <c r="N162" s="360"/>
      <c r="O162" s="840" t="s">
        <v>159</v>
      </c>
      <c r="P162" s="840"/>
      <c r="Q162" s="840"/>
      <c r="R162" s="840"/>
      <c r="S162" s="840"/>
      <c r="T162" s="840"/>
      <c r="U162" s="840"/>
      <c r="V162" s="840"/>
      <c r="W162" s="840"/>
      <c r="X162" s="840"/>
      <c r="Y162" s="840" t="s">
        <v>159</v>
      </c>
      <c r="Z162" s="840"/>
      <c r="AA162" s="840"/>
      <c r="AB162" s="840"/>
      <c r="AC162" s="840"/>
      <c r="AD162" s="840"/>
      <c r="AE162" s="840"/>
      <c r="AF162" s="840"/>
      <c r="AG162" s="840"/>
      <c r="AH162" s="840"/>
    </row>
    <row r="163" spans="1:34" ht="3" customHeight="1" x14ac:dyDescent="0.2">
      <c r="E163" s="284"/>
      <c r="F163" s="284"/>
      <c r="G163" s="284"/>
      <c r="H163" s="284"/>
      <c r="I163" s="287"/>
    </row>
    <row r="164" spans="1:34" ht="11.25" x14ac:dyDescent="0.2">
      <c r="E164" s="285" t="s">
        <v>33</v>
      </c>
      <c r="F164" s="284"/>
      <c r="G164" s="284"/>
      <c r="H164" s="284"/>
      <c r="I164" s="287"/>
    </row>
    <row r="165" spans="1:34" ht="11.25" x14ac:dyDescent="0.2">
      <c r="E165" s="346" t="s">
        <v>30</v>
      </c>
      <c r="F165" s="347"/>
      <c r="G165" s="347"/>
      <c r="H165" s="347" t="s">
        <v>121</v>
      </c>
      <c r="I165" s="349"/>
      <c r="J165" s="377"/>
      <c r="K165" s="377"/>
      <c r="L165" s="377"/>
      <c r="M165" s="377"/>
      <c r="N165" s="362"/>
      <c r="O165" s="378">
        <v>0</v>
      </c>
      <c r="P165" s="378">
        <v>0</v>
      </c>
      <c r="Q165" s="378">
        <v>0</v>
      </c>
      <c r="R165" s="378">
        <v>0</v>
      </c>
      <c r="S165" s="378">
        <v>0</v>
      </c>
      <c r="T165" s="378">
        <v>0</v>
      </c>
      <c r="U165" s="378">
        <v>0</v>
      </c>
      <c r="V165" s="378">
        <v>0</v>
      </c>
      <c r="W165" s="378">
        <v>0</v>
      </c>
      <c r="X165" s="378">
        <v>0</v>
      </c>
      <c r="Y165" s="378">
        <v>0</v>
      </c>
      <c r="Z165" s="378">
        <v>0</v>
      </c>
      <c r="AA165" s="378">
        <v>0</v>
      </c>
      <c r="AB165" s="378">
        <v>0</v>
      </c>
      <c r="AC165" s="378">
        <v>0</v>
      </c>
      <c r="AD165" s="378">
        <v>0</v>
      </c>
      <c r="AE165" s="378">
        <v>0</v>
      </c>
      <c r="AF165" s="378">
        <v>0</v>
      </c>
      <c r="AG165" s="378">
        <v>0</v>
      </c>
      <c r="AH165" s="378">
        <v>0</v>
      </c>
    </row>
    <row r="166" spans="1:34" ht="11.25" x14ac:dyDescent="0.2">
      <c r="E166" s="222" t="s">
        <v>31</v>
      </c>
      <c r="F166" s="284"/>
      <c r="G166" s="284"/>
      <c r="H166" s="284"/>
      <c r="I166" s="287"/>
      <c r="J166" s="373"/>
      <c r="K166" s="373"/>
      <c r="L166" s="373"/>
      <c r="M166" s="373"/>
      <c r="N166" s="355"/>
      <c r="O166" s="374">
        <v>0</v>
      </c>
      <c r="P166" s="374">
        <v>0</v>
      </c>
      <c r="Q166" s="374">
        <v>0</v>
      </c>
      <c r="R166" s="374">
        <v>0</v>
      </c>
      <c r="S166" s="374">
        <v>0</v>
      </c>
      <c r="T166" s="374">
        <v>0</v>
      </c>
      <c r="U166" s="374">
        <v>0</v>
      </c>
      <c r="V166" s="374">
        <v>0</v>
      </c>
      <c r="W166" s="374">
        <v>0</v>
      </c>
      <c r="X166" s="374">
        <v>0</v>
      </c>
      <c r="Y166" s="374">
        <v>0</v>
      </c>
      <c r="Z166" s="374">
        <v>0</v>
      </c>
      <c r="AA166" s="374">
        <v>0</v>
      </c>
      <c r="AB166" s="374">
        <v>0</v>
      </c>
      <c r="AC166" s="374">
        <v>0</v>
      </c>
      <c r="AD166" s="374">
        <v>0</v>
      </c>
      <c r="AE166" s="374">
        <v>0</v>
      </c>
      <c r="AF166" s="374">
        <v>0</v>
      </c>
      <c r="AG166" s="374">
        <v>0</v>
      </c>
      <c r="AH166" s="374">
        <v>0</v>
      </c>
    </row>
    <row r="167" spans="1:34" ht="11.25" x14ac:dyDescent="0.2">
      <c r="E167" s="356" t="s">
        <v>32</v>
      </c>
      <c r="F167" s="357"/>
      <c r="G167" s="357"/>
      <c r="H167" s="357"/>
      <c r="I167" s="359"/>
      <c r="J167" s="376"/>
      <c r="K167" s="376"/>
      <c r="L167" s="376"/>
      <c r="M167" s="376"/>
      <c r="N167" s="360"/>
      <c r="O167" s="379"/>
      <c r="P167" s="379"/>
      <c r="Q167" s="379"/>
      <c r="R167" s="379"/>
      <c r="S167" s="379"/>
      <c r="T167" s="379"/>
      <c r="U167" s="379"/>
      <c r="V167" s="380"/>
      <c r="W167" s="380"/>
      <c r="X167" s="379"/>
      <c r="Y167" s="379"/>
      <c r="Z167" s="379"/>
      <c r="AA167" s="379"/>
      <c r="AB167" s="379"/>
      <c r="AC167" s="379"/>
      <c r="AD167" s="379"/>
      <c r="AE167" s="379"/>
      <c r="AF167" s="380"/>
      <c r="AG167" s="380"/>
      <c r="AH167" s="379"/>
    </row>
    <row r="168" spans="1:34" ht="3" customHeight="1" x14ac:dyDescent="0.2">
      <c r="E168" s="222"/>
      <c r="F168" s="284"/>
      <c r="G168" s="284"/>
      <c r="H168" s="284"/>
      <c r="I168" s="287"/>
      <c r="J168" s="373"/>
      <c r="K168" s="373"/>
      <c r="L168" s="373"/>
      <c r="M168" s="373"/>
      <c r="N168" s="373"/>
      <c r="O168" s="373"/>
      <c r="P168" s="373"/>
      <c r="Q168" s="373"/>
      <c r="R168" s="373"/>
      <c r="S168" s="373"/>
      <c r="T168" s="373"/>
      <c r="U168" s="373"/>
      <c r="V168" s="373"/>
      <c r="W168" s="373"/>
      <c r="X168" s="373"/>
    </row>
    <row r="169" spans="1:34" ht="11.25" x14ac:dyDescent="0.2">
      <c r="E169" s="284"/>
      <c r="F169" s="284"/>
      <c r="G169" s="284"/>
      <c r="H169" s="284"/>
      <c r="I169" s="287"/>
    </row>
    <row r="170" spans="1:34" ht="11.25" x14ac:dyDescent="0.2">
      <c r="E170" s="284"/>
      <c r="F170" s="284"/>
      <c r="G170" s="284"/>
      <c r="H170" s="284"/>
      <c r="I170" s="287"/>
    </row>
    <row r="171" spans="1:34" s="384" customFormat="1" ht="11.25" x14ac:dyDescent="0.2">
      <c r="A171" s="381"/>
      <c r="B171" s="381"/>
      <c r="C171" s="381"/>
      <c r="D171" s="382"/>
      <c r="E171" s="369" t="s">
        <v>150</v>
      </c>
      <c r="F171" s="369"/>
      <c r="G171" s="383">
        <f>80000+25000</f>
        <v>105000</v>
      </c>
      <c r="H171" s="369"/>
      <c r="I171" s="369"/>
    </row>
    <row r="172" spans="1:34" ht="11.25" x14ac:dyDescent="0.2"/>
    <row r="173" spans="1:34" ht="11.25" x14ac:dyDescent="0.2">
      <c r="E173" s="290" t="s">
        <v>400</v>
      </c>
      <c r="T173" s="311"/>
      <c r="U173" s="311">
        <f>Scenarios!L72</f>
        <v>0</v>
      </c>
      <c r="V173" s="311">
        <f>Scenarios!M72</f>
        <v>0</v>
      </c>
      <c r="W173" s="311">
        <f>Scenarios!N72</f>
        <v>0</v>
      </c>
      <c r="X173" s="311">
        <f>Scenarios!O72</f>
        <v>0</v>
      </c>
    </row>
  </sheetData>
  <mergeCells count="34">
    <mergeCell ref="O123:X123"/>
    <mergeCell ref="O125:X125"/>
    <mergeCell ref="O128:X128"/>
    <mergeCell ref="O137:X137"/>
    <mergeCell ref="O139:X139"/>
    <mergeCell ref="O138:X138"/>
    <mergeCell ref="O127:X127"/>
    <mergeCell ref="O126:X126"/>
    <mergeCell ref="O160:X160"/>
    <mergeCell ref="O161:X161"/>
    <mergeCell ref="O130:X130"/>
    <mergeCell ref="O131:X131"/>
    <mergeCell ref="O162:X162"/>
    <mergeCell ref="O143:X143"/>
    <mergeCell ref="O147:X147"/>
    <mergeCell ref="O155:X155"/>
    <mergeCell ref="O157:X157"/>
    <mergeCell ref="Y123:AH123"/>
    <mergeCell ref="Y125:AH125"/>
    <mergeCell ref="Y126:AH126"/>
    <mergeCell ref="Y127:AH127"/>
    <mergeCell ref="Y128:AH128"/>
    <mergeCell ref="Y130:AH130"/>
    <mergeCell ref="Y131:AH131"/>
    <mergeCell ref="Y137:AH137"/>
    <mergeCell ref="Y138:AH138"/>
    <mergeCell ref="Y139:AH139"/>
    <mergeCell ref="Y161:AH161"/>
    <mergeCell ref="Y162:AH162"/>
    <mergeCell ref="Y143:AH143"/>
    <mergeCell ref="Y147:AH147"/>
    <mergeCell ref="Y155:AH155"/>
    <mergeCell ref="Y157:AH157"/>
    <mergeCell ref="Y160:AH160"/>
  </mergeCells>
  <phoneticPr fontId="22" type="noConversion"/>
  <pageMargins left="0.7" right="0.7" top="0.75" bottom="0.75" header="0.3" footer="0.3"/>
  <pageSetup scale="69" firstPageNumber="13" orientation="portrait" useFirstPageNumber="1" r:id="rId1"/>
  <headerFooter alignWithMargins="0">
    <oddFooter>&amp;L&amp;G&amp;R&amp;D   &amp;P</oddFooter>
  </headerFooter>
  <ignoredErrors>
    <ignoredError sqref="R150" unlocked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O79"/>
  <sheetViews>
    <sheetView showGridLines="0" topLeftCell="E3" zoomScale="90" zoomScaleNormal="90" zoomScaleSheetLayoutView="100" workbookViewId="0">
      <pane ySplit="7" topLeftCell="A10" activePane="bottomLeft" state="frozen"/>
      <selection activeCell="G56" sqref="G56"/>
      <selection pane="bottomLeft" activeCell="Q27" sqref="Q27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3" hidden="1" customWidth="1" outlineLevel="1"/>
    <col min="5" max="5" width="12.42578125" style="12" customWidth="1" collapsed="1"/>
    <col min="6" max="7" width="5.42578125" style="12" customWidth="1"/>
    <col min="8" max="8" width="10.85546875" style="12" customWidth="1"/>
    <col min="9" max="9" width="8.7109375" style="93" hidden="1" customWidth="1" outlineLevel="1"/>
    <col min="10" max="15" width="12.7109375" style="12" hidden="1" customWidth="1" outlineLevel="1"/>
    <col min="16" max="16" width="11.28515625" style="12" hidden="1" customWidth="1" outlineLevel="1"/>
    <col min="17" max="17" width="12.7109375" style="12" customWidth="1" collapsed="1"/>
    <col min="18" max="23" width="12.7109375" style="12" customWidth="1"/>
    <col min="24" max="24" width="11.5703125" style="12" bestFit="1" customWidth="1"/>
    <col min="25" max="26" width="12.42578125" style="45" customWidth="1" outlineLevel="1"/>
    <col min="27" max="30" width="12.42578125" style="12" customWidth="1" outlineLevel="1"/>
    <col min="31" max="31" width="12.7109375" style="12" customWidth="1" outlineLevel="1"/>
    <col min="32" max="33" width="12.42578125" style="12" customWidth="1" outlineLevel="1"/>
    <col min="34" max="34" width="12.7109375" style="12" customWidth="1" outlineLevel="1"/>
    <col min="35" max="45" width="7.28515625" style="12" customWidth="1"/>
    <col min="46" max="16384" width="18.7109375" style="12"/>
  </cols>
  <sheetData>
    <row r="1" spans="1:41" s="1" customFormat="1" ht="11.25" outlineLevel="1" x14ac:dyDescent="0.2">
      <c r="I1" s="94"/>
      <c r="Y1" s="35"/>
      <c r="Z1" s="35"/>
    </row>
    <row r="2" spans="1:41" s="2" customFormat="1" ht="11.25" outlineLevel="1" x14ac:dyDescent="0.2">
      <c r="A2" s="1"/>
      <c r="B2" s="1"/>
      <c r="C2" s="1"/>
      <c r="I2" s="95"/>
      <c r="V2" s="226"/>
      <c r="W2" s="226"/>
      <c r="Y2" s="592"/>
      <c r="Z2" s="592"/>
    </row>
    <row r="3" spans="1:41" s="97" customFormat="1" ht="11.25" x14ac:dyDescent="0.2">
      <c r="A3" s="94"/>
      <c r="B3" s="94"/>
      <c r="C3" s="94"/>
      <c r="D3" s="100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</row>
    <row r="4" spans="1:41" s="5" customFormat="1" ht="18" x14ac:dyDescent="0.25">
      <c r="A4" s="1" t="s">
        <v>251</v>
      </c>
      <c r="B4" s="1"/>
      <c r="C4" s="1"/>
      <c r="D4" s="3"/>
      <c r="E4" s="4" t="s">
        <v>225</v>
      </c>
      <c r="I4" s="97"/>
      <c r="Y4" s="233"/>
      <c r="Z4" s="233"/>
    </row>
    <row r="5" spans="1:41" s="5" customFormat="1" ht="11.25" x14ac:dyDescent="0.2">
      <c r="A5" s="1"/>
      <c r="B5" s="1"/>
      <c r="C5" s="1"/>
      <c r="D5" s="3"/>
      <c r="E5" s="6" t="s">
        <v>0</v>
      </c>
      <c r="I5" s="97"/>
      <c r="J5" s="197">
        <v>2006</v>
      </c>
      <c r="K5" s="197">
        <v>2007</v>
      </c>
      <c r="L5" s="197">
        <v>2008</v>
      </c>
      <c r="M5" s="197">
        <v>2009</v>
      </c>
      <c r="N5" s="197">
        <v>2010</v>
      </c>
      <c r="O5" s="197">
        <v>2011</v>
      </c>
      <c r="P5" s="197">
        <v>2012</v>
      </c>
      <c r="Q5" s="197">
        <v>2013</v>
      </c>
      <c r="R5" s="197">
        <v>2014</v>
      </c>
      <c r="S5" s="197">
        <v>2015</v>
      </c>
      <c r="T5" s="197">
        <v>2016</v>
      </c>
      <c r="U5" s="197">
        <v>2017</v>
      </c>
      <c r="V5" s="197">
        <v>2018</v>
      </c>
      <c r="W5" s="197">
        <v>2019</v>
      </c>
      <c r="X5" s="197">
        <v>2020</v>
      </c>
      <c r="Y5" s="233"/>
      <c r="Z5" s="233"/>
    </row>
    <row r="6" spans="1:41" s="5" customFormat="1" ht="3" customHeight="1" x14ac:dyDescent="0.2">
      <c r="A6" s="1"/>
      <c r="B6" s="1"/>
      <c r="C6" s="1"/>
      <c r="D6" s="3"/>
      <c r="E6" s="6"/>
      <c r="I6" s="97"/>
      <c r="Y6" s="233"/>
      <c r="Z6" s="233"/>
    </row>
    <row r="7" spans="1:41" s="5" customFormat="1" ht="11.25" x14ac:dyDescent="0.2">
      <c r="A7" s="1"/>
      <c r="B7" s="1"/>
      <c r="C7" s="1"/>
      <c r="D7" s="3"/>
      <c r="I7" s="96"/>
      <c r="J7" s="8"/>
      <c r="K7" s="8"/>
      <c r="L7" s="8"/>
      <c r="M7" s="8"/>
      <c r="N7" s="61"/>
      <c r="O7" s="9"/>
      <c r="P7" s="9"/>
      <c r="Q7" s="9"/>
      <c r="R7" s="416"/>
      <c r="S7" s="416"/>
      <c r="T7" s="387"/>
      <c r="U7" s="387"/>
      <c r="V7" s="387"/>
      <c r="W7" s="387"/>
      <c r="X7" s="9"/>
      <c r="Y7" s="233"/>
      <c r="Z7" s="233"/>
    </row>
    <row r="8" spans="1:41" s="5" customFormat="1" ht="11.25" x14ac:dyDescent="0.2">
      <c r="A8" s="1"/>
      <c r="B8" s="1"/>
      <c r="C8" s="1"/>
      <c r="D8" s="3"/>
      <c r="I8" s="96"/>
      <c r="J8" s="60">
        <f t="shared" ref="J8:O8" si="0">J9-CurrentFiscalYear</f>
        <v>-10</v>
      </c>
      <c r="K8" s="60">
        <f t="shared" si="0"/>
        <v>-9</v>
      </c>
      <c r="L8" s="60">
        <f t="shared" si="0"/>
        <v>-8</v>
      </c>
      <c r="M8" s="60">
        <f t="shared" si="0"/>
        <v>-7</v>
      </c>
      <c r="N8" s="60">
        <f t="shared" si="0"/>
        <v>-6</v>
      </c>
      <c r="O8" s="60">
        <f t="shared" si="0"/>
        <v>-5</v>
      </c>
      <c r="P8" s="60">
        <f t="shared" ref="P8:AH8" si="1">P9-CurrentFiscalYear</f>
        <v>-4</v>
      </c>
      <c r="Q8" s="60">
        <f t="shared" si="1"/>
        <v>-3</v>
      </c>
      <c r="R8" s="60">
        <f t="shared" si="1"/>
        <v>-2</v>
      </c>
      <c r="S8" s="60">
        <f t="shared" si="1"/>
        <v>-1</v>
      </c>
      <c r="T8" s="60">
        <f t="shared" si="1"/>
        <v>0</v>
      </c>
      <c r="U8" s="60">
        <f t="shared" si="1"/>
        <v>1</v>
      </c>
      <c r="V8" s="60">
        <f t="shared" si="1"/>
        <v>2</v>
      </c>
      <c r="W8" s="60">
        <f t="shared" si="1"/>
        <v>3</v>
      </c>
      <c r="X8" s="60">
        <f t="shared" si="1"/>
        <v>4</v>
      </c>
      <c r="Y8" s="60">
        <f t="shared" si="1"/>
        <v>5</v>
      </c>
      <c r="Z8" s="60">
        <f t="shared" si="1"/>
        <v>6</v>
      </c>
      <c r="AA8" s="60">
        <f t="shared" si="1"/>
        <v>7</v>
      </c>
      <c r="AB8" s="60">
        <f t="shared" si="1"/>
        <v>8</v>
      </c>
      <c r="AC8" s="60">
        <f t="shared" si="1"/>
        <v>9</v>
      </c>
      <c r="AD8" s="60">
        <f t="shared" si="1"/>
        <v>10</v>
      </c>
      <c r="AE8" s="60">
        <f t="shared" si="1"/>
        <v>11</v>
      </c>
      <c r="AF8" s="60">
        <f t="shared" si="1"/>
        <v>12</v>
      </c>
      <c r="AG8" s="60">
        <f t="shared" si="1"/>
        <v>13</v>
      </c>
      <c r="AH8" s="60">
        <f t="shared" si="1"/>
        <v>14</v>
      </c>
    </row>
    <row r="9" spans="1:41" s="5" customFormat="1" ht="11.25" x14ac:dyDescent="0.2">
      <c r="A9" s="1"/>
      <c r="B9" s="1"/>
      <c r="C9" s="1"/>
      <c r="D9" s="3"/>
      <c r="I9" s="96"/>
      <c r="J9" s="10">
        <v>2006</v>
      </c>
      <c r="K9" s="10">
        <f t="shared" ref="K9:S9" si="2">J9+1</f>
        <v>2007</v>
      </c>
      <c r="L9" s="10">
        <f t="shared" si="2"/>
        <v>2008</v>
      </c>
      <c r="M9" s="10">
        <f t="shared" si="2"/>
        <v>2009</v>
      </c>
      <c r="N9" s="10">
        <f t="shared" si="2"/>
        <v>2010</v>
      </c>
      <c r="O9" s="10">
        <f>N9+1</f>
        <v>2011</v>
      </c>
      <c r="P9" s="128">
        <f>O9+1</f>
        <v>2012</v>
      </c>
      <c r="Q9" s="10">
        <f t="shared" si="2"/>
        <v>2013</v>
      </c>
      <c r="R9" s="280">
        <f t="shared" si="2"/>
        <v>2014</v>
      </c>
      <c r="S9" s="139">
        <f t="shared" si="2"/>
        <v>2015</v>
      </c>
      <c r="T9" s="139">
        <f>S9+1</f>
        <v>2016</v>
      </c>
      <c r="U9" s="139">
        <f>T9+1</f>
        <v>2017</v>
      </c>
      <c r="V9" s="139">
        <f>U9+1</f>
        <v>2018</v>
      </c>
      <c r="W9" s="139">
        <f>V9+1</f>
        <v>2019</v>
      </c>
      <c r="X9" s="139">
        <f>W9+1</f>
        <v>2020</v>
      </c>
      <c r="Y9" s="139">
        <f t="shared" ref="Y9:AH9" si="3">X9+1</f>
        <v>2021</v>
      </c>
      <c r="Z9" s="139">
        <f t="shared" si="3"/>
        <v>2022</v>
      </c>
      <c r="AA9" s="139">
        <f t="shared" si="3"/>
        <v>2023</v>
      </c>
      <c r="AB9" s="139">
        <f t="shared" si="3"/>
        <v>2024</v>
      </c>
      <c r="AC9" s="139">
        <f t="shared" si="3"/>
        <v>2025</v>
      </c>
      <c r="AD9" s="139">
        <f t="shared" si="3"/>
        <v>2026</v>
      </c>
      <c r="AE9" s="139">
        <f t="shared" si="3"/>
        <v>2027</v>
      </c>
      <c r="AF9" s="139">
        <f t="shared" si="3"/>
        <v>2028</v>
      </c>
      <c r="AG9" s="139">
        <f t="shared" si="3"/>
        <v>2029</v>
      </c>
      <c r="AH9" s="139">
        <f t="shared" si="3"/>
        <v>2030</v>
      </c>
    </row>
    <row r="10" spans="1:41" s="5" customFormat="1" ht="3" customHeight="1" x14ac:dyDescent="0.2">
      <c r="A10" s="1"/>
      <c r="B10" s="1"/>
      <c r="C10" s="1"/>
      <c r="D10" s="3"/>
      <c r="I10" s="97"/>
      <c r="M10" s="12"/>
      <c r="Y10" s="233"/>
      <c r="Z10" s="233"/>
    </row>
    <row r="11" spans="1:41" s="5" customFormat="1" ht="11.25" x14ac:dyDescent="0.2">
      <c r="A11" s="1"/>
      <c r="B11" s="1"/>
      <c r="C11" s="1"/>
      <c r="D11" s="3"/>
      <c r="E11" s="13" t="s">
        <v>126</v>
      </c>
      <c r="I11" s="97"/>
      <c r="M11" s="12"/>
      <c r="Y11" s="233"/>
      <c r="Z11" s="233"/>
    </row>
    <row r="12" spans="1:41" s="5" customFormat="1" ht="3" customHeight="1" x14ac:dyDescent="0.2">
      <c r="A12" s="1"/>
      <c r="B12" s="1"/>
      <c r="C12" s="1"/>
      <c r="D12" s="3"/>
      <c r="I12" s="97"/>
      <c r="M12" s="12"/>
      <c r="P12" s="215"/>
      <c r="Q12" s="233"/>
      <c r="R12" s="233"/>
      <c r="S12" s="233"/>
      <c r="Y12" s="233"/>
      <c r="Z12" s="233"/>
    </row>
    <row r="13" spans="1:41" ht="11.25" outlineLevel="1" x14ac:dyDescent="0.2">
      <c r="E13" s="63" t="s">
        <v>24</v>
      </c>
      <c r="F13" s="64"/>
      <c r="G13" s="64"/>
      <c r="H13" s="59"/>
      <c r="I13" s="98"/>
      <c r="J13" s="39">
        <f t="shared" ref="J13:AH13" si="4">rev_Student_tuition_fees_net</f>
        <v>300000</v>
      </c>
      <c r="K13" s="38">
        <f t="shared" si="4"/>
        <v>320000</v>
      </c>
      <c r="L13" s="39">
        <f t="shared" si="4"/>
        <v>340000</v>
      </c>
      <c r="M13" s="39">
        <f t="shared" si="4"/>
        <v>360000</v>
      </c>
      <c r="N13" s="39">
        <f t="shared" si="4"/>
        <v>380000</v>
      </c>
      <c r="O13" s="39">
        <f t="shared" si="4"/>
        <v>400000</v>
      </c>
      <c r="P13" s="160">
        <f t="shared" si="4"/>
        <v>420000</v>
      </c>
      <c r="Q13" s="440">
        <f>rev_Student_tuition_fees_net</f>
        <v>440000</v>
      </c>
      <c r="R13" s="440">
        <f>rev_Student_tuition_fees_net</f>
        <v>460000</v>
      </c>
      <c r="S13" s="600">
        <f t="shared" si="4"/>
        <v>460000</v>
      </c>
      <c r="T13" s="160">
        <f t="shared" ca="1" si="4"/>
        <v>-168989.43780000161</v>
      </c>
      <c r="U13" s="160">
        <f t="shared" ca="1" si="4"/>
        <v>-168969.70516345365</v>
      </c>
      <c r="V13" s="160">
        <f t="shared" ca="1" si="4"/>
        <v>-168949.27107262224</v>
      </c>
      <c r="W13" s="160">
        <f t="shared" ca="1" si="4"/>
        <v>-168928.15629328266</v>
      </c>
      <c r="X13" s="160">
        <f t="shared" ca="1" si="4"/>
        <v>-168906.33832844891</v>
      </c>
      <c r="Y13" s="160">
        <f t="shared" ca="1" si="4"/>
        <v>-168887.33157291831</v>
      </c>
      <c r="Z13" s="160">
        <f t="shared" ca="1" si="4"/>
        <v>-168868.07235005967</v>
      </c>
      <c r="AA13" s="160">
        <f t="shared" ca="1" si="4"/>
        <v>-168842.9211355953</v>
      </c>
      <c r="AB13" s="160">
        <f t="shared" ca="1" si="4"/>
        <v>-168815.9459442909</v>
      </c>
      <c r="AC13" s="160">
        <f t="shared" ca="1" si="4"/>
        <v>-168786.89405977342</v>
      </c>
      <c r="AD13" s="160">
        <f t="shared" ca="1" si="4"/>
        <v>-168755.47391148011</v>
      </c>
      <c r="AE13" s="160">
        <f t="shared" ca="1" si="4"/>
        <v>-168721.34762016509</v>
      </c>
      <c r="AF13" s="160">
        <f t="shared" ca="1" si="4"/>
        <v>-168684.12209471193</v>
      </c>
      <c r="AG13" s="160">
        <f t="shared" ca="1" si="4"/>
        <v>-168643.33835853369</v>
      </c>
      <c r="AH13" s="160">
        <f t="shared" ca="1" si="4"/>
        <v>-168598.4587106999</v>
      </c>
      <c r="AI13" s="165">
        <f ca="1">T13/S13-1</f>
        <v>-1.3673683430434818</v>
      </c>
      <c r="AJ13" s="165">
        <f t="shared" ref="AJ13:AO13" ca="1" si="5">U13/T13-1</f>
        <v>-1.1676846082719905E-4</v>
      </c>
      <c r="AK13" s="165">
        <f t="shared" ca="1" si="5"/>
        <v>-1.2093345852526305E-4</v>
      </c>
      <c r="AL13" s="165">
        <f t="shared" ca="1" si="5"/>
        <v>-1.2497703722258446E-4</v>
      </c>
      <c r="AM13" s="165">
        <f t="shared" ca="1" si="5"/>
        <v>-1.2915528892576411E-4</v>
      </c>
      <c r="AN13" s="165">
        <f t="shared" ca="1" si="5"/>
        <v>-1.1252837352759837E-4</v>
      </c>
      <c r="AO13" s="165">
        <f t="shared" ca="1" si="5"/>
        <v>-1.1403592370884397E-4</v>
      </c>
    </row>
    <row r="14" spans="1:41" ht="11.25" outlineLevel="1" x14ac:dyDescent="0.2">
      <c r="E14" s="63" t="s">
        <v>25</v>
      </c>
      <c r="F14" s="64"/>
      <c r="G14" s="64"/>
      <c r="H14" s="64"/>
      <c r="I14" s="98"/>
      <c r="J14" s="119">
        <f t="shared" ref="J14:AH14" si="6">rev_State_General_Support</f>
        <v>80000</v>
      </c>
      <c r="K14" s="119">
        <f t="shared" si="6"/>
        <v>85000</v>
      </c>
      <c r="L14" s="119">
        <f t="shared" si="6"/>
        <v>90000</v>
      </c>
      <c r="M14" s="119">
        <f t="shared" si="6"/>
        <v>95000</v>
      </c>
      <c r="N14" s="119">
        <f t="shared" si="6"/>
        <v>100000</v>
      </c>
      <c r="O14" s="119">
        <f t="shared" si="6"/>
        <v>105000</v>
      </c>
      <c r="P14" s="161">
        <f t="shared" si="6"/>
        <v>110000</v>
      </c>
      <c r="Q14" s="161">
        <f>rev_State_General_Support</f>
        <v>115000</v>
      </c>
      <c r="R14" s="161">
        <f>rev_State_General_Support</f>
        <v>120000</v>
      </c>
      <c r="S14" s="119">
        <f t="shared" si="6"/>
        <v>120000</v>
      </c>
      <c r="T14" s="119">
        <f t="shared" si="6"/>
        <v>344600</v>
      </c>
      <c r="U14" s="119">
        <f t="shared" ca="1" si="6"/>
        <v>354938</v>
      </c>
      <c r="V14" s="119">
        <f t="shared" ca="1" si="6"/>
        <v>365586.14</v>
      </c>
      <c r="W14" s="119">
        <f t="shared" ca="1" si="6"/>
        <v>376553.7242</v>
      </c>
      <c r="X14" s="119">
        <f t="shared" ca="1" si="6"/>
        <v>387850.33592600003</v>
      </c>
      <c r="Y14" s="119">
        <f t="shared" ca="1" si="6"/>
        <v>399485.84600378003</v>
      </c>
      <c r="Z14" s="119">
        <f t="shared" ca="1" si="6"/>
        <v>411470.42138389341</v>
      </c>
      <c r="AA14" s="119">
        <f t="shared" ca="1" si="6"/>
        <v>423814.53402541025</v>
      </c>
      <c r="AB14" s="119">
        <f t="shared" ca="1" si="6"/>
        <v>436528.97004617256</v>
      </c>
      <c r="AC14" s="119">
        <f t="shared" ca="1" si="6"/>
        <v>449624.83914755774</v>
      </c>
      <c r="AD14" s="119">
        <f t="shared" ca="1" si="6"/>
        <v>463113.5843219845</v>
      </c>
      <c r="AE14" s="119">
        <f t="shared" ca="1" si="6"/>
        <v>477006.99185164407</v>
      </c>
      <c r="AF14" s="119">
        <f t="shared" ca="1" si="6"/>
        <v>491317.20160719339</v>
      </c>
      <c r="AG14" s="119">
        <f t="shared" ca="1" si="6"/>
        <v>506056.71765540919</v>
      </c>
      <c r="AH14" s="119">
        <f t="shared" ca="1" si="6"/>
        <v>521238.41918507149</v>
      </c>
      <c r="AI14" s="165">
        <f t="shared" ref="AI14:AI21" si="7">T14/S14-1</f>
        <v>1.8716666666666666</v>
      </c>
      <c r="AJ14" s="165">
        <f t="shared" ref="AJ14:AJ21" ca="1" si="8">U14/T14-1</f>
        <v>3.0000000000000027E-2</v>
      </c>
      <c r="AK14" s="165">
        <f t="shared" ref="AK14:AK21" ca="1" si="9">V14/U14-1</f>
        <v>3.0000000000000027E-2</v>
      </c>
      <c r="AL14" s="165">
        <f t="shared" ref="AL14:AL21" ca="1" si="10">W14/V14-1</f>
        <v>3.0000000000000027E-2</v>
      </c>
      <c r="AM14" s="165">
        <f t="shared" ref="AM14:AM21" ca="1" si="11">X14/W14-1</f>
        <v>3.0000000000000027E-2</v>
      </c>
      <c r="AN14" s="165">
        <f t="shared" ref="AN14:AN21" ca="1" si="12">Y14/X14-1</f>
        <v>3.0000000000000027E-2</v>
      </c>
      <c r="AO14" s="165">
        <f t="shared" ref="AO14:AO21" ca="1" si="13">Z14/Y14-1</f>
        <v>3.0000000000000027E-2</v>
      </c>
    </row>
    <row r="15" spans="1:41" ht="11.25" outlineLevel="1" x14ac:dyDescent="0.2">
      <c r="E15" s="30" t="s">
        <v>78</v>
      </c>
      <c r="I15" s="93" t="s">
        <v>98</v>
      </c>
      <c r="J15" s="53">
        <f t="shared" ref="J15:AH15" si="14">rev_Federal_Pell_Grants</f>
        <v>5000</v>
      </c>
      <c r="K15" s="53">
        <f t="shared" si="14"/>
        <v>5000</v>
      </c>
      <c r="L15" s="53">
        <f t="shared" si="14"/>
        <v>5000</v>
      </c>
      <c r="M15" s="66">
        <f t="shared" si="14"/>
        <v>5000</v>
      </c>
      <c r="N15" s="66">
        <f t="shared" si="14"/>
        <v>5000</v>
      </c>
      <c r="O15" s="66">
        <f t="shared" si="14"/>
        <v>5000</v>
      </c>
      <c r="P15" s="162">
        <f t="shared" si="14"/>
        <v>5000</v>
      </c>
      <c r="Q15" s="161">
        <f>rev_Federal_Pell_Grants</f>
        <v>5000</v>
      </c>
      <c r="R15" s="161">
        <f t="shared" si="14"/>
        <v>5000</v>
      </c>
      <c r="S15" s="119">
        <f t="shared" si="14"/>
        <v>5000</v>
      </c>
      <c r="T15" s="66">
        <f t="shared" ca="1" si="14"/>
        <v>5125</v>
      </c>
      <c r="U15" s="66">
        <f t="shared" ca="1" si="14"/>
        <v>5253.1249999999991</v>
      </c>
      <c r="V15" s="66">
        <f t="shared" ca="1" si="14"/>
        <v>5384.4531249999982</v>
      </c>
      <c r="W15" s="66">
        <f t="shared" ca="1" si="14"/>
        <v>5519.0644531249973</v>
      </c>
      <c r="X15" s="66">
        <f t="shared" ca="1" si="14"/>
        <v>5657.0410644531221</v>
      </c>
      <c r="Y15" s="66">
        <f t="shared" ca="1" si="14"/>
        <v>5798.46709106445</v>
      </c>
      <c r="Z15" s="66">
        <f t="shared" ca="1" si="14"/>
        <v>5943.4287683410603</v>
      </c>
      <c r="AA15" s="66">
        <f t="shared" ca="1" si="14"/>
        <v>6092.0144875495862</v>
      </c>
      <c r="AB15" s="66">
        <f t="shared" ca="1" si="14"/>
        <v>6244.3148497383254</v>
      </c>
      <c r="AC15" s="66">
        <f t="shared" ca="1" si="14"/>
        <v>6400.4227209817827</v>
      </c>
      <c r="AD15" s="66">
        <f t="shared" ca="1" si="14"/>
        <v>6560.433289006327</v>
      </c>
      <c r="AE15" s="66">
        <f t="shared" ca="1" si="14"/>
        <v>6724.4441212314841</v>
      </c>
      <c r="AF15" s="66">
        <f t="shared" ca="1" si="14"/>
        <v>6892.5552242622707</v>
      </c>
      <c r="AG15" s="66">
        <f t="shared" ca="1" si="14"/>
        <v>7064.869104868827</v>
      </c>
      <c r="AH15" s="66">
        <f t="shared" ca="1" si="14"/>
        <v>7241.4908324905473</v>
      </c>
      <c r="AI15" s="165">
        <f t="shared" ca="1" si="7"/>
        <v>2.4999999999999911E-2</v>
      </c>
      <c r="AJ15" s="165">
        <f t="shared" ca="1" si="8"/>
        <v>2.4999999999999911E-2</v>
      </c>
      <c r="AK15" s="165">
        <f t="shared" ca="1" si="9"/>
        <v>2.4999999999999911E-2</v>
      </c>
      <c r="AL15" s="165">
        <f t="shared" ca="1" si="10"/>
        <v>2.4999999999999911E-2</v>
      </c>
      <c r="AM15" s="165">
        <f t="shared" ca="1" si="11"/>
        <v>2.4999999999999911E-2</v>
      </c>
      <c r="AN15" s="165">
        <f t="shared" ca="1" si="12"/>
        <v>2.4999999999999911E-2</v>
      </c>
      <c r="AO15" s="165">
        <f t="shared" ca="1" si="13"/>
        <v>2.4999999999999911E-2</v>
      </c>
    </row>
    <row r="16" spans="1:41" ht="11.25" outlineLevel="1" x14ac:dyDescent="0.2">
      <c r="E16" s="30" t="s">
        <v>173</v>
      </c>
      <c r="H16" s="92"/>
      <c r="I16" s="93" t="s">
        <v>98</v>
      </c>
      <c r="J16" s="38">
        <f t="shared" ref="J16:N16" si="15">rev_grants_federal</f>
        <v>180000</v>
      </c>
      <c r="K16" s="38">
        <f t="shared" si="15"/>
        <v>185000</v>
      </c>
      <c r="L16" s="38">
        <f t="shared" si="15"/>
        <v>190000</v>
      </c>
      <c r="M16" s="38">
        <f t="shared" si="15"/>
        <v>195000</v>
      </c>
      <c r="N16" s="38">
        <f t="shared" si="15"/>
        <v>200000</v>
      </c>
      <c r="O16" s="38">
        <f t="shared" ref="O16:AH16" si="16">rev_grants_federal</f>
        <v>205000</v>
      </c>
      <c r="P16" s="162">
        <f t="shared" si="16"/>
        <v>210000</v>
      </c>
      <c r="Q16" s="161">
        <f t="shared" si="16"/>
        <v>215000</v>
      </c>
      <c r="R16" s="161">
        <f t="shared" si="16"/>
        <v>220000</v>
      </c>
      <c r="S16" s="119">
        <f t="shared" si="16"/>
        <v>220000</v>
      </c>
      <c r="T16" s="38">
        <f t="shared" ca="1" si="16"/>
        <v>225499.99999999997</v>
      </c>
      <c r="U16" s="38">
        <f t="shared" ca="1" si="16"/>
        <v>231137.49999999994</v>
      </c>
      <c r="V16" s="38">
        <f t="shared" ca="1" si="16"/>
        <v>236915.93749999991</v>
      </c>
      <c r="W16" s="38">
        <f t="shared" ca="1" si="16"/>
        <v>242838.83593749988</v>
      </c>
      <c r="X16" s="38">
        <f t="shared" ca="1" si="16"/>
        <v>248909.80683593737</v>
      </c>
      <c r="Y16" s="38">
        <f t="shared" ca="1" si="16"/>
        <v>255132.55200683579</v>
      </c>
      <c r="Z16" s="38">
        <f t="shared" ca="1" si="16"/>
        <v>261510.86580700666</v>
      </c>
      <c r="AA16" s="38">
        <f t="shared" ca="1" si="16"/>
        <v>268048.63745218178</v>
      </c>
      <c r="AB16" s="38">
        <f t="shared" ca="1" si="16"/>
        <v>274749.85338848631</v>
      </c>
      <c r="AC16" s="38">
        <f t="shared" ca="1" si="16"/>
        <v>281618.59972319845</v>
      </c>
      <c r="AD16" s="38">
        <f t="shared" ca="1" si="16"/>
        <v>288659.0647162784</v>
      </c>
      <c r="AE16" s="38">
        <f t="shared" ca="1" si="16"/>
        <v>295875.54133418534</v>
      </c>
      <c r="AF16" s="38">
        <f t="shared" ca="1" si="16"/>
        <v>303272.42986753996</v>
      </c>
      <c r="AG16" s="38">
        <f t="shared" ca="1" si="16"/>
        <v>310854.24061422842</v>
      </c>
      <c r="AH16" s="38">
        <f t="shared" ca="1" si="16"/>
        <v>318625.59662958409</v>
      </c>
      <c r="AI16" s="165">
        <f t="shared" ca="1" si="7"/>
        <v>2.4999999999999911E-2</v>
      </c>
      <c r="AJ16" s="165">
        <f t="shared" ca="1" si="8"/>
        <v>2.4999999999999911E-2</v>
      </c>
      <c r="AK16" s="165">
        <f t="shared" ca="1" si="9"/>
        <v>2.4999999999999911E-2</v>
      </c>
      <c r="AL16" s="165">
        <f t="shared" ca="1" si="10"/>
        <v>2.4999999999999911E-2</v>
      </c>
      <c r="AM16" s="165">
        <f t="shared" ca="1" si="11"/>
        <v>2.4999999999999911E-2</v>
      </c>
      <c r="AN16" s="165">
        <f t="shared" ca="1" si="12"/>
        <v>2.4999999999999911E-2</v>
      </c>
      <c r="AO16" s="165">
        <f t="shared" ca="1" si="13"/>
        <v>2.4999999999999911E-2</v>
      </c>
    </row>
    <row r="17" spans="5:41" ht="11.25" outlineLevel="1" x14ac:dyDescent="0.2">
      <c r="E17" s="30" t="s">
        <v>174</v>
      </c>
      <c r="H17" s="92"/>
      <c r="J17" s="38">
        <f t="shared" ref="J17:N17" si="17">rev_grants_local+rev_grants_private+rev_grants_State</f>
        <v>140000</v>
      </c>
      <c r="K17" s="38">
        <f t="shared" si="17"/>
        <v>155000</v>
      </c>
      <c r="L17" s="38">
        <f t="shared" si="17"/>
        <v>170000</v>
      </c>
      <c r="M17" s="38">
        <f t="shared" si="17"/>
        <v>185000</v>
      </c>
      <c r="N17" s="38">
        <f t="shared" si="17"/>
        <v>200000</v>
      </c>
      <c r="O17" s="38">
        <f t="shared" ref="O17:AH17" si="18">rev_grants_local+rev_grants_private+rev_grants_State</f>
        <v>215000</v>
      </c>
      <c r="P17" s="162">
        <f t="shared" si="18"/>
        <v>230000</v>
      </c>
      <c r="Q17" s="161">
        <f>rev_grants_local+rev_grants_private+rev_grants_State</f>
        <v>245000</v>
      </c>
      <c r="R17" s="161">
        <f t="shared" si="18"/>
        <v>260000</v>
      </c>
      <c r="S17" s="119">
        <f t="shared" si="18"/>
        <v>260000</v>
      </c>
      <c r="T17" s="38">
        <f t="shared" ca="1" si="18"/>
        <v>266500</v>
      </c>
      <c r="U17" s="38">
        <f t="shared" ca="1" si="18"/>
        <v>273162.49999999994</v>
      </c>
      <c r="V17" s="38">
        <f t="shared" ca="1" si="18"/>
        <v>279991.56249999988</v>
      </c>
      <c r="W17" s="38">
        <f t="shared" ca="1" si="18"/>
        <v>286991.35156249988</v>
      </c>
      <c r="X17" s="38">
        <f t="shared" ca="1" si="18"/>
        <v>294166.13535156235</v>
      </c>
      <c r="Y17" s="38">
        <f t="shared" ca="1" si="18"/>
        <v>301520.28873535141</v>
      </c>
      <c r="Z17" s="38">
        <f t="shared" ca="1" si="18"/>
        <v>309058.29595373519</v>
      </c>
      <c r="AA17" s="38">
        <f t="shared" ca="1" si="18"/>
        <v>316784.7533525785</v>
      </c>
      <c r="AB17" s="38">
        <f t="shared" ca="1" si="18"/>
        <v>324704.37218639295</v>
      </c>
      <c r="AC17" s="38">
        <f t="shared" ca="1" si="18"/>
        <v>332821.98149105278</v>
      </c>
      <c r="AD17" s="38">
        <f t="shared" ca="1" si="18"/>
        <v>341142.53102832905</v>
      </c>
      <c r="AE17" s="38">
        <f t="shared" ca="1" si="18"/>
        <v>349671.09430403722</v>
      </c>
      <c r="AF17" s="38">
        <f t="shared" ca="1" si="18"/>
        <v>358412.87166163808</v>
      </c>
      <c r="AG17" s="38">
        <f t="shared" ca="1" si="18"/>
        <v>367373.19345317897</v>
      </c>
      <c r="AH17" s="38">
        <f t="shared" ca="1" si="18"/>
        <v>376557.52328950848</v>
      </c>
      <c r="AI17" s="165">
        <f t="shared" ca="1" si="7"/>
        <v>2.4999999999999911E-2</v>
      </c>
      <c r="AJ17" s="165">
        <f t="shared" ca="1" si="8"/>
        <v>2.4999999999999689E-2</v>
      </c>
      <c r="AK17" s="165">
        <f t="shared" ca="1" si="9"/>
        <v>2.4999999999999689E-2</v>
      </c>
      <c r="AL17" s="165">
        <f t="shared" ca="1" si="10"/>
        <v>2.4999999999999911E-2</v>
      </c>
      <c r="AM17" s="165">
        <f t="shared" ca="1" si="11"/>
        <v>2.4999999999999911E-2</v>
      </c>
      <c r="AN17" s="165">
        <f t="shared" ca="1" si="12"/>
        <v>2.4999999999999911E-2</v>
      </c>
      <c r="AO17" s="165">
        <f t="shared" ca="1" si="13"/>
        <v>2.4999999999999911E-2</v>
      </c>
    </row>
    <row r="18" spans="5:41" ht="11.25" outlineLevel="1" x14ac:dyDescent="0.2">
      <c r="E18" s="30" t="s">
        <v>211</v>
      </c>
      <c r="H18" s="92"/>
      <c r="I18" s="93" t="s">
        <v>98</v>
      </c>
      <c r="J18" s="18">
        <f t="shared" ref="J18:AH18" si="19">rev_Educational_Activities+rev_Auxiliary_Enterprises</f>
        <v>110000</v>
      </c>
      <c r="K18" s="18">
        <f t="shared" si="19"/>
        <v>120000</v>
      </c>
      <c r="L18" s="41">
        <f t="shared" si="19"/>
        <v>130000</v>
      </c>
      <c r="M18" s="38">
        <f t="shared" si="19"/>
        <v>140000</v>
      </c>
      <c r="N18" s="22">
        <f t="shared" si="19"/>
        <v>150000</v>
      </c>
      <c r="O18" s="38">
        <f t="shared" si="19"/>
        <v>160000</v>
      </c>
      <c r="P18" s="162">
        <f t="shared" si="19"/>
        <v>170000</v>
      </c>
      <c r="Q18" s="161">
        <f t="shared" si="19"/>
        <v>180000</v>
      </c>
      <c r="R18" s="161">
        <f t="shared" si="19"/>
        <v>190000</v>
      </c>
      <c r="S18" s="119">
        <f t="shared" si="19"/>
        <v>190000</v>
      </c>
      <c r="T18" s="38">
        <f t="shared" ca="1" si="19"/>
        <v>197450</v>
      </c>
      <c r="U18" s="38">
        <f t="shared" ca="1" si="19"/>
        <v>205234.74999999997</v>
      </c>
      <c r="V18" s="38">
        <f t="shared" ca="1" si="19"/>
        <v>213370.78624999995</v>
      </c>
      <c r="W18" s="38">
        <f t="shared" ca="1" si="19"/>
        <v>221875.50761874992</v>
      </c>
      <c r="X18" s="38">
        <f t="shared" ca="1" si="19"/>
        <v>230767.22186590615</v>
      </c>
      <c r="Y18" s="38">
        <f t="shared" ca="1" si="19"/>
        <v>240065.19442985911</v>
      </c>
      <c r="Z18" s="38">
        <f t="shared" ca="1" si="19"/>
        <v>249789.69986886266</v>
      </c>
      <c r="AA18" s="38">
        <f t="shared" ca="1" si="19"/>
        <v>259962.07610064547</v>
      </c>
      <c r="AB18" s="38">
        <f t="shared" ca="1" si="19"/>
        <v>270604.78159365116</v>
      </c>
      <c r="AC18" s="38">
        <f t="shared" ca="1" si="19"/>
        <v>281741.45567145897</v>
      </c>
      <c r="AD18" s="38">
        <f t="shared" ca="1" si="19"/>
        <v>293396.98210080015</v>
      </c>
      <c r="AE18" s="38">
        <f t="shared" ca="1" si="19"/>
        <v>305597.5561429403</v>
      </c>
      <c r="AF18" s="38">
        <f t="shared" ca="1" si="19"/>
        <v>318370.75525806309</v>
      </c>
      <c r="AG18" s="38">
        <f t="shared" ca="1" si="19"/>
        <v>331745.61366269918</v>
      </c>
      <c r="AH18" s="38">
        <f t="shared" ca="1" si="19"/>
        <v>345752.70095122629</v>
      </c>
      <c r="AI18" s="165">
        <f t="shared" ca="1" si="7"/>
        <v>3.9210526315789584E-2</v>
      </c>
      <c r="AJ18" s="165">
        <f t="shared" ca="1" si="8"/>
        <v>3.9426437072676457E-2</v>
      </c>
      <c r="AK18" s="165">
        <f t="shared" ca="1" si="9"/>
        <v>3.9642586111757305E-2</v>
      </c>
      <c r="AL18" s="165">
        <f t="shared" ca="1" si="10"/>
        <v>3.9858883768583375E-2</v>
      </c>
      <c r="AM18" s="165">
        <f t="shared" ca="1" si="11"/>
        <v>4.0075240131663969E-2</v>
      </c>
      <c r="AN18" s="165">
        <f t="shared" ca="1" si="12"/>
        <v>4.0291565191852952E-2</v>
      </c>
      <c r="AO18" s="165">
        <f t="shared" ca="1" si="13"/>
        <v>4.0507768992080306E-2</v>
      </c>
    </row>
    <row r="19" spans="5:41" ht="11.25" outlineLevel="1" x14ac:dyDescent="0.2">
      <c r="E19" s="30" t="s">
        <v>27</v>
      </c>
      <c r="J19" s="66">
        <f t="shared" ref="J19:AH19" si="20">rev_Private_Gifts</f>
        <v>60000</v>
      </c>
      <c r="K19" s="66">
        <f t="shared" si="20"/>
        <v>65000</v>
      </c>
      <c r="L19" s="66">
        <f t="shared" si="20"/>
        <v>70000</v>
      </c>
      <c r="M19" s="66">
        <f t="shared" si="20"/>
        <v>75000</v>
      </c>
      <c r="N19" s="66">
        <f t="shared" si="20"/>
        <v>80000</v>
      </c>
      <c r="O19" s="66">
        <f t="shared" si="20"/>
        <v>85000</v>
      </c>
      <c r="P19" s="162">
        <f t="shared" si="20"/>
        <v>90000</v>
      </c>
      <c r="Q19" s="161">
        <f t="shared" si="20"/>
        <v>95000</v>
      </c>
      <c r="R19" s="161">
        <f t="shared" si="20"/>
        <v>100000</v>
      </c>
      <c r="S19" s="119">
        <f t="shared" si="20"/>
        <v>100000</v>
      </c>
      <c r="T19" s="66">
        <f t="shared" ca="1" si="20"/>
        <v>103499.99999999999</v>
      </c>
      <c r="U19" s="66">
        <f t="shared" ca="1" si="20"/>
        <v>107122.49999999997</v>
      </c>
      <c r="V19" s="66">
        <f t="shared" ca="1" si="20"/>
        <v>110871.78749999996</v>
      </c>
      <c r="W19" s="66">
        <f t="shared" ca="1" si="20"/>
        <v>114752.30006249995</v>
      </c>
      <c r="X19" s="66">
        <f t="shared" ca="1" si="20"/>
        <v>118768.63056468744</v>
      </c>
      <c r="Y19" s="66">
        <f t="shared" ca="1" si="20"/>
        <v>122925.53263445149</v>
      </c>
      <c r="Z19" s="66">
        <f t="shared" ca="1" si="20"/>
        <v>127227.92627665728</v>
      </c>
      <c r="AA19" s="66">
        <f t="shared" ca="1" si="20"/>
        <v>131680.90369634028</v>
      </c>
      <c r="AB19" s="66">
        <f t="shared" ca="1" si="20"/>
        <v>136289.73532571219</v>
      </c>
      <c r="AC19" s="66">
        <f t="shared" ca="1" si="20"/>
        <v>141059.8760621121</v>
      </c>
      <c r="AD19" s="66">
        <f t="shared" ca="1" si="20"/>
        <v>145996.97172428601</v>
      </c>
      <c r="AE19" s="66">
        <f t="shared" ca="1" si="20"/>
        <v>151106.865734636</v>
      </c>
      <c r="AF19" s="66">
        <f t="shared" ca="1" si="20"/>
        <v>156395.60603534823</v>
      </c>
      <c r="AG19" s="66">
        <f t="shared" ca="1" si="20"/>
        <v>161869.4522465854</v>
      </c>
      <c r="AH19" s="66">
        <f t="shared" ca="1" si="20"/>
        <v>167534.88307521588</v>
      </c>
      <c r="AI19" s="165">
        <f t="shared" ca="1" si="7"/>
        <v>3.499999999999992E-2</v>
      </c>
      <c r="AJ19" s="165">
        <f t="shared" ca="1" si="8"/>
        <v>3.499999999999992E-2</v>
      </c>
      <c r="AK19" s="165">
        <f t="shared" ca="1" si="9"/>
        <v>3.499999999999992E-2</v>
      </c>
      <c r="AL19" s="165">
        <f t="shared" ca="1" si="10"/>
        <v>3.499999999999992E-2</v>
      </c>
      <c r="AM19" s="165">
        <f t="shared" ca="1" si="11"/>
        <v>3.499999999999992E-2</v>
      </c>
      <c r="AN19" s="165">
        <f t="shared" ca="1" si="12"/>
        <v>3.499999999999992E-2</v>
      </c>
      <c r="AO19" s="165">
        <f t="shared" ca="1" si="13"/>
        <v>3.499999999999992E-2</v>
      </c>
    </row>
    <row r="20" spans="5:41" ht="11.25" outlineLevel="1" x14ac:dyDescent="0.2">
      <c r="E20" s="30" t="s">
        <v>128</v>
      </c>
      <c r="J20" s="53">
        <f t="shared" ref="J20:Q20" si="21">rev_Endowment_net+rev_STIP+rev_TRIP</f>
        <v>75000</v>
      </c>
      <c r="K20" s="53">
        <f t="shared" si="21"/>
        <v>75000</v>
      </c>
      <c r="L20" s="53">
        <f t="shared" si="21"/>
        <v>75000</v>
      </c>
      <c r="M20" s="66">
        <f t="shared" si="21"/>
        <v>75000</v>
      </c>
      <c r="N20" s="66">
        <f t="shared" si="21"/>
        <v>75000</v>
      </c>
      <c r="O20" s="66">
        <f t="shared" si="21"/>
        <v>75000</v>
      </c>
      <c r="P20" s="162">
        <f t="shared" si="21"/>
        <v>75000</v>
      </c>
      <c r="Q20" s="161">
        <f t="shared" si="21"/>
        <v>75000</v>
      </c>
      <c r="R20" s="161">
        <f>rev_Endowment_net+rev_STIP+rev_TRIP+'1. SRECNA'!R80</f>
        <v>76000</v>
      </c>
      <c r="S20" s="119">
        <f>rev_Endowment_net+rev_STIP+rev_TRIP+'1. SRECNA'!S80</f>
        <v>75000</v>
      </c>
      <c r="T20" s="161">
        <f ca="1">rev_Endowment_net+rev_STIP+rev_TRIP+'1. SRECNA'!T80</f>
        <v>29300</v>
      </c>
      <c r="U20" s="161">
        <f ca="1">rev_Endowment_net+rev_STIP+rev_TRIP+'1. SRECNA'!U80</f>
        <v>31199.4</v>
      </c>
      <c r="V20" s="161">
        <f ca="1">rev_Endowment_net+rev_STIP+rev_TRIP+'1. SRECNA'!V80</f>
        <v>32687.397799999999</v>
      </c>
      <c r="W20" s="161">
        <f ca="1">rev_Endowment_net+rev_STIP+rev_TRIP+'1. SRECNA'!W80</f>
        <v>33756.579470600002</v>
      </c>
      <c r="X20" s="161">
        <f ca="1">rev_Endowment_net+rev_STIP+rev_TRIP+'1. SRECNA'!X80</f>
        <v>34403.0191992162</v>
      </c>
      <c r="Y20" s="161">
        <f ca="1">rev_Endowment_net+rev_STIP+rev_TRIP+'1. SRECNA'!Y80</f>
        <v>34626.35250271071</v>
      </c>
      <c r="Z20" s="161">
        <f ca="1">rev_Endowment_net+rev_STIP+rev_TRIP+'1. SRECNA'!Z80</f>
        <v>34848.42196457184</v>
      </c>
      <c r="AA20" s="161">
        <f ca="1">rev_Endowment_net+rev_STIP+rev_TRIP+'1. SRECNA'!AA80</f>
        <v>35084.148266573706</v>
      </c>
      <c r="AB20" s="161">
        <f ca="1">rev_Endowment_net+rev_STIP+rev_TRIP+'1. SRECNA'!AB80</f>
        <v>35345.257318009826</v>
      </c>
      <c r="AC20" s="161">
        <f ca="1">rev_Endowment_net+rev_STIP+rev_TRIP+'1. SRECNA'!AC80</f>
        <v>35640.097403574619</v>
      </c>
      <c r="AD20" s="161">
        <f ca="1">rev_Endowment_net+rev_STIP+rev_TRIP+'1. SRECNA'!AD80</f>
        <v>35973.509514953737</v>
      </c>
      <c r="AE20" s="161">
        <f ca="1">rev_Endowment_net+rev_STIP+rev_TRIP+'1. SRECNA'!AE80</f>
        <v>36346.753024426289</v>
      </c>
      <c r="AF20" s="161">
        <f ca="1">rev_Endowment_net+rev_STIP+rev_TRIP+'1. SRECNA'!AF80</f>
        <v>36760.83701796121</v>
      </c>
      <c r="AG20" s="161">
        <f ca="1">rev_Endowment_net+rev_STIP+rev_TRIP+'1. SRECNA'!AG80</f>
        <v>37216.631665685127</v>
      </c>
      <c r="AH20" s="161">
        <f ca="1">rev_Endowment_net+rev_STIP+rev_TRIP+'1. SRECNA'!AH80</f>
        <v>37714.956360006123</v>
      </c>
      <c r="AI20" s="165">
        <f t="shared" ca="1" si="7"/>
        <v>-0.60933333333333328</v>
      </c>
      <c r="AJ20" s="165">
        <f t="shared" ca="1" si="8"/>
        <v>6.4825938566553054E-2</v>
      </c>
      <c r="AK20" s="165">
        <f t="shared" ca="1" si="9"/>
        <v>4.7693154355532341E-2</v>
      </c>
      <c r="AL20" s="165">
        <f t="shared" ca="1" si="10"/>
        <v>3.2709292955709124E-2</v>
      </c>
      <c r="AM20" s="165">
        <f t="shared" ca="1" si="11"/>
        <v>1.9150036489307576E-2</v>
      </c>
      <c r="AN20" s="165">
        <f t="shared" ca="1" si="12"/>
        <v>6.4916774368337649E-3</v>
      </c>
      <c r="AO20" s="165">
        <f t="shared" ca="1" si="13"/>
        <v>6.4133079521946357E-3</v>
      </c>
    </row>
    <row r="21" spans="5:41" ht="11.25" outlineLevel="1" x14ac:dyDescent="0.2">
      <c r="E21" s="30" t="s">
        <v>127</v>
      </c>
      <c r="H21" s="55"/>
      <c r="J21" s="38">
        <f>SUM('1. SRECNA'!J38,'1. SRECNA'!J72:J73)</f>
        <v>75000</v>
      </c>
      <c r="K21" s="38">
        <f>SUM('1. SRECNA'!K38,'1. SRECNA'!K72:K73)</f>
        <v>80000</v>
      </c>
      <c r="L21" s="38">
        <f>SUM('1. SRECNA'!L38,'1. SRECNA'!L72:L73)</f>
        <v>85000</v>
      </c>
      <c r="M21" s="38">
        <f>SUM('1. SRECNA'!M38,'1. SRECNA'!M72:M73)</f>
        <v>90000</v>
      </c>
      <c r="N21" s="38">
        <f>SUM('1. SRECNA'!N38,'1. SRECNA'!N72:N73)</f>
        <v>95000</v>
      </c>
      <c r="O21" s="38">
        <f>SUM('1. SRECNA'!O38,'1. SRECNA'!O72:O73)</f>
        <v>100000</v>
      </c>
      <c r="P21" s="162">
        <f>SUM('1. SRECNA'!P38,'1. SRECNA'!P72:P73)</f>
        <v>105000</v>
      </c>
      <c r="Q21" s="161">
        <f>SUM('1. SRECNA'!Q38,'1. SRECNA'!Q72:Q73)+'1. SRECNA'!Q83</f>
        <v>111000</v>
      </c>
      <c r="R21" s="161">
        <f>SUM('1. SRECNA'!R38,'1. SRECNA'!R72:R73)+'1. SRECNA'!R83</f>
        <v>116000</v>
      </c>
      <c r="S21" s="119">
        <f>SUM('1. SRECNA'!S38,'1. SRECNA'!S72:S73)+'1. SRECNA'!S83</f>
        <v>116000</v>
      </c>
      <c r="T21" s="161">
        <f ca="1">SUM('1. SRECNA'!T38,'1. SRECNA'!T72:T73)+'1. SRECNA'!T83</f>
        <v>111540</v>
      </c>
      <c r="U21" s="161">
        <f ca="1">SUM('1. SRECNA'!U38,'1. SRECNA'!U72:U73)+'1. SRECNA'!U83</f>
        <v>117384.1</v>
      </c>
      <c r="V21" s="161">
        <f ca="1">SUM('1. SRECNA'!V38,'1. SRECNA'!V72:V73)+'1. SRECNA'!V83</f>
        <v>123549.0015</v>
      </c>
      <c r="W21" s="161">
        <f ca="1">SUM('1. SRECNA'!W38,'1. SRECNA'!W72:W73)+'1. SRECNA'!W83</f>
        <v>130052.32362249999</v>
      </c>
      <c r="X21" s="161">
        <f ca="1">SUM('1. SRECNA'!X38,'1. SRECNA'!X72:X73)+'1. SRECNA'!X83</f>
        <v>136912.65354333748</v>
      </c>
      <c r="Y21" s="161">
        <f ca="1">SUM('1. SRECNA'!Y38,'1. SRECNA'!Y72:Y73)+'1. SRECNA'!Y83</f>
        <v>142885.28067618905</v>
      </c>
      <c r="Z21" s="161">
        <f ca="1">SUM('1. SRECNA'!Z38,'1. SRECNA'!Z72:Z73)+'1. SRECNA'!Z83</f>
        <v>150469.91611337944</v>
      </c>
      <c r="AA21" s="161">
        <f ca="1">SUM('1. SRECNA'!AA38,'1. SRECNA'!AA72:AA73)+'1. SRECNA'!AA83</f>
        <v>158471.65149961531</v>
      </c>
      <c r="AB21" s="161">
        <f ca="1">SUM('1. SRECNA'!AB38,'1. SRECNA'!AB72:AB73)+'1. SRECNA'!AB83</f>
        <v>166913.42733209414</v>
      </c>
      <c r="AC21" s="161">
        <f ca="1">SUM('1. SRECNA'!AC38,'1. SRECNA'!AC72:AC73)+'1. SRECNA'!AC83</f>
        <v>175819.44583535931</v>
      </c>
      <c r="AD21" s="161">
        <f ca="1">SUM('1. SRECNA'!AD38,'1. SRECNA'!AD72:AD73)+'1. SRECNA'!AD83</f>
        <v>185215.24035630407</v>
      </c>
      <c r="AE21" s="161">
        <f ca="1">SUM('1. SRECNA'!AE38,'1. SRECNA'!AE72:AE73)+'1. SRECNA'!AE83</f>
        <v>195127.7485759008</v>
      </c>
      <c r="AF21" s="161">
        <f ca="1">SUM('1. SRECNA'!AF38,'1. SRECNA'!AF72:AF73)+'1. SRECNA'!AF83</f>
        <v>205585.38974757533</v>
      </c>
      <c r="AG21" s="161">
        <f ca="1">SUM('1. SRECNA'!AG38,'1. SRECNA'!AG72:AG73)+'1. SRECNA'!AG83</f>
        <v>216618.14618369198</v>
      </c>
      <c r="AH21" s="161">
        <f ca="1">SUM('1. SRECNA'!AH38,'1. SRECNA'!AH72:AH73)+'1. SRECNA'!AH83</f>
        <v>228257.64922379502</v>
      </c>
      <c r="AI21" s="165">
        <f t="shared" ca="1" si="7"/>
        <v>-3.8448275862069003E-2</v>
      </c>
      <c r="AJ21" s="165">
        <f t="shared" ca="1" si="8"/>
        <v>5.2394656625425862E-2</v>
      </c>
      <c r="AK21" s="165">
        <f t="shared" ca="1" si="9"/>
        <v>5.2519050706185899E-2</v>
      </c>
      <c r="AL21" s="165">
        <f t="shared" ca="1" si="10"/>
        <v>5.2637593534092586E-2</v>
      </c>
      <c r="AM21" s="165">
        <f t="shared" ca="1" si="11"/>
        <v>5.2750537089601091E-2</v>
      </c>
      <c r="AN21" s="165">
        <f t="shared" ca="1" si="12"/>
        <v>4.3623631404974716E-2</v>
      </c>
      <c r="AO21" s="165">
        <f t="shared" ca="1" si="13"/>
        <v>5.308199277978054E-2</v>
      </c>
    </row>
    <row r="22" spans="5:41" ht="3" customHeight="1" outlineLevel="1" x14ac:dyDescent="0.2">
      <c r="P22" s="64"/>
      <c r="Q22" s="441"/>
      <c r="R22" s="441"/>
      <c r="S22" s="441"/>
      <c r="Y22" s="12"/>
      <c r="Z22" s="12"/>
    </row>
    <row r="23" spans="5:41" ht="11.25" x14ac:dyDescent="0.2">
      <c r="E23" s="108" t="s">
        <v>129</v>
      </c>
      <c r="F23" s="109"/>
      <c r="G23" s="109"/>
      <c r="H23" s="109"/>
      <c r="I23" s="110"/>
      <c r="J23" s="111">
        <f t="shared" ref="J23:U23" si="22">SUM(J13:J21)</f>
        <v>1025000</v>
      </c>
      <c r="K23" s="111">
        <f t="shared" si="22"/>
        <v>1090000</v>
      </c>
      <c r="L23" s="111">
        <f t="shared" si="22"/>
        <v>1155000</v>
      </c>
      <c r="M23" s="111">
        <f t="shared" si="22"/>
        <v>1220000</v>
      </c>
      <c r="N23" s="111">
        <f t="shared" si="22"/>
        <v>1285000</v>
      </c>
      <c r="O23" s="111">
        <f t="shared" si="22"/>
        <v>1350000</v>
      </c>
      <c r="P23" s="111">
        <f>SUM(P13:P21)</f>
        <v>1415000</v>
      </c>
      <c r="Q23" s="442">
        <f t="shared" si="22"/>
        <v>1481000</v>
      </c>
      <c r="R23" s="442">
        <f t="shared" si="22"/>
        <v>1547000</v>
      </c>
      <c r="S23" s="442">
        <f t="shared" si="22"/>
        <v>1546000</v>
      </c>
      <c r="T23" s="111">
        <f t="shared" ca="1" si="22"/>
        <v>1114525.5621999984</v>
      </c>
      <c r="U23" s="111">
        <f t="shared" ca="1" si="22"/>
        <v>1156462.1698365463</v>
      </c>
      <c r="V23" s="111">
        <f ca="1">SUM(V13:V21)</f>
        <v>1199407.7951023774</v>
      </c>
      <c r="W23" s="111">
        <f ca="1">SUM(W13:W21)</f>
        <v>1243411.5306341921</v>
      </c>
      <c r="X23" s="111">
        <f ca="1">SUM(X13:X21)</f>
        <v>1288528.5060226514</v>
      </c>
      <c r="Y23" s="111">
        <f t="shared" ref="Y23:AH23" ca="1" si="23">SUM(Y13:Y21)</f>
        <v>1333552.1825073238</v>
      </c>
      <c r="Z23" s="111">
        <f t="shared" ca="1" si="23"/>
        <v>1381450.9037863878</v>
      </c>
      <c r="AA23" s="111">
        <f t="shared" ca="1" si="23"/>
        <v>1431095.7977452995</v>
      </c>
      <c r="AB23" s="111">
        <f t="shared" ca="1" si="23"/>
        <v>1482564.7660959666</v>
      </c>
      <c r="AC23" s="111">
        <f t="shared" ca="1" si="23"/>
        <v>1535939.8239955222</v>
      </c>
      <c r="AD23" s="111">
        <f t="shared" ca="1" si="23"/>
        <v>1591302.8431404622</v>
      </c>
      <c r="AE23" s="111">
        <f t="shared" ca="1" si="23"/>
        <v>1648735.6474688365</v>
      </c>
      <c r="AF23" s="111">
        <f t="shared" ca="1" si="23"/>
        <v>1708323.52432487</v>
      </c>
      <c r="AG23" s="111">
        <f t="shared" ca="1" si="23"/>
        <v>1770155.5262278134</v>
      </c>
      <c r="AH23" s="111">
        <f t="shared" ca="1" si="23"/>
        <v>1834324.7608361978</v>
      </c>
    </row>
    <row r="24" spans="5:41" ht="11.25" x14ac:dyDescent="0.2">
      <c r="O24" s="22"/>
      <c r="P24" s="165"/>
      <c r="Q24" s="165"/>
      <c r="R24" s="165"/>
      <c r="S24" s="443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</row>
    <row r="25" spans="5:41" ht="11.25" x14ac:dyDescent="0.2">
      <c r="E25" s="13" t="s">
        <v>130</v>
      </c>
      <c r="P25" s="64"/>
      <c r="Q25" s="441"/>
      <c r="R25" s="441"/>
      <c r="S25" s="441"/>
      <c r="Y25" s="12"/>
      <c r="Z25" s="12"/>
    </row>
    <row r="26" spans="5:41" ht="3" customHeight="1" x14ac:dyDescent="0.2">
      <c r="P26" s="64"/>
      <c r="Q26" s="441"/>
      <c r="R26" s="441"/>
      <c r="S26" s="441"/>
      <c r="Y26" s="12"/>
      <c r="Z26" s="12"/>
    </row>
    <row r="27" spans="5:41" ht="11.25" outlineLevel="1" x14ac:dyDescent="0.2">
      <c r="E27" s="30" t="s">
        <v>20</v>
      </c>
      <c r="H27" s="92"/>
      <c r="I27" s="93" t="s">
        <v>98</v>
      </c>
      <c r="J27" s="160">
        <f t="shared" ref="J27:P27" si="24">exp_Salaries</f>
        <v>280000</v>
      </c>
      <c r="K27" s="160">
        <f t="shared" si="24"/>
        <v>285000</v>
      </c>
      <c r="L27" s="160">
        <f t="shared" si="24"/>
        <v>290000</v>
      </c>
      <c r="M27" s="160">
        <f t="shared" si="24"/>
        <v>295000</v>
      </c>
      <c r="N27" s="160">
        <f t="shared" si="24"/>
        <v>300000</v>
      </c>
      <c r="O27" s="25">
        <f t="shared" si="24"/>
        <v>305000</v>
      </c>
      <c r="P27" s="39">
        <f t="shared" si="24"/>
        <v>310000</v>
      </c>
      <c r="Q27" s="440">
        <f t="shared" ref="Q27:AH27" si="25">exp_Salaries</f>
        <v>315000</v>
      </c>
      <c r="R27" s="440">
        <f t="shared" si="25"/>
        <v>320000</v>
      </c>
      <c r="S27" s="600">
        <f t="shared" si="25"/>
        <v>320000</v>
      </c>
      <c r="T27" s="25">
        <f t="shared" ca="1" si="25"/>
        <v>329600</v>
      </c>
      <c r="U27" s="25">
        <f t="shared" ca="1" si="25"/>
        <v>339488</v>
      </c>
      <c r="V27" s="25">
        <f t="shared" ca="1" si="25"/>
        <v>349672.64</v>
      </c>
      <c r="W27" s="25">
        <f t="shared" ca="1" si="25"/>
        <v>360162.81920000003</v>
      </c>
      <c r="X27" s="25">
        <f t="shared" ca="1" si="25"/>
        <v>370967.70377600001</v>
      </c>
      <c r="Y27" s="25">
        <f t="shared" ca="1" si="25"/>
        <v>382096.73488927999</v>
      </c>
      <c r="Z27" s="25">
        <f t="shared" ca="1" si="25"/>
        <v>393559.63693595841</v>
      </c>
      <c r="AA27" s="25">
        <f t="shared" ca="1" si="25"/>
        <v>405366.42604403716</v>
      </c>
      <c r="AB27" s="25">
        <f t="shared" ca="1" si="25"/>
        <v>417527.41882535827</v>
      </c>
      <c r="AC27" s="25">
        <f t="shared" ca="1" si="25"/>
        <v>430053.24139011902</v>
      </c>
      <c r="AD27" s="25">
        <f t="shared" ca="1" si="25"/>
        <v>442954.83863182261</v>
      </c>
      <c r="AE27" s="25">
        <f t="shared" ca="1" si="25"/>
        <v>456243.48379077727</v>
      </c>
      <c r="AF27" s="25">
        <f t="shared" ca="1" si="25"/>
        <v>469930.78830450063</v>
      </c>
      <c r="AG27" s="25">
        <f t="shared" ca="1" si="25"/>
        <v>484028.71195363568</v>
      </c>
      <c r="AH27" s="25">
        <f t="shared" ca="1" si="25"/>
        <v>498549.57331224479</v>
      </c>
      <c r="AI27" s="165">
        <f ca="1">T27/S27-1</f>
        <v>3.0000000000000027E-2</v>
      </c>
      <c r="AJ27" s="165">
        <f t="shared" ref="AJ27:AO27" ca="1" si="26">U27/T27-1</f>
        <v>3.0000000000000027E-2</v>
      </c>
      <c r="AK27" s="165">
        <f t="shared" ca="1" si="26"/>
        <v>3.0000000000000027E-2</v>
      </c>
      <c r="AL27" s="165">
        <f t="shared" ca="1" si="26"/>
        <v>3.0000000000000027E-2</v>
      </c>
      <c r="AM27" s="165">
        <f t="shared" ca="1" si="26"/>
        <v>3.0000000000000027E-2</v>
      </c>
      <c r="AN27" s="165">
        <f t="shared" ca="1" si="26"/>
        <v>3.0000000000000027E-2</v>
      </c>
      <c r="AO27" s="165">
        <f t="shared" ca="1" si="26"/>
        <v>3.0000000000000027E-2</v>
      </c>
    </row>
    <row r="28" spans="5:41" ht="11.25" outlineLevel="1" x14ac:dyDescent="0.2">
      <c r="E28" s="30" t="s">
        <v>8</v>
      </c>
      <c r="H28" s="92"/>
      <c r="J28" s="160">
        <f t="shared" ref="J28:Q28" si="27">exp_Benefits</f>
        <v>80000</v>
      </c>
      <c r="K28" s="160">
        <f t="shared" si="27"/>
        <v>85000</v>
      </c>
      <c r="L28" s="160">
        <f t="shared" si="27"/>
        <v>90000</v>
      </c>
      <c r="M28" s="162">
        <f t="shared" si="27"/>
        <v>95000</v>
      </c>
      <c r="N28" s="162">
        <f t="shared" si="27"/>
        <v>100000</v>
      </c>
      <c r="O28" s="22">
        <f t="shared" si="27"/>
        <v>105000</v>
      </c>
      <c r="P28" s="38">
        <f t="shared" si="27"/>
        <v>110000</v>
      </c>
      <c r="Q28" s="444">
        <f t="shared" si="27"/>
        <v>115000</v>
      </c>
      <c r="R28" s="444">
        <f t="shared" ref="R28:AH28" si="28">exp_Benefits</f>
        <v>120000</v>
      </c>
      <c r="S28" s="119">
        <f t="shared" si="28"/>
        <v>120000</v>
      </c>
      <c r="T28" s="162">
        <f t="shared" ca="1" si="28"/>
        <v>296504.03091729997</v>
      </c>
      <c r="U28" s="22">
        <f t="shared" ca="1" si="28"/>
        <v>311080.00553740497</v>
      </c>
      <c r="V28" s="22">
        <f t="shared" ca="1" si="28"/>
        <v>326583.23902834154</v>
      </c>
      <c r="W28" s="22">
        <f t="shared" ca="1" si="28"/>
        <v>343078.80136291857</v>
      </c>
      <c r="X28" s="22">
        <f t="shared" ca="1" si="28"/>
        <v>360636.54455867509</v>
      </c>
      <c r="Y28" s="22">
        <f t="shared" ca="1" si="28"/>
        <v>371455.64089543535</v>
      </c>
      <c r="Z28" s="22">
        <f t="shared" ca="1" si="28"/>
        <v>382599.31012229843</v>
      </c>
      <c r="AA28" s="22">
        <f t="shared" ca="1" si="28"/>
        <v>394077.28942596738</v>
      </c>
      <c r="AB28" s="22">
        <f t="shared" ca="1" si="28"/>
        <v>405899.60810874635</v>
      </c>
      <c r="AC28" s="22">
        <f t="shared" ca="1" si="28"/>
        <v>418076.59635200875</v>
      </c>
      <c r="AD28" s="22">
        <f t="shared" ca="1" si="28"/>
        <v>430618.89424256905</v>
      </c>
      <c r="AE28" s="22">
        <f t="shared" ca="1" si="28"/>
        <v>443537.46106984612</v>
      </c>
      <c r="AF28" s="22">
        <f t="shared" ca="1" si="28"/>
        <v>456843.58490194153</v>
      </c>
      <c r="AG28" s="22">
        <f t="shared" ca="1" si="28"/>
        <v>470548.8924489998</v>
      </c>
      <c r="AH28" s="22">
        <f t="shared" ca="1" si="28"/>
        <v>484665.35922246985</v>
      </c>
      <c r="AI28" s="165">
        <f t="shared" ref="AI28:AI35" ca="1" si="29">T28/S28-1</f>
        <v>1.4708669243108332</v>
      </c>
      <c r="AJ28" s="165">
        <f t="shared" ref="AJ28:AJ35" ca="1" si="30">U28/T28-1</f>
        <v>4.9159448439911824E-2</v>
      </c>
      <c r="AK28" s="165">
        <f t="shared" ref="AK28:AK35" ca="1" si="31">V28/U28-1</f>
        <v>4.9836804728590645E-2</v>
      </c>
      <c r="AL28" s="165">
        <f t="shared" ref="AL28:AL35" ca="1" si="32">W28/V28-1</f>
        <v>5.0509519054483754E-2</v>
      </c>
      <c r="AM28" s="165">
        <f t="shared" ref="AM28:AM35" ca="1" si="33">X28/W28-1</f>
        <v>5.1176998188189993E-2</v>
      </c>
      <c r="AN28" s="165">
        <f t="shared" ref="AN28:AN35" ca="1" si="34">Y28/X28-1</f>
        <v>3.0000000000000027E-2</v>
      </c>
      <c r="AO28" s="165">
        <f t="shared" ref="AO28:AO35" ca="1" si="35">Z28/Y28-1</f>
        <v>3.0000000000000027E-2</v>
      </c>
    </row>
    <row r="29" spans="5:41" ht="11.25" outlineLevel="1" x14ac:dyDescent="0.2">
      <c r="E29" s="30" t="s">
        <v>177</v>
      </c>
      <c r="H29" s="92"/>
      <c r="J29" s="160">
        <f>'1. SRECNA'!J58</f>
        <v>30000</v>
      </c>
      <c r="K29" s="160">
        <f>'1. SRECNA'!K58</f>
        <v>35000</v>
      </c>
      <c r="L29" s="160">
        <f>'1. SRECNA'!L58</f>
        <v>40000</v>
      </c>
      <c r="M29" s="162">
        <f>'1. SRECNA'!M58</f>
        <v>45000</v>
      </c>
      <c r="N29" s="162">
        <f>'1. SRECNA'!N58</f>
        <v>50000</v>
      </c>
      <c r="O29" s="22">
        <f>'1. SRECNA'!O58</f>
        <v>55000</v>
      </c>
      <c r="P29" s="38">
        <f>'1. SRECNA'!P58</f>
        <v>60000</v>
      </c>
      <c r="Q29" s="161">
        <f>'1. SRECNA'!Q58</f>
        <v>65000</v>
      </c>
      <c r="R29" s="119">
        <f>'1. SRECNA'!R58</f>
        <v>70000</v>
      </c>
      <c r="S29" s="119">
        <f>'1. SRECNA'!S58</f>
        <v>70000</v>
      </c>
      <c r="T29" s="38">
        <f ca="1">'1. SRECNA'!T58</f>
        <v>73850</v>
      </c>
      <c r="U29" s="38">
        <f ca="1">'1. SRECNA'!U58</f>
        <v>75696.25</v>
      </c>
      <c r="V29" s="38">
        <f ca="1">'1. SRECNA'!V58</f>
        <v>77588.65625</v>
      </c>
      <c r="W29" s="38">
        <f ca="1">'1. SRECNA'!W58</f>
        <v>79528.372656249994</v>
      </c>
      <c r="X29" s="38">
        <f ca="1">'1. SRECNA'!X58</f>
        <v>81516.581972656233</v>
      </c>
      <c r="Y29" s="38">
        <f ca="1">'1. SRECNA'!Y58</f>
        <v>83554.496521972629</v>
      </c>
      <c r="Z29" s="38">
        <f ca="1">'1. SRECNA'!Z58</f>
        <v>85643.358935021941</v>
      </c>
      <c r="AA29" s="38">
        <f ca="1">'1. SRECNA'!AA58</f>
        <v>87784.442908397483</v>
      </c>
      <c r="AB29" s="38">
        <f ca="1">'1. SRECNA'!AB58</f>
        <v>89979.053981107412</v>
      </c>
      <c r="AC29" s="38">
        <f ca="1">'1. SRECNA'!AC58</f>
        <v>92228.530330635083</v>
      </c>
      <c r="AD29" s="38">
        <f ca="1">'1. SRECNA'!AD58</f>
        <v>94534.24358890095</v>
      </c>
      <c r="AE29" s="38">
        <f ca="1">'1. SRECNA'!AE58</f>
        <v>96897.599678623461</v>
      </c>
      <c r="AF29" s="38">
        <f ca="1">'1. SRECNA'!AF58</f>
        <v>99320.039670589045</v>
      </c>
      <c r="AG29" s="38">
        <f ca="1">'1. SRECNA'!AG58</f>
        <v>101803.04066235376</v>
      </c>
      <c r="AH29" s="38">
        <f ca="1">'1. SRECNA'!AH58</f>
        <v>104348.11667891259</v>
      </c>
      <c r="AI29" s="165">
        <f t="shared" ca="1" si="29"/>
        <v>5.4999999999999938E-2</v>
      </c>
      <c r="AJ29" s="165">
        <f t="shared" ca="1" si="30"/>
        <v>2.4999999999999911E-2</v>
      </c>
      <c r="AK29" s="165">
        <f t="shared" ca="1" si="31"/>
        <v>2.4999999999999911E-2</v>
      </c>
      <c r="AL29" s="165">
        <f t="shared" ca="1" si="32"/>
        <v>2.4999999999999911E-2</v>
      </c>
      <c r="AM29" s="165">
        <f t="shared" ca="1" si="33"/>
        <v>2.4999999999999911E-2</v>
      </c>
      <c r="AN29" s="165">
        <f t="shared" ca="1" si="34"/>
        <v>2.4999999999999911E-2</v>
      </c>
      <c r="AO29" s="165">
        <f t="shared" ca="1" si="35"/>
        <v>2.4999999999999911E-2</v>
      </c>
    </row>
    <row r="30" spans="5:41" ht="11.25" outlineLevel="1" x14ac:dyDescent="0.2">
      <c r="E30" s="30" t="s">
        <v>9</v>
      </c>
      <c r="H30" s="93" t="s">
        <v>12</v>
      </c>
      <c r="J30" s="162">
        <f t="shared" ref="J30:AH30" si="36">exp_Scholarship</f>
        <v>180000</v>
      </c>
      <c r="K30" s="162">
        <f t="shared" si="36"/>
        <v>185000</v>
      </c>
      <c r="L30" s="162">
        <f t="shared" si="36"/>
        <v>190000</v>
      </c>
      <c r="M30" s="162">
        <f t="shared" si="36"/>
        <v>195000</v>
      </c>
      <c r="N30" s="162">
        <f t="shared" si="36"/>
        <v>200000</v>
      </c>
      <c r="O30" s="22">
        <f t="shared" si="36"/>
        <v>205000</v>
      </c>
      <c r="P30" s="38">
        <f t="shared" si="36"/>
        <v>210000</v>
      </c>
      <c r="Q30" s="161">
        <f t="shared" si="36"/>
        <v>215000</v>
      </c>
      <c r="R30" s="444">
        <f t="shared" si="36"/>
        <v>220000</v>
      </c>
      <c r="S30" s="119">
        <f t="shared" si="36"/>
        <v>220000</v>
      </c>
      <c r="T30" s="22">
        <f t="shared" ca="1" si="36"/>
        <v>225499.99999999997</v>
      </c>
      <c r="U30" s="38">
        <f t="shared" ca="1" si="36"/>
        <v>231137.49999999994</v>
      </c>
      <c r="V30" s="38">
        <f t="shared" ca="1" si="36"/>
        <v>236915.93749999991</v>
      </c>
      <c r="W30" s="38">
        <f t="shared" ca="1" si="36"/>
        <v>242838.83593749988</v>
      </c>
      <c r="X30" s="38">
        <f t="shared" ca="1" si="36"/>
        <v>248909.80683593737</v>
      </c>
      <c r="Y30" s="38">
        <f t="shared" ca="1" si="36"/>
        <v>255132.55200683579</v>
      </c>
      <c r="Z30" s="38">
        <f t="shared" ca="1" si="36"/>
        <v>261510.86580700666</v>
      </c>
      <c r="AA30" s="38">
        <f t="shared" ca="1" si="36"/>
        <v>268048.63745218178</v>
      </c>
      <c r="AB30" s="38">
        <f t="shared" ca="1" si="36"/>
        <v>274749.85338848631</v>
      </c>
      <c r="AC30" s="38">
        <f t="shared" ca="1" si="36"/>
        <v>281618.59972319845</v>
      </c>
      <c r="AD30" s="38">
        <f t="shared" ca="1" si="36"/>
        <v>288659.0647162784</v>
      </c>
      <c r="AE30" s="38">
        <f t="shared" ca="1" si="36"/>
        <v>295875.54133418534</v>
      </c>
      <c r="AF30" s="38">
        <f t="shared" ca="1" si="36"/>
        <v>303272.42986753996</v>
      </c>
      <c r="AG30" s="38">
        <f t="shared" ca="1" si="36"/>
        <v>310854.24061422842</v>
      </c>
      <c r="AH30" s="38">
        <f t="shared" ca="1" si="36"/>
        <v>318625.59662958409</v>
      </c>
      <c r="AI30" s="165">
        <f t="shared" ca="1" si="29"/>
        <v>2.4999999999999911E-2</v>
      </c>
      <c r="AJ30" s="165">
        <f t="shared" ca="1" si="30"/>
        <v>2.4999999999999911E-2</v>
      </c>
      <c r="AK30" s="165">
        <f t="shared" ca="1" si="31"/>
        <v>2.4999999999999911E-2</v>
      </c>
      <c r="AL30" s="165">
        <f t="shared" ca="1" si="32"/>
        <v>2.4999999999999911E-2</v>
      </c>
      <c r="AM30" s="165">
        <f t="shared" ca="1" si="33"/>
        <v>2.4999999999999911E-2</v>
      </c>
      <c r="AN30" s="165">
        <f t="shared" ca="1" si="34"/>
        <v>2.4999999999999911E-2</v>
      </c>
      <c r="AO30" s="165">
        <f t="shared" ca="1" si="35"/>
        <v>2.4999999999999911E-2</v>
      </c>
    </row>
    <row r="31" spans="5:41" ht="11.25" outlineLevel="1" x14ac:dyDescent="0.2">
      <c r="E31" s="30" t="s">
        <v>4</v>
      </c>
      <c r="H31" s="93" t="s">
        <v>15</v>
      </c>
      <c r="J31" s="162">
        <f t="shared" ref="J31:AH31" si="37">exp_Utilities</f>
        <v>30000</v>
      </c>
      <c r="K31" s="162">
        <f t="shared" si="37"/>
        <v>35000</v>
      </c>
      <c r="L31" s="162">
        <f t="shared" si="37"/>
        <v>40000</v>
      </c>
      <c r="M31" s="162">
        <f t="shared" si="37"/>
        <v>45000</v>
      </c>
      <c r="N31" s="162">
        <f t="shared" si="37"/>
        <v>50000</v>
      </c>
      <c r="O31" s="22">
        <f t="shared" si="37"/>
        <v>55000</v>
      </c>
      <c r="P31" s="38">
        <f t="shared" si="37"/>
        <v>60000</v>
      </c>
      <c r="Q31" s="161">
        <f t="shared" si="37"/>
        <v>65000</v>
      </c>
      <c r="R31" s="444">
        <f t="shared" si="37"/>
        <v>70000</v>
      </c>
      <c r="S31" s="119">
        <f t="shared" si="37"/>
        <v>70000</v>
      </c>
      <c r="T31" s="22">
        <f t="shared" ca="1" si="37"/>
        <v>71750</v>
      </c>
      <c r="U31" s="22">
        <f t="shared" ca="1" si="37"/>
        <v>73543.75</v>
      </c>
      <c r="V31" s="22">
        <f t="shared" ca="1" si="37"/>
        <v>75382.34375</v>
      </c>
      <c r="W31" s="22">
        <f t="shared" ca="1" si="37"/>
        <v>77266.90234375</v>
      </c>
      <c r="X31" s="22">
        <f t="shared" ca="1" si="37"/>
        <v>79198.574902343738</v>
      </c>
      <c r="Y31" s="22">
        <f t="shared" ca="1" si="37"/>
        <v>81178.53927490233</v>
      </c>
      <c r="Z31" s="22">
        <f t="shared" ca="1" si="37"/>
        <v>83208.002756774877</v>
      </c>
      <c r="AA31" s="22">
        <f t="shared" ca="1" si="37"/>
        <v>85288.202825694243</v>
      </c>
      <c r="AB31" s="22">
        <f t="shared" ca="1" si="37"/>
        <v>87420.40789633659</v>
      </c>
      <c r="AC31" s="22">
        <f t="shared" ca="1" si="37"/>
        <v>89605.918093745</v>
      </c>
      <c r="AD31" s="22">
        <f t="shared" ca="1" si="37"/>
        <v>91846.066046088614</v>
      </c>
      <c r="AE31" s="22">
        <f t="shared" ca="1" si="37"/>
        <v>94142.21769724082</v>
      </c>
      <c r="AF31" s="22">
        <f t="shared" ca="1" si="37"/>
        <v>96495.77313967183</v>
      </c>
      <c r="AG31" s="22">
        <f t="shared" ca="1" si="37"/>
        <v>98908.167468163621</v>
      </c>
      <c r="AH31" s="22">
        <f t="shared" ca="1" si="37"/>
        <v>101380.8716548677</v>
      </c>
      <c r="AI31" s="165">
        <f t="shared" ca="1" si="29"/>
        <v>2.4999999999999911E-2</v>
      </c>
      <c r="AJ31" s="165">
        <f t="shared" ca="1" si="30"/>
        <v>2.4999999999999911E-2</v>
      </c>
      <c r="AK31" s="165">
        <f t="shared" ca="1" si="31"/>
        <v>2.4999999999999911E-2</v>
      </c>
      <c r="AL31" s="165">
        <f t="shared" ca="1" si="32"/>
        <v>2.4999999999999911E-2</v>
      </c>
      <c r="AM31" s="165">
        <f t="shared" ca="1" si="33"/>
        <v>2.4999999999999911E-2</v>
      </c>
      <c r="AN31" s="165">
        <f t="shared" ca="1" si="34"/>
        <v>2.4999999999999911E-2</v>
      </c>
      <c r="AO31" s="165">
        <f t="shared" ca="1" si="35"/>
        <v>2.4999999999999911E-2</v>
      </c>
    </row>
    <row r="32" spans="5:41" ht="11.25" outlineLevel="1" x14ac:dyDescent="0.2">
      <c r="E32" s="30" t="s">
        <v>10</v>
      </c>
      <c r="H32" s="93" t="s">
        <v>16</v>
      </c>
      <c r="J32" s="162">
        <f t="shared" ref="J32:Q32" si="38">exp_Supplies</f>
        <v>80000</v>
      </c>
      <c r="K32" s="162">
        <f t="shared" si="38"/>
        <v>85000</v>
      </c>
      <c r="L32" s="162">
        <f t="shared" si="38"/>
        <v>90000</v>
      </c>
      <c r="M32" s="162">
        <f t="shared" si="38"/>
        <v>95000</v>
      </c>
      <c r="N32" s="162">
        <f t="shared" si="38"/>
        <v>100000</v>
      </c>
      <c r="O32" s="22">
        <f t="shared" si="38"/>
        <v>105000</v>
      </c>
      <c r="P32" s="38">
        <f t="shared" si="38"/>
        <v>110000</v>
      </c>
      <c r="Q32" s="161">
        <f t="shared" si="38"/>
        <v>115000</v>
      </c>
      <c r="R32" s="444">
        <f t="shared" ref="R32:AH32" si="39">exp_Supplies</f>
        <v>120000</v>
      </c>
      <c r="S32" s="119">
        <f t="shared" si="39"/>
        <v>120000</v>
      </c>
      <c r="T32" s="22">
        <f t="shared" ca="1" si="39"/>
        <v>122999.99999999999</v>
      </c>
      <c r="U32" s="22">
        <f t="shared" ca="1" si="39"/>
        <v>126074.99999999997</v>
      </c>
      <c r="V32" s="22">
        <f t="shared" ca="1" si="39"/>
        <v>129226.87499999996</v>
      </c>
      <c r="W32" s="22">
        <f t="shared" ca="1" si="39"/>
        <v>132457.54687499994</v>
      </c>
      <c r="X32" s="22">
        <f t="shared" ca="1" si="39"/>
        <v>135768.98554687493</v>
      </c>
      <c r="Y32" s="22">
        <f t="shared" ca="1" si="39"/>
        <v>139163.21018554678</v>
      </c>
      <c r="Z32" s="22">
        <f t="shared" ca="1" si="39"/>
        <v>142642.29044018543</v>
      </c>
      <c r="AA32" s="22">
        <f t="shared" ca="1" si="39"/>
        <v>146208.34770119007</v>
      </c>
      <c r="AB32" s="22">
        <f t="shared" ca="1" si="39"/>
        <v>149863.5563937198</v>
      </c>
      <c r="AC32" s="22">
        <f t="shared" ca="1" si="39"/>
        <v>153610.14530356278</v>
      </c>
      <c r="AD32" s="22">
        <f t="shared" ca="1" si="39"/>
        <v>157450.39893615185</v>
      </c>
      <c r="AE32" s="22">
        <f t="shared" ca="1" si="39"/>
        <v>161386.65890955564</v>
      </c>
      <c r="AF32" s="22">
        <f t="shared" ca="1" si="39"/>
        <v>165421.32538229451</v>
      </c>
      <c r="AG32" s="22">
        <f t="shared" ca="1" si="39"/>
        <v>169556.85851685185</v>
      </c>
      <c r="AH32" s="22">
        <f t="shared" ca="1" si="39"/>
        <v>173795.77997977313</v>
      </c>
      <c r="AI32" s="165">
        <f t="shared" ca="1" si="29"/>
        <v>2.4999999999999911E-2</v>
      </c>
      <c r="AJ32" s="165">
        <f t="shared" ca="1" si="30"/>
        <v>2.4999999999999911E-2</v>
      </c>
      <c r="AK32" s="165">
        <f t="shared" ca="1" si="31"/>
        <v>2.4999999999999911E-2</v>
      </c>
      <c r="AL32" s="165">
        <f t="shared" ca="1" si="32"/>
        <v>2.4999999999999911E-2</v>
      </c>
      <c r="AM32" s="165">
        <f t="shared" ca="1" si="33"/>
        <v>2.4999999999999911E-2</v>
      </c>
      <c r="AN32" s="165">
        <f t="shared" ca="1" si="34"/>
        <v>2.4999999999999911E-2</v>
      </c>
      <c r="AO32" s="165">
        <f t="shared" ca="1" si="35"/>
        <v>2.4999999999999911E-2</v>
      </c>
    </row>
    <row r="33" spans="5:41" ht="11.25" outlineLevel="1" x14ac:dyDescent="0.2">
      <c r="E33" s="30" t="s">
        <v>196</v>
      </c>
      <c r="H33" s="93" t="s">
        <v>14</v>
      </c>
      <c r="J33" s="162">
        <f t="shared" ref="J33:Q33" si="40">exp_Depreciation-exp_Depr_buildings</f>
        <v>10000</v>
      </c>
      <c r="K33" s="162">
        <f t="shared" si="40"/>
        <v>13000</v>
      </c>
      <c r="L33" s="162">
        <f t="shared" si="40"/>
        <v>16000</v>
      </c>
      <c r="M33" s="162">
        <f t="shared" si="40"/>
        <v>19000</v>
      </c>
      <c r="N33" s="162">
        <f t="shared" si="40"/>
        <v>22000</v>
      </c>
      <c r="O33" s="38">
        <f t="shared" si="40"/>
        <v>25000</v>
      </c>
      <c r="P33" s="38">
        <f t="shared" si="40"/>
        <v>28000</v>
      </c>
      <c r="Q33" s="161">
        <f t="shared" si="40"/>
        <v>31000</v>
      </c>
      <c r="R33" s="444">
        <f t="shared" ref="R33:AH33" si="41">exp_Depreciation-exp_Depr_buildings</f>
        <v>34000</v>
      </c>
      <c r="S33" s="119">
        <f t="shared" si="41"/>
        <v>32000</v>
      </c>
      <c r="T33" s="22">
        <f t="shared" ca="1" si="41"/>
        <v>32999.999999999985</v>
      </c>
      <c r="U33" s="22">
        <f t="shared" ca="1" si="41"/>
        <v>34074.999999999971</v>
      </c>
      <c r="V33" s="22">
        <f t="shared" ca="1" si="41"/>
        <v>35226.874999999956</v>
      </c>
      <c r="W33" s="22">
        <f t="shared" ca="1" si="41"/>
        <v>36457.546874999942</v>
      </c>
      <c r="X33" s="22">
        <f t="shared" ca="1" si="41"/>
        <v>37768.98554687493</v>
      </c>
      <c r="Y33" s="22">
        <f t="shared" ca="1" si="41"/>
        <v>39163.210185546777</v>
      </c>
      <c r="Z33" s="22">
        <f t="shared" ca="1" si="41"/>
        <v>40642.290440185432</v>
      </c>
      <c r="AA33" s="22">
        <f t="shared" ca="1" si="41"/>
        <v>42208.347701190069</v>
      </c>
      <c r="AB33" s="22">
        <f t="shared" ca="1" si="41"/>
        <v>43863.556393719802</v>
      </c>
      <c r="AC33" s="22">
        <f t="shared" ca="1" si="41"/>
        <v>45610.145303562778</v>
      </c>
      <c r="AD33" s="22">
        <f t="shared" ca="1" si="41"/>
        <v>47450.398936151847</v>
      </c>
      <c r="AE33" s="22">
        <f t="shared" ca="1" si="41"/>
        <v>49386.658909555641</v>
      </c>
      <c r="AF33" s="22">
        <f t="shared" ca="1" si="41"/>
        <v>51421.325382294512</v>
      </c>
      <c r="AG33" s="22">
        <f t="shared" ca="1" si="41"/>
        <v>53556.858516851848</v>
      </c>
      <c r="AH33" s="22">
        <f t="shared" ca="1" si="41"/>
        <v>55795.779979773128</v>
      </c>
      <c r="AI33" s="165">
        <f t="shared" ca="1" si="29"/>
        <v>3.1249999999999556E-2</v>
      </c>
      <c r="AJ33" s="165">
        <f t="shared" ca="1" si="30"/>
        <v>3.2575757575757258E-2</v>
      </c>
      <c r="AK33" s="165">
        <f t="shared" ca="1" si="31"/>
        <v>3.380410858400551E-2</v>
      </c>
      <c r="AL33" s="165">
        <f t="shared" ca="1" si="32"/>
        <v>3.4935596047051876E-2</v>
      </c>
      <c r="AM33" s="165">
        <f t="shared" ca="1" si="33"/>
        <v>3.5971665245921436E-2</v>
      </c>
      <c r="AN33" s="165">
        <f t="shared" ca="1" si="34"/>
        <v>3.6914537642041889E-2</v>
      </c>
      <c r="AO33" s="165">
        <f t="shared" ca="1" si="35"/>
        <v>3.7767084149411989E-2</v>
      </c>
    </row>
    <row r="34" spans="5:41" ht="11.25" outlineLevel="1" x14ac:dyDescent="0.2">
      <c r="E34" s="30" t="s">
        <v>115</v>
      </c>
      <c r="H34" s="93"/>
      <c r="J34" s="162">
        <f t="shared" ref="J34:P34" si="42">exp_Debt_Service</f>
        <v>70000</v>
      </c>
      <c r="K34" s="162">
        <f t="shared" si="42"/>
        <v>71100</v>
      </c>
      <c r="L34" s="162">
        <f t="shared" si="42"/>
        <v>72200</v>
      </c>
      <c r="M34" s="162">
        <f t="shared" si="42"/>
        <v>73300</v>
      </c>
      <c r="N34" s="162">
        <f t="shared" si="42"/>
        <v>74400</v>
      </c>
      <c r="O34" s="22">
        <f t="shared" si="42"/>
        <v>75500</v>
      </c>
      <c r="P34" s="38">
        <f t="shared" si="42"/>
        <v>76600</v>
      </c>
      <c r="Q34" s="161">
        <f t="shared" ref="Q34:AH34" si="43">exp_Debt_Service</f>
        <v>112659</v>
      </c>
      <c r="R34" s="444">
        <f t="shared" si="43"/>
        <v>78800</v>
      </c>
      <c r="S34" s="119">
        <f t="shared" si="43"/>
        <v>79900</v>
      </c>
      <c r="T34" s="22">
        <f t="shared" si="43"/>
        <v>81000</v>
      </c>
      <c r="U34" s="22">
        <f t="shared" si="43"/>
        <v>82100</v>
      </c>
      <c r="V34" s="22">
        <f t="shared" si="43"/>
        <v>83200</v>
      </c>
      <c r="W34" s="22">
        <f t="shared" si="43"/>
        <v>84300</v>
      </c>
      <c r="X34" s="22">
        <f t="shared" si="43"/>
        <v>85400</v>
      </c>
      <c r="Y34" s="22">
        <f t="shared" si="43"/>
        <v>86500</v>
      </c>
      <c r="Z34" s="22">
        <f t="shared" si="43"/>
        <v>87600</v>
      </c>
      <c r="AA34" s="22">
        <f t="shared" si="43"/>
        <v>88700</v>
      </c>
      <c r="AB34" s="22">
        <f t="shared" si="43"/>
        <v>89800</v>
      </c>
      <c r="AC34" s="22">
        <f t="shared" si="43"/>
        <v>90900</v>
      </c>
      <c r="AD34" s="22">
        <f t="shared" si="43"/>
        <v>92000</v>
      </c>
      <c r="AE34" s="22">
        <f t="shared" si="43"/>
        <v>93100</v>
      </c>
      <c r="AF34" s="22">
        <f t="shared" si="43"/>
        <v>94200</v>
      </c>
      <c r="AG34" s="22">
        <f t="shared" si="43"/>
        <v>95300</v>
      </c>
      <c r="AH34" s="22">
        <f t="shared" si="43"/>
        <v>96400</v>
      </c>
      <c r="AI34" s="165">
        <f t="shared" si="29"/>
        <v>1.3767209011264159E-2</v>
      </c>
      <c r="AJ34" s="165">
        <f t="shared" si="30"/>
        <v>1.3580246913580174E-2</v>
      </c>
      <c r="AK34" s="165">
        <f t="shared" si="31"/>
        <v>1.3398294762484664E-2</v>
      </c>
      <c r="AL34" s="165">
        <f t="shared" si="32"/>
        <v>1.3221153846153744E-2</v>
      </c>
      <c r="AM34" s="165">
        <f t="shared" si="33"/>
        <v>1.3048635824436605E-2</v>
      </c>
      <c r="AN34" s="165">
        <f t="shared" si="34"/>
        <v>1.2880562060889833E-2</v>
      </c>
      <c r="AO34" s="165">
        <f t="shared" si="35"/>
        <v>1.2716763005780285E-2</v>
      </c>
    </row>
    <row r="35" spans="5:41" ht="11.25" outlineLevel="1" x14ac:dyDescent="0.2">
      <c r="E35" s="30" t="s">
        <v>11</v>
      </c>
      <c r="H35" s="93" t="s">
        <v>13</v>
      </c>
      <c r="J35" s="162">
        <f>exp_Other_OpEx-'1. SRECNA'!J58</f>
        <v>80000</v>
      </c>
      <c r="K35" s="162">
        <f>exp_Other_OpEx-'1. SRECNA'!K58</f>
        <v>105000</v>
      </c>
      <c r="L35" s="162">
        <f>exp_Other_OpEx-'1. SRECNA'!L58</f>
        <v>130000</v>
      </c>
      <c r="M35" s="162">
        <f>exp_Other_OpEx-'1. SRECNA'!M58</f>
        <v>155000</v>
      </c>
      <c r="N35" s="162">
        <f>exp_Other_OpEx-'1. SRECNA'!N58</f>
        <v>180000</v>
      </c>
      <c r="O35" s="22">
        <f>exp_Other_OpEx-'1. SRECNA'!O58</f>
        <v>205000</v>
      </c>
      <c r="P35" s="38">
        <f>exp_Other_OpEx-'1. SRECNA'!P58</f>
        <v>230000</v>
      </c>
      <c r="Q35" s="161">
        <f>exp_Other_OpEx-'1. SRECNA'!Q58</f>
        <v>255000</v>
      </c>
      <c r="R35" s="161">
        <f>exp_Other_OpEx-'1. SRECNA'!R58</f>
        <v>280000</v>
      </c>
      <c r="S35" s="119">
        <f>exp_Other_OpEx-'1. SRECNA'!S58</f>
        <v>280000</v>
      </c>
      <c r="T35" s="38">
        <f ca="1">exp_Other_OpEx-'1. SRECNA'!T58</f>
        <v>295050</v>
      </c>
      <c r="U35" s="38">
        <f ca="1">exp_Other_OpEx-'1. SRECNA'!U58</f>
        <v>311032.75</v>
      </c>
      <c r="V35" s="38">
        <f ca="1">exp_Other_OpEx-'1. SRECNA'!V58</f>
        <v>328002.70124999993</v>
      </c>
      <c r="W35" s="38">
        <f ca="1">exp_Other_OpEx-'1. SRECNA'!W58</f>
        <v>346017.3943187499</v>
      </c>
      <c r="X35" s="38">
        <f ca="1">exp_Other_OpEx-'1. SRECNA'!X58</f>
        <v>365137.63184128114</v>
      </c>
      <c r="Y35" s="38">
        <f ca="1">exp_Other_OpEx-'1. SRECNA'!Y58</f>
        <v>385427.66085260146</v>
      </c>
      <c r="Z35" s="38">
        <f ca="1">exp_Other_OpEx-'1. SRECNA'!Z58</f>
        <v>406955.36523734615</v>
      </c>
      <c r="AA35" s="38">
        <f ca="1">exp_Other_OpEx-'1. SRECNA'!AA58</f>
        <v>429792.46885438729</v>
      </c>
      <c r="AB35" s="38">
        <f ca="1">exp_Other_OpEx-'1. SRECNA'!AB58</f>
        <v>454014.74992623506</v>
      </c>
      <c r="AC35" s="38">
        <f ca="1">exp_Other_OpEx-'1. SRECNA'!AC58</f>
        <v>479702.26731558033</v>
      </c>
      <c r="AD35" s="38">
        <f ca="1">exp_Other_OpEx-'1. SRECNA'!AD58</f>
        <v>506939.59934564173</v>
      </c>
      <c r="AE35" s="38">
        <f ca="1">exp_Other_OpEx-'1. SRECNA'!AE58</f>
        <v>535816.09585718741</v>
      </c>
      <c r="AF35" s="38">
        <f ca="1">exp_Other_OpEx-'1. SRECNA'!AF58</f>
        <v>566426.14423329441</v>
      </c>
      <c r="AG35" s="38">
        <f ca="1">exp_Other_OpEx-'1. SRECNA'!AG58</f>
        <v>598869.45016320597</v>
      </c>
      <c r="AH35" s="38">
        <f ca="1">exp_Other_OpEx-'1. SRECNA'!AH58</f>
        <v>633251.33395917516</v>
      </c>
      <c r="AI35" s="165">
        <f t="shared" ca="1" si="29"/>
        <v>5.3749999999999964E-2</v>
      </c>
      <c r="AJ35" s="165">
        <f t="shared" ca="1" si="30"/>
        <v>5.4169632265717693E-2</v>
      </c>
      <c r="AK35" s="165">
        <f t="shared" ca="1" si="31"/>
        <v>5.4560014178570926E-2</v>
      </c>
      <c r="AL35" s="165">
        <f t="shared" ca="1" si="32"/>
        <v>5.4922392407431353E-2</v>
      </c>
      <c r="AM35" s="165">
        <f t="shared" ca="1" si="33"/>
        <v>5.5258024123832739E-2</v>
      </c>
      <c r="AN35" s="165">
        <f t="shared" ca="1" si="34"/>
        <v>5.5568167293531756E-2</v>
      </c>
      <c r="AO35" s="165">
        <f t="shared" ca="1" si="35"/>
        <v>5.5854072167844437E-2</v>
      </c>
    </row>
    <row r="36" spans="5:41" ht="3" customHeight="1" outlineLevel="1" x14ac:dyDescent="0.2">
      <c r="Q36" s="441"/>
      <c r="R36" s="441"/>
      <c r="S36" s="441"/>
      <c r="Y36" s="12"/>
      <c r="Z36" s="12"/>
    </row>
    <row r="37" spans="5:41" ht="11.25" x14ac:dyDescent="0.2">
      <c r="E37" s="108" t="s">
        <v>132</v>
      </c>
      <c r="F37" s="109"/>
      <c r="G37" s="109"/>
      <c r="H37" s="109"/>
      <c r="I37" s="110"/>
      <c r="J37" s="111">
        <f t="shared" ref="J37:O37" si="44">SUM(J27:J35)</f>
        <v>840000</v>
      </c>
      <c r="K37" s="111">
        <f t="shared" si="44"/>
        <v>899100</v>
      </c>
      <c r="L37" s="111">
        <f t="shared" si="44"/>
        <v>958200</v>
      </c>
      <c r="M37" s="111">
        <f t="shared" si="44"/>
        <v>1017300</v>
      </c>
      <c r="N37" s="111">
        <f t="shared" si="44"/>
        <v>1076400</v>
      </c>
      <c r="O37" s="111">
        <f t="shared" si="44"/>
        <v>1135500</v>
      </c>
      <c r="P37" s="111">
        <f t="shared" ref="P37:X37" si="45">SUM(P27:P35)</f>
        <v>1194600</v>
      </c>
      <c r="Q37" s="445">
        <f t="shared" si="45"/>
        <v>1288659</v>
      </c>
      <c r="R37" s="442">
        <f t="shared" si="45"/>
        <v>1312800</v>
      </c>
      <c r="S37" s="442">
        <f t="shared" si="45"/>
        <v>1311900</v>
      </c>
      <c r="T37" s="111">
        <f t="shared" ca="1" si="45"/>
        <v>1529254.0309172999</v>
      </c>
      <c r="U37" s="111">
        <f t="shared" ca="1" si="45"/>
        <v>1584228.2555374049</v>
      </c>
      <c r="V37" s="111">
        <f t="shared" ca="1" si="45"/>
        <v>1641799.2677783412</v>
      </c>
      <c r="W37" s="111">
        <f t="shared" ca="1" si="45"/>
        <v>1702108.2195691683</v>
      </c>
      <c r="X37" s="111">
        <f t="shared" ca="1" si="45"/>
        <v>1765304.8149806436</v>
      </c>
      <c r="Y37" s="111">
        <f t="shared" ref="Y37:AH37" ca="1" si="46">SUM(Y27:Y35)</f>
        <v>1823672.0448121212</v>
      </c>
      <c r="Z37" s="111">
        <f t="shared" ca="1" si="46"/>
        <v>1884361.1206747773</v>
      </c>
      <c r="AA37" s="111">
        <f t="shared" ca="1" si="46"/>
        <v>1947474.1629130456</v>
      </c>
      <c r="AB37" s="111">
        <f t="shared" ca="1" si="46"/>
        <v>2013118.2049137095</v>
      </c>
      <c r="AC37" s="111">
        <f t="shared" ca="1" si="46"/>
        <v>2081405.443812412</v>
      </c>
      <c r="AD37" s="111">
        <f t="shared" ca="1" si="46"/>
        <v>2152453.504443605</v>
      </c>
      <c r="AE37" s="111">
        <f t="shared" ca="1" si="46"/>
        <v>2226385.717246972</v>
      </c>
      <c r="AF37" s="111">
        <f t="shared" ca="1" si="46"/>
        <v>2303331.4108821265</v>
      </c>
      <c r="AG37" s="111">
        <f t="shared" ca="1" si="46"/>
        <v>2383426.2203442911</v>
      </c>
      <c r="AH37" s="111">
        <f t="shared" ca="1" si="46"/>
        <v>2466812.4114168007</v>
      </c>
    </row>
    <row r="38" spans="5:41" ht="11.25" customHeight="1" x14ac:dyDescent="0.2">
      <c r="P38" s="205"/>
      <c r="Q38" s="446"/>
      <c r="R38" s="447"/>
      <c r="S38" s="448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</row>
    <row r="39" spans="5:41" ht="11.25" customHeight="1" x14ac:dyDescent="0.2">
      <c r="E39" s="105" t="s">
        <v>131</v>
      </c>
      <c r="F39" s="105"/>
      <c r="G39" s="105"/>
      <c r="H39" s="105"/>
      <c r="I39" s="106"/>
      <c r="J39" s="107">
        <f t="shared" ref="J39:O39" si="47">J23-J37</f>
        <v>185000</v>
      </c>
      <c r="K39" s="107">
        <f t="shared" si="47"/>
        <v>190900</v>
      </c>
      <c r="L39" s="107">
        <f t="shared" si="47"/>
        <v>196800</v>
      </c>
      <c r="M39" s="107">
        <f t="shared" si="47"/>
        <v>202700</v>
      </c>
      <c r="N39" s="107">
        <f t="shared" si="47"/>
        <v>208600</v>
      </c>
      <c r="O39" s="107">
        <f t="shared" si="47"/>
        <v>214500</v>
      </c>
      <c r="P39" s="107">
        <f>P23-P37</f>
        <v>220400</v>
      </c>
      <c r="Q39" s="449">
        <f>Q23-Q37</f>
        <v>192341</v>
      </c>
      <c r="R39" s="449">
        <f>R23-R37</f>
        <v>234200</v>
      </c>
      <c r="S39" s="449">
        <f>S23-S37</f>
        <v>234100</v>
      </c>
      <c r="T39" s="449">
        <f ca="1">T23-T37+'1. SRECNA'!T173</f>
        <v>-414728.4687173015</v>
      </c>
      <c r="U39" s="449">
        <f ca="1">U23-U37+'1. SRECNA'!U173</f>
        <v>-427766.08570085862</v>
      </c>
      <c r="V39" s="449">
        <f ca="1">V23-V37+'1. SRECNA'!V173</f>
        <v>-442391.47267596377</v>
      </c>
      <c r="W39" s="449">
        <f ca="1">W23-W37+'1. SRECNA'!W173</f>
        <v>-458696.68893497624</v>
      </c>
      <c r="X39" s="449">
        <f ca="1">X23-X37+'1. SRECNA'!X173</f>
        <v>-476776.30895799212</v>
      </c>
      <c r="Y39" s="449">
        <f ca="1">Y23-Y37+'1. SRECNA'!Y173</f>
        <v>-490119.8623047974</v>
      </c>
      <c r="Z39" s="449">
        <f ca="1">Z23-Z37+'1. SRECNA'!Z173</f>
        <v>-502910.21688838955</v>
      </c>
      <c r="AA39" s="449">
        <f ca="1">AA23-AA37+'1. SRECNA'!AA173</f>
        <v>-516378.36516774609</v>
      </c>
      <c r="AB39" s="449">
        <f ca="1">AB23-AB37+'1. SRECNA'!AB173</f>
        <v>-530553.43881774298</v>
      </c>
      <c r="AC39" s="449">
        <f ca="1">AC23-AC37+'1. SRECNA'!AC173</f>
        <v>-545465.61981688975</v>
      </c>
      <c r="AD39" s="449">
        <f ca="1">AD23-AD37+'1. SRECNA'!AD173</f>
        <v>-561150.66130314278</v>
      </c>
      <c r="AE39" s="449">
        <f ca="1">AE23-AE37+'1. SRECNA'!AE173</f>
        <v>-577650.06977813551</v>
      </c>
      <c r="AF39" s="449">
        <f ca="1">AF23-AF37+'1. SRECNA'!AF173</f>
        <v>-595007.88655725657</v>
      </c>
      <c r="AG39" s="449">
        <f ca="1">AG23-AG37+'1. SRECNA'!AG173</f>
        <v>-613270.69411647762</v>
      </c>
      <c r="AH39" s="449">
        <f ca="1">AH23-AH37+'1. SRECNA'!AH173</f>
        <v>-632487.65058060293</v>
      </c>
    </row>
    <row r="40" spans="5:41" ht="11.25" x14ac:dyDescent="0.2">
      <c r="E40" s="450" t="s">
        <v>251</v>
      </c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5:41" ht="11.25" x14ac:dyDescent="0.2">
      <c r="E41" s="32" t="s">
        <v>133</v>
      </c>
      <c r="F41" s="32"/>
      <c r="G41" s="32"/>
      <c r="H41" s="32"/>
      <c r="I41" s="99"/>
      <c r="J41" s="101">
        <f t="shared" ref="J41:L41" si="48">J39/J23</f>
        <v>0.18048780487804877</v>
      </c>
      <c r="K41" s="101">
        <f t="shared" si="48"/>
        <v>0.17513761467889907</v>
      </c>
      <c r="L41" s="101">
        <f t="shared" si="48"/>
        <v>0.1703896103896104</v>
      </c>
      <c r="M41" s="101">
        <f t="shared" ref="M41:X41" si="49">M39/M23</f>
        <v>0.16614754098360657</v>
      </c>
      <c r="N41" s="101">
        <f t="shared" si="49"/>
        <v>0.16233463035019455</v>
      </c>
      <c r="O41" s="101">
        <f t="shared" si="49"/>
        <v>0.15888888888888889</v>
      </c>
      <c r="P41" s="101">
        <f t="shared" si="49"/>
        <v>0.15575971731448762</v>
      </c>
      <c r="Q41" s="221">
        <f t="shared" si="49"/>
        <v>0.1298723835246455</v>
      </c>
      <c r="R41" s="221">
        <f t="shared" si="49"/>
        <v>0.15138978668390432</v>
      </c>
      <c r="S41" s="220">
        <f t="shared" si="49"/>
        <v>0.15142302716688227</v>
      </c>
      <c r="T41" s="220">
        <f t="shared" ca="1" si="49"/>
        <v>-0.37211211907841346</v>
      </c>
      <c r="U41" s="220">
        <f t="shared" ca="1" si="49"/>
        <v>-0.36989198337661044</v>
      </c>
      <c r="V41" s="220">
        <f t="shared" ca="1" si="49"/>
        <v>-0.36884158539106604</v>
      </c>
      <c r="W41" s="220">
        <f t="shared" ca="1" si="49"/>
        <v>-0.36890174944816673</v>
      </c>
      <c r="X41" s="220">
        <f t="shared" ca="1" si="49"/>
        <v>-0.37001611274373369</v>
      </c>
      <c r="Y41" s="220">
        <f t="shared" ref="Y41:AH41" ca="1" si="50">Y39/Y23</f>
        <v>-0.36752957157123145</v>
      </c>
      <c r="Z41" s="220">
        <f t="shared" ca="1" si="50"/>
        <v>-0.36404494398604703</v>
      </c>
      <c r="AA41" s="220">
        <f t="shared" ca="1" si="50"/>
        <v>-0.36082725278161215</v>
      </c>
      <c r="AB41" s="220">
        <f t="shared" ca="1" si="50"/>
        <v>-0.35786189645855931</v>
      </c>
      <c r="AC41" s="220">
        <f t="shared" ca="1" si="50"/>
        <v>-0.35513475938005235</v>
      </c>
      <c r="AD41" s="220">
        <f t="shared" ca="1" si="50"/>
        <v>-0.3526359949157778</v>
      </c>
      <c r="AE41" s="220">
        <f t="shared" ca="1" si="50"/>
        <v>-0.3503594227885789</v>
      </c>
      <c r="AF41" s="220">
        <f t="shared" ca="1" si="50"/>
        <v>-0.34829929933348186</v>
      </c>
      <c r="AG41" s="220">
        <f t="shared" ca="1" si="50"/>
        <v>-0.34645017628668612</v>
      </c>
      <c r="AH41" s="220">
        <f t="shared" ca="1" si="50"/>
        <v>-0.34480679980151185</v>
      </c>
    </row>
    <row r="42" spans="5:41" ht="11.25" x14ac:dyDescent="0.2">
      <c r="P42" s="22"/>
      <c r="Q42" s="166"/>
      <c r="R42" s="166"/>
      <c r="S42" s="637"/>
      <c r="T42" s="236"/>
      <c r="U42" s="236"/>
      <c r="V42" s="236"/>
      <c r="W42" s="236"/>
      <c r="X42" s="236"/>
    </row>
    <row r="43" spans="5:41" ht="11.25" x14ac:dyDescent="0.2">
      <c r="E43" s="47" t="s">
        <v>48</v>
      </c>
      <c r="F43" s="48"/>
      <c r="G43" s="48"/>
      <c r="H43" s="48"/>
      <c r="I43" s="104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228"/>
      <c r="W43" s="228"/>
      <c r="X43" s="4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</row>
    <row r="44" spans="5:41" x14ac:dyDescent="0.2">
      <c r="E44" s="401" t="s">
        <v>126</v>
      </c>
      <c r="F44" s="417"/>
      <c r="G44" s="417"/>
      <c r="H44" s="601"/>
      <c r="I44" s="602"/>
      <c r="J44" s="601"/>
      <c r="K44" s="601"/>
      <c r="L44" s="601"/>
      <c r="M44" s="601"/>
      <c r="N44" s="601"/>
      <c r="O44" s="603"/>
      <c r="P44" s="604"/>
      <c r="Q44" s="603"/>
      <c r="R44" s="603"/>
      <c r="S44" s="603"/>
      <c r="T44" s="603"/>
      <c r="U44" s="603"/>
      <c r="V44" s="603"/>
      <c r="W44" s="603"/>
      <c r="X44" s="603"/>
      <c r="Y44" s="603"/>
      <c r="Z44" s="603"/>
      <c r="AA44" s="603"/>
      <c r="AB44" s="603"/>
      <c r="AC44" s="603"/>
      <c r="AD44" s="603"/>
      <c r="AE44" s="603"/>
      <c r="AF44" s="603"/>
      <c r="AG44" s="603"/>
      <c r="AH44" s="603"/>
    </row>
    <row r="45" spans="5:41" ht="15" x14ac:dyDescent="0.2">
      <c r="E45" s="400" t="s">
        <v>178</v>
      </c>
      <c r="F45" s="417"/>
      <c r="G45" s="417"/>
      <c r="H45" s="579"/>
      <c r="I45" s="656"/>
      <c r="J45" s="657"/>
      <c r="K45" s="657"/>
      <c r="L45" s="657"/>
      <c r="M45" s="658"/>
      <c r="N45" s="658"/>
      <c r="O45" s="659">
        <v>0.14230000000000001</v>
      </c>
      <c r="P45" s="660">
        <v>7.8700000000000006E-2</v>
      </c>
      <c r="Q45" s="590">
        <v>0</v>
      </c>
      <c r="R45" s="580">
        <v>0.01</v>
      </c>
      <c r="S45" s="580">
        <v>0.01</v>
      </c>
      <c r="T45" s="580">
        <v>0.01</v>
      </c>
      <c r="U45" s="580">
        <v>0.01</v>
      </c>
      <c r="V45" s="580">
        <v>0.01</v>
      </c>
      <c r="W45" s="580">
        <v>0.01</v>
      </c>
      <c r="X45" s="580">
        <v>0.01</v>
      </c>
      <c r="Y45" s="580">
        <v>0.01</v>
      </c>
      <c r="Z45" s="580">
        <v>0.01</v>
      </c>
      <c r="AA45" s="580">
        <v>0.01</v>
      </c>
      <c r="AB45" s="580">
        <v>0.01</v>
      </c>
      <c r="AC45" s="580">
        <v>0.01</v>
      </c>
      <c r="AD45" s="580">
        <v>0.01</v>
      </c>
      <c r="AE45" s="580">
        <v>0.01</v>
      </c>
      <c r="AF45" s="580">
        <v>0.01</v>
      </c>
      <c r="AG45" s="580">
        <v>0.01</v>
      </c>
      <c r="AH45" s="580">
        <v>0.01</v>
      </c>
    </row>
    <row r="46" spans="5:41" ht="15" x14ac:dyDescent="0.2">
      <c r="E46" s="400" t="s">
        <v>217</v>
      </c>
      <c r="F46" s="417"/>
      <c r="G46" s="417"/>
      <c r="H46" s="579"/>
      <c r="I46" s="656"/>
      <c r="J46" s="657"/>
      <c r="K46" s="657"/>
      <c r="L46" s="657"/>
      <c r="M46" s="658"/>
      <c r="N46" s="658"/>
      <c r="O46" s="659"/>
      <c r="P46" s="661"/>
      <c r="Q46" s="590">
        <v>0</v>
      </c>
      <c r="R46" s="580">
        <v>0.01</v>
      </c>
      <c r="S46" s="580">
        <v>0.01</v>
      </c>
      <c r="T46" s="580">
        <v>0.01</v>
      </c>
      <c r="U46" s="580">
        <v>0.01</v>
      </c>
      <c r="V46" s="580">
        <v>0.01</v>
      </c>
      <c r="W46" s="580">
        <v>0.01</v>
      </c>
      <c r="X46" s="580">
        <v>0.01</v>
      </c>
      <c r="Y46" s="580">
        <v>0.01</v>
      </c>
      <c r="Z46" s="580">
        <v>0.01</v>
      </c>
      <c r="AA46" s="580">
        <v>0.01</v>
      </c>
      <c r="AB46" s="580">
        <v>0.01</v>
      </c>
      <c r="AC46" s="580">
        <v>0.01</v>
      </c>
      <c r="AD46" s="580">
        <v>0.01</v>
      </c>
      <c r="AE46" s="580">
        <v>0.01</v>
      </c>
      <c r="AF46" s="580">
        <v>0.01</v>
      </c>
      <c r="AG46" s="580">
        <v>0.01</v>
      </c>
      <c r="AH46" s="580">
        <v>0.01</v>
      </c>
    </row>
    <row r="47" spans="5:41" ht="15" x14ac:dyDescent="0.2">
      <c r="E47" s="400" t="s">
        <v>192</v>
      </c>
      <c r="F47" s="417"/>
      <c r="G47" s="417"/>
      <c r="H47" s="579"/>
      <c r="I47" s="656"/>
      <c r="J47" s="657"/>
      <c r="K47" s="657"/>
      <c r="L47" s="657"/>
      <c r="M47" s="658"/>
      <c r="N47" s="658"/>
      <c r="O47" s="662"/>
      <c r="P47" s="661">
        <v>0</v>
      </c>
      <c r="Q47" s="590"/>
      <c r="R47" s="580">
        <v>0.03</v>
      </c>
      <c r="S47" s="580">
        <v>0.03</v>
      </c>
      <c r="T47" s="580">
        <v>0.03</v>
      </c>
      <c r="U47" s="580">
        <v>0.03</v>
      </c>
      <c r="V47" s="580">
        <v>0.03</v>
      </c>
      <c r="W47" s="580">
        <v>0.03</v>
      </c>
      <c r="X47" s="580">
        <v>0.03</v>
      </c>
      <c r="Y47" s="580">
        <v>0.03</v>
      </c>
      <c r="Z47" s="580">
        <v>0.03</v>
      </c>
      <c r="AA47" s="580">
        <v>0.03</v>
      </c>
      <c r="AB47" s="580">
        <v>0.03</v>
      </c>
      <c r="AC47" s="580">
        <v>0.03</v>
      </c>
      <c r="AD47" s="580">
        <v>0.03</v>
      </c>
      <c r="AE47" s="580">
        <v>0.03</v>
      </c>
      <c r="AF47" s="580">
        <v>0.03</v>
      </c>
      <c r="AG47" s="580">
        <v>0.03</v>
      </c>
      <c r="AH47" s="580">
        <v>0.03</v>
      </c>
    </row>
    <row r="48" spans="5:41" ht="15" x14ac:dyDescent="0.2">
      <c r="E48" s="400" t="s">
        <v>175</v>
      </c>
      <c r="F48" s="417"/>
      <c r="G48" s="417"/>
      <c r="H48" s="579"/>
      <c r="I48" s="656"/>
      <c r="J48" s="657"/>
      <c r="K48" s="657"/>
      <c r="L48" s="657"/>
      <c r="M48" s="658"/>
      <c r="N48" s="658"/>
      <c r="O48" s="662"/>
      <c r="P48" s="660">
        <v>-0.02</v>
      </c>
      <c r="Q48" s="590">
        <v>-0.02</v>
      </c>
      <c r="R48" s="580">
        <v>0</v>
      </c>
      <c r="S48" s="580">
        <v>0</v>
      </c>
      <c r="T48" s="580">
        <v>0</v>
      </c>
      <c r="U48" s="580">
        <v>0</v>
      </c>
      <c r="V48" s="580">
        <v>0</v>
      </c>
      <c r="W48" s="580">
        <v>0</v>
      </c>
      <c r="X48" s="580">
        <v>0</v>
      </c>
      <c r="Y48" s="580">
        <v>0</v>
      </c>
      <c r="Z48" s="580">
        <v>0</v>
      </c>
      <c r="AA48" s="580">
        <v>0</v>
      </c>
      <c r="AB48" s="580">
        <v>0</v>
      </c>
      <c r="AC48" s="580">
        <v>0</v>
      </c>
      <c r="AD48" s="580">
        <v>0</v>
      </c>
      <c r="AE48" s="580">
        <v>0</v>
      </c>
      <c r="AF48" s="580">
        <v>0</v>
      </c>
      <c r="AG48" s="580">
        <v>0</v>
      </c>
      <c r="AH48" s="580">
        <v>0</v>
      </c>
    </row>
    <row r="49" spans="1:34" ht="15" x14ac:dyDescent="0.2">
      <c r="E49" s="400" t="s">
        <v>172</v>
      </c>
      <c r="F49" s="417"/>
      <c r="G49" s="417"/>
      <c r="H49" s="579"/>
      <c r="I49" s="656"/>
      <c r="J49" s="657"/>
      <c r="K49" s="657"/>
      <c r="L49" s="657"/>
      <c r="M49" s="658"/>
      <c r="N49" s="658"/>
      <c r="O49" s="662"/>
      <c r="P49" s="660">
        <v>-0.05</v>
      </c>
      <c r="Q49" s="590">
        <v>-7.4999999999999997E-2</v>
      </c>
      <c r="R49" s="580">
        <v>0</v>
      </c>
      <c r="S49" s="580">
        <v>0</v>
      </c>
      <c r="T49" s="580">
        <v>0</v>
      </c>
      <c r="U49" s="580">
        <v>0</v>
      </c>
      <c r="V49" s="580">
        <v>0</v>
      </c>
      <c r="W49" s="580">
        <v>0</v>
      </c>
      <c r="X49" s="580">
        <v>0</v>
      </c>
      <c r="Y49" s="580">
        <v>0</v>
      </c>
      <c r="Z49" s="580">
        <v>0</v>
      </c>
      <c r="AA49" s="580">
        <v>0</v>
      </c>
      <c r="AB49" s="580">
        <v>0</v>
      </c>
      <c r="AC49" s="580">
        <v>0</v>
      </c>
      <c r="AD49" s="580">
        <v>0</v>
      </c>
      <c r="AE49" s="580">
        <v>0</v>
      </c>
      <c r="AF49" s="580">
        <v>0</v>
      </c>
      <c r="AG49" s="580">
        <v>0</v>
      </c>
      <c r="AH49" s="580">
        <v>0</v>
      </c>
    </row>
    <row r="50" spans="1:34" ht="15" x14ac:dyDescent="0.2">
      <c r="E50" s="400" t="s">
        <v>193</v>
      </c>
      <c r="F50" s="417"/>
      <c r="G50" s="417"/>
      <c r="H50" s="579" t="s">
        <v>231</v>
      </c>
      <c r="I50" s="656"/>
      <c r="J50" s="657"/>
      <c r="K50" s="657"/>
      <c r="L50" s="657"/>
      <c r="M50" s="658"/>
      <c r="N50" s="658"/>
      <c r="O50" s="662"/>
      <c r="P50" s="660">
        <f>Tuition!$P$58/Tuition!$P$59</f>
        <v>9.0909090909090912E-2</v>
      </c>
      <c r="Q50" s="590">
        <v>0.2</v>
      </c>
      <c r="R50" s="580">
        <v>0.2</v>
      </c>
      <c r="S50" s="580">
        <v>0.2</v>
      </c>
      <c r="T50" s="580">
        <v>0.2</v>
      </c>
      <c r="U50" s="580">
        <v>0.2</v>
      </c>
      <c r="V50" s="580">
        <v>0.2</v>
      </c>
      <c r="W50" s="580">
        <v>0.2</v>
      </c>
      <c r="X50" s="580">
        <v>0.2</v>
      </c>
      <c r="Y50" s="580">
        <v>0.2</v>
      </c>
      <c r="Z50" s="580">
        <v>0.2</v>
      </c>
      <c r="AA50" s="580">
        <v>0.2</v>
      </c>
      <c r="AB50" s="580">
        <v>0.2</v>
      </c>
      <c r="AC50" s="580">
        <v>0.2</v>
      </c>
      <c r="AD50" s="580">
        <v>0.2</v>
      </c>
      <c r="AE50" s="580">
        <v>0.2</v>
      </c>
      <c r="AF50" s="580">
        <v>0.2</v>
      </c>
      <c r="AG50" s="580">
        <v>0.2</v>
      </c>
      <c r="AH50" s="580">
        <v>0.2</v>
      </c>
    </row>
    <row r="51" spans="1:34" ht="15" x14ac:dyDescent="0.2">
      <c r="E51" s="400" t="s">
        <v>191</v>
      </c>
      <c r="F51" s="417"/>
      <c r="G51" s="417"/>
      <c r="H51" s="579"/>
      <c r="I51" s="581">
        <v>0.03</v>
      </c>
      <c r="J51" s="581">
        <v>0.03</v>
      </c>
      <c r="K51" s="581">
        <v>0.03</v>
      </c>
      <c r="L51" s="581">
        <v>0.03</v>
      </c>
      <c r="M51" s="581">
        <v>0.03</v>
      </c>
      <c r="N51" s="581">
        <v>0.03</v>
      </c>
      <c r="O51" s="581">
        <v>0.03</v>
      </c>
      <c r="P51" s="581">
        <v>0.03</v>
      </c>
      <c r="Q51" s="590">
        <v>0.03</v>
      </c>
      <c r="R51" s="580">
        <v>0.01</v>
      </c>
      <c r="S51" s="580">
        <v>0.01</v>
      </c>
      <c r="T51" s="580">
        <v>0.01</v>
      </c>
      <c r="U51" s="580">
        <v>0.01</v>
      </c>
      <c r="V51" s="580">
        <v>0.01</v>
      </c>
      <c r="W51" s="580">
        <v>0.01</v>
      </c>
      <c r="X51" s="580">
        <v>0.01</v>
      </c>
      <c r="Y51" s="580">
        <v>0.01</v>
      </c>
      <c r="Z51" s="580">
        <v>0.01</v>
      </c>
      <c r="AA51" s="580">
        <v>0.01</v>
      </c>
      <c r="AB51" s="580">
        <v>0.01</v>
      </c>
      <c r="AC51" s="580">
        <v>0.01</v>
      </c>
      <c r="AD51" s="580">
        <v>0.01</v>
      </c>
      <c r="AE51" s="580">
        <v>0.01</v>
      </c>
      <c r="AF51" s="580">
        <v>0.01</v>
      </c>
      <c r="AG51" s="580">
        <v>0.01</v>
      </c>
      <c r="AH51" s="580">
        <v>0.01</v>
      </c>
    </row>
    <row r="52" spans="1:34" ht="15" x14ac:dyDescent="0.2">
      <c r="E52" s="400" t="s">
        <v>194</v>
      </c>
      <c r="F52" s="417"/>
      <c r="G52" s="417"/>
      <c r="H52" s="579"/>
      <c r="I52" s="656"/>
      <c r="J52" s="657"/>
      <c r="K52" s="657"/>
      <c r="L52" s="657"/>
      <c r="M52" s="658"/>
      <c r="N52" s="663">
        <v>7.0000000000000007E-2</v>
      </c>
      <c r="O52" s="659">
        <v>0.08</v>
      </c>
      <c r="P52" s="660">
        <v>0.06</v>
      </c>
      <c r="Q52" s="590">
        <v>0.05</v>
      </c>
      <c r="R52" s="580">
        <v>0.01</v>
      </c>
      <c r="S52" s="580">
        <v>0.01</v>
      </c>
      <c r="T52" s="580">
        <v>0.01</v>
      </c>
      <c r="U52" s="580">
        <v>0.01</v>
      </c>
      <c r="V52" s="580">
        <v>0.01</v>
      </c>
      <c r="W52" s="580">
        <v>0.01</v>
      </c>
      <c r="X52" s="580">
        <v>0.01</v>
      </c>
      <c r="Y52" s="580">
        <v>0.01</v>
      </c>
      <c r="Z52" s="580">
        <v>0.01</v>
      </c>
      <c r="AA52" s="580">
        <v>0.01</v>
      </c>
      <c r="AB52" s="580">
        <v>0.01</v>
      </c>
      <c r="AC52" s="580">
        <v>0.01</v>
      </c>
      <c r="AD52" s="580">
        <v>0.01</v>
      </c>
      <c r="AE52" s="580">
        <v>0.01</v>
      </c>
      <c r="AF52" s="580">
        <v>0.01</v>
      </c>
      <c r="AG52" s="580">
        <v>0.01</v>
      </c>
      <c r="AH52" s="580">
        <v>0.01</v>
      </c>
    </row>
    <row r="53" spans="1:34" ht="15" hidden="1" x14ac:dyDescent="0.2">
      <c r="E53" s="400" t="s">
        <v>224</v>
      </c>
      <c r="F53" s="417"/>
      <c r="G53" s="417"/>
      <c r="H53" s="589" t="s">
        <v>153</v>
      </c>
      <c r="I53" s="656"/>
      <c r="J53" s="657"/>
      <c r="K53" s="657"/>
      <c r="L53" s="657"/>
      <c r="M53" s="658"/>
      <c r="N53" s="663"/>
      <c r="O53" s="659"/>
      <c r="P53" s="664"/>
      <c r="Q53" s="590"/>
      <c r="R53" s="591">
        <f>IF($H$171="YES",38724,0)</f>
        <v>0</v>
      </c>
      <c r="S53" s="590">
        <v>0</v>
      </c>
      <c r="T53" s="590">
        <v>0</v>
      </c>
      <c r="U53" s="590">
        <v>0</v>
      </c>
      <c r="V53" s="590">
        <v>0</v>
      </c>
      <c r="W53" s="590">
        <v>0</v>
      </c>
      <c r="X53" s="590">
        <v>0</v>
      </c>
      <c r="Y53" s="590">
        <v>0</v>
      </c>
      <c r="Z53" s="590">
        <v>0</v>
      </c>
      <c r="AA53" s="590">
        <v>0</v>
      </c>
      <c r="AB53" s="590">
        <v>0</v>
      </c>
      <c r="AC53" s="590">
        <v>0</v>
      </c>
      <c r="AD53" s="590">
        <v>0</v>
      </c>
      <c r="AE53" s="590">
        <v>0</v>
      </c>
      <c r="AF53" s="590">
        <v>0</v>
      </c>
      <c r="AG53" s="590">
        <v>0</v>
      </c>
      <c r="AH53" s="590">
        <v>0</v>
      </c>
    </row>
    <row r="54" spans="1:34" ht="8.25" customHeight="1" x14ac:dyDescent="0.2">
      <c r="E54" s="417"/>
      <c r="F54" s="417"/>
      <c r="G54" s="417"/>
      <c r="H54" s="579"/>
      <c r="I54" s="98"/>
      <c r="J54" s="64"/>
      <c r="K54" s="64"/>
      <c r="L54" s="64"/>
      <c r="M54" s="64"/>
      <c r="N54" s="64"/>
      <c r="O54" s="665"/>
      <c r="P54" s="666"/>
      <c r="Q54" s="789"/>
      <c r="R54" s="789"/>
      <c r="S54" s="583"/>
      <c r="T54" s="583"/>
      <c r="U54" s="583"/>
      <c r="V54" s="583"/>
      <c r="W54" s="583"/>
      <c r="X54" s="583"/>
      <c r="Y54" s="583"/>
      <c r="Z54" s="583"/>
      <c r="AA54" s="583"/>
      <c r="AB54" s="583"/>
      <c r="AC54" s="583"/>
      <c r="AD54" s="583"/>
      <c r="AE54" s="583"/>
      <c r="AF54" s="583"/>
      <c r="AG54" s="583"/>
      <c r="AH54" s="583"/>
    </row>
    <row r="55" spans="1:34" ht="15" x14ac:dyDescent="0.2">
      <c r="E55" s="402" t="s">
        <v>130</v>
      </c>
      <c r="F55" s="417"/>
      <c r="G55" s="417"/>
      <c r="H55" s="579"/>
      <c r="I55" s="656"/>
      <c r="J55" s="657"/>
      <c r="K55" s="657"/>
      <c r="L55" s="657"/>
      <c r="M55" s="667"/>
      <c r="N55" s="667"/>
      <c r="O55" s="668"/>
      <c r="P55" s="669"/>
      <c r="Q55" s="590"/>
      <c r="R55" s="590"/>
      <c r="S55" s="580"/>
      <c r="T55" s="580"/>
      <c r="U55" s="580"/>
      <c r="V55" s="580"/>
      <c r="W55" s="580"/>
      <c r="X55" s="580"/>
      <c r="Y55" s="580"/>
      <c r="Z55" s="580"/>
      <c r="AA55" s="580"/>
      <c r="AB55" s="580"/>
      <c r="AC55" s="580"/>
      <c r="AD55" s="580"/>
      <c r="AE55" s="580"/>
      <c r="AF55" s="580"/>
      <c r="AG55" s="580"/>
      <c r="AH55" s="580"/>
    </row>
    <row r="56" spans="1:34" ht="15" x14ac:dyDescent="0.2">
      <c r="A56" s="118"/>
      <c r="B56" s="118"/>
      <c r="C56" s="118"/>
      <c r="E56" s="400" t="s">
        <v>176</v>
      </c>
      <c r="F56" s="417"/>
      <c r="G56" s="417"/>
      <c r="H56" s="579"/>
      <c r="I56" s="656"/>
      <c r="J56" s="657"/>
      <c r="K56" s="657"/>
      <c r="L56" s="657"/>
      <c r="M56" s="657"/>
      <c r="N56" s="657"/>
      <c r="O56" s="670">
        <v>2.3E-2</v>
      </c>
      <c r="P56" s="660">
        <v>0.03</v>
      </c>
      <c r="Q56" s="696">
        <v>0.06</v>
      </c>
      <c r="R56" s="580">
        <v>0.03</v>
      </c>
      <c r="S56" s="580">
        <v>0.03</v>
      </c>
      <c r="T56" s="580">
        <v>0.03</v>
      </c>
      <c r="U56" s="580">
        <v>0.03</v>
      </c>
      <c r="V56" s="580">
        <v>0.03</v>
      </c>
      <c r="W56" s="580">
        <v>0.03</v>
      </c>
      <c r="X56" s="580">
        <v>0.03</v>
      </c>
      <c r="Y56" s="580">
        <v>0.03</v>
      </c>
      <c r="Z56" s="580">
        <v>0.03</v>
      </c>
      <c r="AA56" s="580">
        <v>0.03</v>
      </c>
      <c r="AB56" s="580">
        <v>0.03</v>
      </c>
      <c r="AC56" s="580">
        <v>0.03</v>
      </c>
      <c r="AD56" s="580">
        <v>0.03</v>
      </c>
      <c r="AE56" s="580">
        <v>0.03</v>
      </c>
      <c r="AF56" s="580">
        <v>0.03</v>
      </c>
      <c r="AG56" s="580">
        <v>0.03</v>
      </c>
      <c r="AH56" s="580">
        <v>0.03</v>
      </c>
    </row>
    <row r="57" spans="1:34" ht="15" x14ac:dyDescent="0.2">
      <c r="E57" s="400" t="s">
        <v>149</v>
      </c>
      <c r="F57" s="417"/>
      <c r="G57" s="417"/>
      <c r="H57" s="585" t="s">
        <v>341</v>
      </c>
      <c r="I57" s="656"/>
      <c r="J57" s="657"/>
      <c r="K57" s="657"/>
      <c r="L57" s="657"/>
      <c r="M57" s="657"/>
      <c r="N57" s="657"/>
      <c r="O57" s="657"/>
      <c r="P57" s="660">
        <f>IF($H$58="RAW",Benefits!$P$29,Benefits!$P$30)</f>
        <v>0.35483870967741937</v>
      </c>
      <c r="Q57" s="591">
        <f>IF($H$58="UNCAPPED",Benefits!$Q$29,IF($H$58="CAPPED(16%)", Benefits!$Q$30,Benefits!$Q$31 ))</f>
        <v>0.36507936507936506</v>
      </c>
      <c r="R57" s="581">
        <f>IF($H$58="UNCAPPED",Benefits!$R$29,IF($H$58="CAPPED(16%)", Benefits!$R$30,Benefits!$R$31 ))</f>
        <v>0.375</v>
      </c>
      <c r="S57" s="581">
        <f>IF($H$58="UNCAPPED",Benefits!$S$29,IF($H$58="CAPPED(16%)", Benefits!$S$30,Benefits!$S$31 ))</f>
        <v>1.3364874999999996</v>
      </c>
      <c r="T57" s="581">
        <f ca="1">IF($H$58="UNCAPPED",Benefits!$T$29,IF($H$58="CAPPED(16%)", Benefits!$T$30,Benefits!$T$31 ))</f>
        <v>0.89958747244326442</v>
      </c>
      <c r="U57" s="581">
        <f ca="1">IF($H$58="UNCAPPED",Benefits!$U$29,IF($H$58="CAPPED(16%)", Benefits!$U$30,Benefits!$U$31 ))</f>
        <v>0.91632106447769868</v>
      </c>
      <c r="V57" s="581">
        <f ca="1">IF($H$58="UNCAPPED",Benefits!$V$29,IF($H$58="CAPPED(16%)", Benefits!$V$30,Benefits!$V$31 ))</f>
        <v>0.93396852275414377</v>
      </c>
      <c r="W57" s="581">
        <f ca="1">IF($H$58="UNCAPPED",Benefits!$W$29,IF($H$58="CAPPED(16%)", Benefits!$W$30,Benefits!$W$31 ))</f>
        <v>0.95256584820435164</v>
      </c>
      <c r="X57" s="581">
        <f ca="1">IF($H$58="UNCAPPED",Benefits!$X$29,IF($H$58="CAPPED(16%)", Benefits!$X$30,Benefits!$X$31 ))</f>
        <v>0.97215078533207533</v>
      </c>
      <c r="Y57" s="581">
        <f ca="1">IF($H$58="UNCAPPED",Benefits!$X$29,IF($H$58="CAPPED(16%)", Benefits!$X$30,Benefits!$X$31 ))</f>
        <v>0.97215078533207533</v>
      </c>
      <c r="Z57" s="581">
        <f ca="1">IF($H$58="UNCAPPED",Benefits!$X$29,IF($H$58="CAPPED(16%)", Benefits!$X$30,Benefits!$X$31 ))</f>
        <v>0.97215078533207533</v>
      </c>
      <c r="AA57" s="581">
        <f ca="1">IF($H$58="UNCAPPED",Benefits!$X$29,IF($H$58="CAPPED(16%)", Benefits!$X$30,Benefits!$X$31 ))</f>
        <v>0.97215078533207533</v>
      </c>
      <c r="AB57" s="581">
        <f ca="1">IF($H$58="UNCAPPED",Benefits!$X$29,IF($H$58="CAPPED(16%)", Benefits!$X$30,Benefits!$X$31 ))</f>
        <v>0.97215078533207533</v>
      </c>
      <c r="AC57" s="581">
        <f ca="1">IF($H$58="UNCAPPED",Benefits!$X$29,IF($H$58="CAPPED(16%)", Benefits!$X$30,Benefits!$X$31 ))</f>
        <v>0.97215078533207533</v>
      </c>
      <c r="AD57" s="581">
        <f ca="1">IF($H$58="UNCAPPED",Benefits!$X$29,IF($H$58="CAPPED(16%)", Benefits!$X$30,Benefits!$X$31 ))</f>
        <v>0.97215078533207533</v>
      </c>
      <c r="AE57" s="581">
        <f ca="1">IF($H$58="UNCAPPED",Benefits!$X$29,IF($H$58="CAPPED(16%)", Benefits!$X$30,Benefits!$X$31 ))</f>
        <v>0.97215078533207533</v>
      </c>
      <c r="AF57" s="581">
        <f ca="1">IF($H$58="UNCAPPED",Benefits!$X$29,IF($H$58="CAPPED(16%)", Benefits!$X$30,Benefits!$X$31 ))</f>
        <v>0.97215078533207533</v>
      </c>
      <c r="AG57" s="581">
        <f ca="1">IF($H$58="UNCAPPED",Benefits!$X$29,IF($H$58="CAPPED(16%)", Benefits!$X$30,Benefits!$X$31 ))</f>
        <v>0.97215078533207533</v>
      </c>
      <c r="AH57" s="581">
        <f ca="1">IF($H$58="UNCAPPED",Benefits!$X$29,IF($H$58="CAPPED(16%)", Benefits!$X$30,Benefits!$X$31 ))</f>
        <v>0.97215078533207533</v>
      </c>
    </row>
    <row r="58" spans="1:34" ht="15" hidden="1" x14ac:dyDescent="0.2">
      <c r="E58" s="400" t="s">
        <v>144</v>
      </c>
      <c r="F58" s="417"/>
      <c r="G58" s="417"/>
      <c r="H58" s="589" t="s">
        <v>153</v>
      </c>
      <c r="I58" s="656"/>
      <c r="J58" s="657"/>
      <c r="K58" s="657"/>
      <c r="L58" s="657"/>
      <c r="M58" s="657"/>
      <c r="N58" s="657"/>
      <c r="O58" s="657"/>
      <c r="P58" s="660">
        <v>0</v>
      </c>
      <c r="Q58" s="591">
        <f>IF($H$179="YES",25000,0)</f>
        <v>0</v>
      </c>
      <c r="R58" s="591">
        <f>IF($H$179="YES",25000,0)</f>
        <v>0</v>
      </c>
      <c r="S58" s="591">
        <f>IF($H$179="YES",0,0)</f>
        <v>0</v>
      </c>
      <c r="T58" s="591">
        <f>IF($H$179="YES",0,0)</f>
        <v>0</v>
      </c>
      <c r="U58" s="591">
        <v>0</v>
      </c>
      <c r="V58" s="591">
        <v>0</v>
      </c>
      <c r="W58" s="591">
        <v>0</v>
      </c>
      <c r="X58" s="591">
        <v>0</v>
      </c>
      <c r="Y58" s="591">
        <v>0</v>
      </c>
      <c r="Z58" s="591">
        <v>0</v>
      </c>
      <c r="AA58" s="591">
        <v>0</v>
      </c>
      <c r="AB58" s="591">
        <v>0</v>
      </c>
      <c r="AC58" s="591">
        <v>0</v>
      </c>
      <c r="AD58" s="591">
        <v>0</v>
      </c>
      <c r="AE58" s="591">
        <v>0</v>
      </c>
      <c r="AF58" s="591">
        <v>0</v>
      </c>
      <c r="AG58" s="591">
        <v>0</v>
      </c>
      <c r="AH58" s="591">
        <v>0</v>
      </c>
    </row>
    <row r="59" spans="1:34" ht="15" x14ac:dyDescent="0.2">
      <c r="E59" s="400" t="s">
        <v>179</v>
      </c>
      <c r="F59" s="417"/>
      <c r="G59" s="417"/>
      <c r="H59" s="579"/>
      <c r="I59" s="656"/>
      <c r="J59" s="657"/>
      <c r="K59" s="657"/>
      <c r="L59" s="657"/>
      <c r="M59" s="657"/>
      <c r="N59" s="657"/>
      <c r="O59" s="670">
        <v>0</v>
      </c>
      <c r="P59" s="660">
        <v>0</v>
      </c>
      <c r="Q59" s="696">
        <v>0</v>
      </c>
      <c r="R59" s="580">
        <v>0.03</v>
      </c>
      <c r="S59" s="580">
        <v>0.03</v>
      </c>
      <c r="T59" s="580">
        <v>0.03</v>
      </c>
      <c r="U59" s="580">
        <v>0.03</v>
      </c>
      <c r="V59" s="580">
        <v>0.03</v>
      </c>
      <c r="W59" s="580">
        <v>0.03</v>
      </c>
      <c r="X59" s="580">
        <v>0.03</v>
      </c>
      <c r="Y59" s="580">
        <v>0.03</v>
      </c>
      <c r="Z59" s="580">
        <v>0.03</v>
      </c>
      <c r="AA59" s="580">
        <v>0.03</v>
      </c>
      <c r="AB59" s="580">
        <v>0.03</v>
      </c>
      <c r="AC59" s="580">
        <v>0.03</v>
      </c>
      <c r="AD59" s="580">
        <v>0.03</v>
      </c>
      <c r="AE59" s="580">
        <v>0.03</v>
      </c>
      <c r="AF59" s="580">
        <v>0.03</v>
      </c>
      <c r="AG59" s="580">
        <v>0.03</v>
      </c>
      <c r="AH59" s="580">
        <v>0.03</v>
      </c>
    </row>
    <row r="60" spans="1:34" ht="11.25" x14ac:dyDescent="0.2"/>
    <row r="61" spans="1:34" s="641" customFormat="1" ht="11.25" x14ac:dyDescent="0.2">
      <c r="A61" s="215"/>
      <c r="B61" s="215"/>
      <c r="C61" s="215"/>
      <c r="D61" s="487"/>
      <c r="E61" s="687"/>
      <c r="P61" s="688"/>
      <c r="Q61" s="688"/>
      <c r="R61" s="688"/>
      <c r="S61" s="689"/>
      <c r="T61" s="689"/>
      <c r="U61" s="689"/>
      <c r="V61" s="689"/>
      <c r="W61" s="689"/>
      <c r="X61" s="689"/>
      <c r="Y61" s="690"/>
      <c r="Z61" s="690"/>
    </row>
    <row r="62" spans="1:34" ht="11.25" x14ac:dyDescent="0.2">
      <c r="P62" s="166"/>
      <c r="Q62" s="251"/>
      <c r="R62" s="166"/>
      <c r="S62" s="166"/>
      <c r="T62" s="166"/>
      <c r="U62" s="166"/>
      <c r="V62" s="166"/>
      <c r="W62" s="166"/>
      <c r="X62" s="166"/>
    </row>
    <row r="63" spans="1:34" ht="11.25" x14ac:dyDescent="0.2">
      <c r="R63" s="166"/>
      <c r="S63" s="166"/>
      <c r="T63" s="166"/>
      <c r="U63" s="166"/>
      <c r="V63" s="166"/>
      <c r="W63" s="166"/>
      <c r="X63" s="166"/>
    </row>
    <row r="64" spans="1:34" ht="11.25" x14ac:dyDescent="0.2">
      <c r="S64" s="166"/>
      <c r="T64" s="166"/>
      <c r="U64" s="166"/>
      <c r="V64" s="166"/>
      <c r="W64" s="166"/>
      <c r="X64" s="166"/>
    </row>
    <row r="65" spans="16:24" ht="11.25" x14ac:dyDescent="0.2"/>
    <row r="66" spans="16:24" ht="11.25" x14ac:dyDescent="0.2">
      <c r="R66" s="166"/>
      <c r="S66" s="166"/>
      <c r="T66" s="166"/>
      <c r="U66" s="166"/>
      <c r="V66" s="166"/>
      <c r="W66" s="166"/>
      <c r="X66" s="166"/>
    </row>
    <row r="67" spans="16:24" ht="11.25" x14ac:dyDescent="0.2">
      <c r="T67" s="166"/>
      <c r="U67" s="166"/>
      <c r="V67" s="166"/>
      <c r="W67" s="166"/>
      <c r="X67" s="166"/>
    </row>
    <row r="68" spans="16:24" ht="11.25" x14ac:dyDescent="0.2"/>
    <row r="69" spans="16:24" ht="11.25" x14ac:dyDescent="0.2"/>
    <row r="70" spans="16:24" ht="11.25" x14ac:dyDescent="0.2"/>
    <row r="71" spans="16:24" ht="11.25" x14ac:dyDescent="0.2"/>
    <row r="72" spans="16:24" ht="11.25" x14ac:dyDescent="0.2"/>
    <row r="73" spans="16:24" ht="11.25" x14ac:dyDescent="0.2"/>
    <row r="74" spans="16:24" ht="11.25" x14ac:dyDescent="0.2"/>
    <row r="75" spans="16:24" ht="11.25" x14ac:dyDescent="0.2"/>
    <row r="76" spans="16:24" ht="11.25" x14ac:dyDescent="0.2"/>
    <row r="77" spans="16:24" ht="11.25" x14ac:dyDescent="0.2"/>
    <row r="78" spans="16:24" ht="11.25" x14ac:dyDescent="0.2"/>
    <row r="79" spans="16:24" ht="11.25" x14ac:dyDescent="0.2">
      <c r="P79" s="12" t="s">
        <v>251</v>
      </c>
    </row>
  </sheetData>
  <scenarios current="0" show="0" sqref="R39:V39">
    <scenario name="Best Case" locked="1" count="10" user="adileq" comment="Created by adileq on 1/6/2013_x000a_Modified by adileq on 1/6/2013">
      <inputCells r="R47" val="0.06" numFmtId="173"/>
      <inputCells r="S47" val="0.06" numFmtId="173"/>
      <inputCells r="T47" val="0.06" numFmtId="173"/>
      <inputCells r="U47" val="0.06" numFmtId="173"/>
      <inputCells r="R45" val="0.05" numFmtId="173"/>
      <inputCells r="S45" val="0.05" numFmtId="173"/>
      <inputCells r="T45" val="0.05" numFmtId="173"/>
      <inputCells r="U45" val="0.05" numFmtId="173"/>
      <inputCells r="V45" undone="1" val="0.05" numFmtId="173"/>
      <inputCells r="V47" undone="1" val="0.06" numFmtId="173"/>
    </scenario>
  </scenarios>
  <dataValidations disablePrompts="1" count="3">
    <dataValidation type="list" allowBlank="1" showInputMessage="1" showErrorMessage="1" sqref="H50">
      <formula1>"BASE, To 30%"</formula1>
    </dataValidation>
    <dataValidation type="list" allowBlank="1" showInputMessage="1" showErrorMessage="1" sqref="H57">
      <formula1>"UNCAPPED, CAPPED(14%),CAPPED(16%)"</formula1>
    </dataValidation>
    <dataValidation type="list" allowBlank="1" showInputMessage="1" showErrorMessage="1" sqref="H53 H58">
      <formula1>"YES,NO"</formula1>
    </dataValidation>
  </dataValidations>
  <printOptions horizontalCentered="1"/>
  <pageMargins left="0.25" right="0.25" top="0.75" bottom="0.75" header="0.3" footer="0.3"/>
  <pageSetup scale="80" firstPageNumber="13" orientation="landscape" useFirstPageNumber="1" r:id="rId1"/>
  <headerFooter alignWithMargins="0">
    <oddFooter xml:space="preserve">&amp;R&amp;8&amp;D </oddFooter>
  </headerFooter>
  <colBreaks count="1" manualBreakCount="1">
    <brk id="24" max="1048575" man="1"/>
  </colBreaks>
  <ignoredErrors>
    <ignoredError sqref="P21:Q21" formulaRange="1"/>
    <ignoredError sqref="P50 P57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>
    <pageSetUpPr fitToPage="1"/>
  </sheetPr>
  <dimension ref="A1:AG54"/>
  <sheetViews>
    <sheetView showGridLines="0" topLeftCell="E3" zoomScaleNormal="100" zoomScaleSheetLayoutView="100" workbookViewId="0">
      <pane ySplit="7" topLeftCell="A10" activePane="bottomLeft" state="frozen"/>
      <selection activeCell="G56" sqref="G56"/>
      <selection pane="bottomLeft" activeCell="K14" sqref="K14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3" hidden="1" customWidth="1" outlineLevel="1"/>
    <col min="5" max="5" width="12.42578125" style="12" customWidth="1" collapsed="1"/>
    <col min="6" max="7" width="5.42578125" style="12" customWidth="1"/>
    <col min="8" max="8" width="10.85546875" style="12" customWidth="1"/>
    <col min="9" max="9" width="8.7109375" style="93" customWidth="1"/>
    <col min="10" max="10" width="12.7109375" style="12" customWidth="1"/>
    <col min="11" max="15" width="12.7109375" style="45" customWidth="1"/>
    <col min="16" max="16" width="12.7109375" style="45" bestFit="1" customWidth="1"/>
    <col min="17" max="17" width="12.7109375" style="45" customWidth="1"/>
    <col min="18" max="19" width="12.7109375" style="634" customWidth="1"/>
    <col min="20" max="21" width="12.7109375" style="633" customWidth="1"/>
    <col min="22" max="24" width="12.7109375" style="12" customWidth="1"/>
    <col min="25" max="25" width="12.42578125" style="45" bestFit="1" customWidth="1"/>
    <col min="26" max="26" width="10.7109375" style="12" bestFit="1" customWidth="1"/>
    <col min="27" max="27" width="13" style="12" bestFit="1" customWidth="1"/>
    <col min="28" max="29" width="5.42578125" style="12" bestFit="1" customWidth="1"/>
    <col min="30" max="30" width="6" style="12" bestFit="1" customWidth="1"/>
    <col min="31" max="33" width="4.5703125" style="12" bestFit="1" customWidth="1"/>
    <col min="34" max="16384" width="18.7109375" style="12"/>
  </cols>
  <sheetData>
    <row r="1" spans="1:33" s="1" customFormat="1" ht="11.25" outlineLevel="1" x14ac:dyDescent="0.2">
      <c r="I1" s="94"/>
      <c r="K1" s="35"/>
      <c r="L1" s="35"/>
      <c r="M1" s="35"/>
      <c r="N1" s="35"/>
      <c r="O1" s="35"/>
      <c r="P1" s="35"/>
      <c r="Q1" s="35"/>
      <c r="R1" s="626"/>
      <c r="S1" s="626"/>
      <c r="T1" s="627"/>
      <c r="U1" s="627"/>
      <c r="Y1" s="35"/>
    </row>
    <row r="2" spans="1:33" s="2" customFormat="1" ht="11.25" outlineLevel="1" x14ac:dyDescent="0.2">
      <c r="A2" s="1"/>
      <c r="B2" s="1"/>
      <c r="C2" s="1"/>
      <c r="I2" s="95"/>
      <c r="K2" s="592"/>
      <c r="L2" s="592"/>
      <c r="M2" s="592"/>
      <c r="N2" s="592"/>
      <c r="O2" s="592"/>
      <c r="P2" s="592"/>
      <c r="Q2" s="592"/>
      <c r="R2" s="628"/>
      <c r="S2" s="628"/>
      <c r="T2" s="629"/>
      <c r="U2" s="629"/>
      <c r="V2" s="226"/>
      <c r="W2" s="226"/>
      <c r="Y2" s="592"/>
    </row>
    <row r="3" spans="1:33" s="97" customFormat="1" ht="11.25" x14ac:dyDescent="0.2">
      <c r="A3" s="94"/>
      <c r="B3" s="94"/>
      <c r="C3" s="94"/>
      <c r="D3" s="100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631"/>
      <c r="S3" s="630"/>
      <c r="T3" s="630"/>
      <c r="U3" s="630"/>
      <c r="V3" s="96"/>
      <c r="W3" s="96"/>
      <c r="X3" s="96"/>
      <c r="Y3" s="96"/>
      <c r="Z3" s="96"/>
      <c r="AA3" s="96"/>
    </row>
    <row r="4" spans="1:33" s="5" customFormat="1" ht="18" x14ac:dyDescent="0.25">
      <c r="A4" s="1" t="s">
        <v>251</v>
      </c>
      <c r="B4" s="1"/>
      <c r="C4" s="1"/>
      <c r="D4" s="3"/>
      <c r="E4" s="4" t="s">
        <v>411</v>
      </c>
      <c r="I4" s="97"/>
      <c r="K4" s="233"/>
      <c r="L4" s="233"/>
      <c r="M4" s="233"/>
      <c r="N4" s="233"/>
      <c r="O4" s="233"/>
      <c r="P4" s="233"/>
      <c r="Q4" s="233"/>
      <c r="R4" s="631"/>
      <c r="S4" s="631"/>
      <c r="T4" s="6"/>
      <c r="U4" s="6"/>
      <c r="Y4" s="233"/>
    </row>
    <row r="5" spans="1:33" s="5" customFormat="1" ht="11.25" x14ac:dyDescent="0.2">
      <c r="A5" s="1"/>
      <c r="B5" s="1"/>
      <c r="C5" s="1"/>
      <c r="D5" s="3"/>
      <c r="E5" s="6" t="s">
        <v>0</v>
      </c>
      <c r="I5" s="97"/>
      <c r="J5" s="197">
        <v>2006</v>
      </c>
      <c r="K5" s="197"/>
      <c r="L5" s="197"/>
      <c r="M5" s="197"/>
      <c r="N5" s="197"/>
      <c r="O5" s="197"/>
      <c r="P5" s="197"/>
      <c r="Q5" s="197"/>
      <c r="R5" s="681"/>
      <c r="S5" s="638"/>
      <c r="T5" s="638"/>
      <c r="U5" s="638"/>
      <c r="V5" s="197"/>
      <c r="W5" s="197">
        <v>2019</v>
      </c>
      <c r="X5" s="197">
        <v>2020</v>
      </c>
      <c r="Y5" s="233"/>
    </row>
    <row r="6" spans="1:33" s="5" customFormat="1" ht="3" customHeight="1" x14ac:dyDescent="0.2">
      <c r="A6" s="1"/>
      <c r="B6" s="1"/>
      <c r="C6" s="1"/>
      <c r="D6" s="3"/>
      <c r="E6" s="6"/>
      <c r="I6" s="97"/>
      <c r="K6" s="233"/>
      <c r="L6" s="233"/>
      <c r="M6" s="233"/>
      <c r="N6" s="233"/>
      <c r="O6" s="233"/>
      <c r="P6" s="233"/>
      <c r="Q6" s="233"/>
      <c r="R6" s="631"/>
      <c r="S6" s="631"/>
      <c r="T6" s="6"/>
      <c r="U6" s="6"/>
      <c r="Y6" s="233"/>
    </row>
    <row r="7" spans="1:33" s="5" customFormat="1" ht="11.25" x14ac:dyDescent="0.2">
      <c r="A7" s="1"/>
      <c r="B7" s="1"/>
      <c r="C7" s="1"/>
      <c r="D7" s="3"/>
      <c r="I7" s="96"/>
      <c r="J7" s="8"/>
      <c r="K7" s="610"/>
      <c r="L7" s="610"/>
      <c r="M7" s="610"/>
      <c r="N7" s="615"/>
      <c r="O7" s="616"/>
      <c r="P7" s="616"/>
      <c r="Q7" s="616"/>
      <c r="R7" s="639"/>
      <c r="S7" s="639"/>
      <c r="T7" s="640"/>
      <c r="U7" s="640"/>
      <c r="V7" s="387"/>
      <c r="W7" s="387"/>
      <c r="X7" s="9"/>
      <c r="Y7" s="233"/>
    </row>
    <row r="8" spans="1:33" s="5" customFormat="1" ht="11.25" x14ac:dyDescent="0.2">
      <c r="A8" s="1"/>
      <c r="B8" s="1"/>
      <c r="C8" s="1"/>
      <c r="D8" s="3"/>
      <c r="I8" s="96"/>
      <c r="J8" s="60">
        <f t="shared" ref="J8:AA8" si="0">J9-CurrentFiscalYear</f>
        <v>-3</v>
      </c>
      <c r="K8" s="60">
        <f t="shared" si="0"/>
        <v>-2</v>
      </c>
      <c r="L8" s="60">
        <f t="shared" si="0"/>
        <v>-1</v>
      </c>
      <c r="M8" s="60">
        <f t="shared" si="0"/>
        <v>0</v>
      </c>
      <c r="N8" s="60">
        <f t="shared" si="0"/>
        <v>1</v>
      </c>
      <c r="O8" s="60">
        <f t="shared" si="0"/>
        <v>2</v>
      </c>
      <c r="P8" s="60">
        <f t="shared" si="0"/>
        <v>3</v>
      </c>
      <c r="Q8" s="60">
        <f t="shared" si="0"/>
        <v>4</v>
      </c>
      <c r="R8" s="60">
        <f t="shared" si="0"/>
        <v>5</v>
      </c>
      <c r="S8" s="60">
        <f t="shared" si="0"/>
        <v>6</v>
      </c>
      <c r="T8" s="60">
        <f t="shared" si="0"/>
        <v>7</v>
      </c>
      <c r="U8" s="60">
        <f t="shared" si="0"/>
        <v>8</v>
      </c>
      <c r="V8" s="60">
        <f t="shared" si="0"/>
        <v>9</v>
      </c>
      <c r="W8" s="60">
        <f t="shared" si="0"/>
        <v>10</v>
      </c>
      <c r="X8" s="60">
        <f t="shared" si="0"/>
        <v>11</v>
      </c>
      <c r="Y8" s="60">
        <f t="shared" si="0"/>
        <v>12</v>
      </c>
      <c r="Z8" s="60">
        <f t="shared" si="0"/>
        <v>13</v>
      </c>
      <c r="AA8" s="60">
        <f t="shared" si="0"/>
        <v>14</v>
      </c>
    </row>
    <row r="9" spans="1:33" s="5" customFormat="1" ht="11.25" x14ac:dyDescent="0.2">
      <c r="A9" s="1"/>
      <c r="B9" s="1"/>
      <c r="C9" s="1"/>
      <c r="D9" s="3"/>
      <c r="I9" s="96"/>
      <c r="J9" s="10">
        <v>2013</v>
      </c>
      <c r="K9" s="280">
        <f t="shared" ref="K9:Q9" si="1">J9+1</f>
        <v>2014</v>
      </c>
      <c r="L9" s="280">
        <f t="shared" si="1"/>
        <v>2015</v>
      </c>
      <c r="M9" s="139">
        <f t="shared" si="1"/>
        <v>2016</v>
      </c>
      <c r="N9" s="139">
        <f t="shared" si="1"/>
        <v>2017</v>
      </c>
      <c r="O9" s="139">
        <f t="shared" si="1"/>
        <v>2018</v>
      </c>
      <c r="P9" s="139">
        <f t="shared" si="1"/>
        <v>2019</v>
      </c>
      <c r="Q9" s="139">
        <f t="shared" si="1"/>
        <v>2020</v>
      </c>
      <c r="R9" s="139">
        <f t="shared" ref="R9:AA9" si="2">Q9+1</f>
        <v>2021</v>
      </c>
      <c r="S9" s="139">
        <f t="shared" si="2"/>
        <v>2022</v>
      </c>
      <c r="T9" s="139">
        <f t="shared" si="2"/>
        <v>2023</v>
      </c>
      <c r="U9" s="139">
        <f t="shared" si="2"/>
        <v>2024</v>
      </c>
      <c r="V9" s="139">
        <f t="shared" si="2"/>
        <v>2025</v>
      </c>
      <c r="W9" s="139">
        <f t="shared" si="2"/>
        <v>2026</v>
      </c>
      <c r="X9" s="139">
        <f t="shared" si="2"/>
        <v>2027</v>
      </c>
      <c r="Y9" s="139">
        <f t="shared" si="2"/>
        <v>2028</v>
      </c>
      <c r="Z9" s="139">
        <f t="shared" si="2"/>
        <v>2029</v>
      </c>
      <c r="AA9" s="139">
        <f t="shared" si="2"/>
        <v>2030</v>
      </c>
    </row>
    <row r="10" spans="1:33" s="5" customFormat="1" ht="3" customHeight="1" x14ac:dyDescent="0.2">
      <c r="A10" s="1"/>
      <c r="B10" s="1"/>
      <c r="C10" s="1"/>
      <c r="D10" s="3"/>
      <c r="I10" s="97"/>
      <c r="K10" s="233"/>
      <c r="L10" s="233"/>
      <c r="M10" s="233"/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</row>
    <row r="11" spans="1:33" s="5" customFormat="1" ht="11.25" x14ac:dyDescent="0.2">
      <c r="A11" s="1"/>
      <c r="B11" s="1"/>
      <c r="C11" s="1"/>
      <c r="D11" s="3"/>
      <c r="E11" s="13" t="s">
        <v>126</v>
      </c>
      <c r="I11" s="97"/>
      <c r="K11" s="233"/>
      <c r="L11" s="233"/>
      <c r="M11" s="233"/>
      <c r="N11" s="233"/>
      <c r="O11" s="233"/>
      <c r="P11" s="233"/>
      <c r="Q11" s="233"/>
      <c r="R11" s="233"/>
      <c r="S11" s="233"/>
      <c r="T11" s="233"/>
      <c r="U11" s="233"/>
      <c r="V11" s="233"/>
      <c r="W11" s="233"/>
      <c r="X11" s="233"/>
      <c r="Y11" s="233"/>
      <c r="Z11" s="233"/>
      <c r="AA11" s="233"/>
    </row>
    <row r="12" spans="1:33" s="5" customFormat="1" ht="3" customHeight="1" x14ac:dyDescent="0.2">
      <c r="A12" s="1"/>
      <c r="B12" s="1"/>
      <c r="C12" s="1"/>
      <c r="D12" s="3"/>
      <c r="I12" s="97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</row>
    <row r="13" spans="1:33" ht="11.25" outlineLevel="1" x14ac:dyDescent="0.2">
      <c r="E13" s="63" t="s">
        <v>24</v>
      </c>
      <c r="F13" s="64"/>
      <c r="G13" s="64"/>
      <c r="H13" s="59"/>
      <c r="I13" s="98"/>
      <c r="J13" s="440">
        <f>'1. SRECNA'!Q13</f>
        <v>440000</v>
      </c>
      <c r="K13" s="611">
        <f>'2. MD&amp;A'!R13</f>
        <v>460000</v>
      </c>
      <c r="L13" s="611">
        <f>'2. MD&amp;A'!S13</f>
        <v>460000</v>
      </c>
      <c r="M13" s="611">
        <f ca="1">'2. MD&amp;A'!T13</f>
        <v>-168989.43780000161</v>
      </c>
      <c r="N13" s="611">
        <f ca="1">'2. MD&amp;A'!U13</f>
        <v>-168969.70516345365</v>
      </c>
      <c r="O13" s="611">
        <f ca="1">'2. MD&amp;A'!V13</f>
        <v>-168949.27107262224</v>
      </c>
      <c r="P13" s="611">
        <f ca="1">'2. MD&amp;A'!W13</f>
        <v>-168928.15629328266</v>
      </c>
      <c r="Q13" s="611">
        <f ca="1">'2. MD&amp;A'!X13</f>
        <v>-168906.33832844891</v>
      </c>
      <c r="R13" s="611">
        <f ca="1">'2. MD&amp;A'!Y13</f>
        <v>-168887.33157291831</v>
      </c>
      <c r="S13" s="611">
        <f ca="1">'2. MD&amp;A'!Z13</f>
        <v>-168868.07235005967</v>
      </c>
      <c r="T13" s="611">
        <f ca="1">'2. MD&amp;A'!AA13</f>
        <v>-168842.9211355953</v>
      </c>
      <c r="U13" s="611">
        <f ca="1">'2. MD&amp;A'!AB13</f>
        <v>-168815.9459442909</v>
      </c>
      <c r="V13" s="611">
        <f ca="1">'2. MD&amp;A'!AC13</f>
        <v>-168786.89405977342</v>
      </c>
      <c r="W13" s="611">
        <f ca="1">'2. MD&amp;A'!AD13</f>
        <v>-168755.47391148011</v>
      </c>
      <c r="X13" s="611">
        <f ca="1">'2. MD&amp;A'!AE13</f>
        <v>-168721.34762016509</v>
      </c>
      <c r="Y13" s="611">
        <f ca="1">'2. MD&amp;A'!AF13</f>
        <v>-168684.12209471193</v>
      </c>
      <c r="Z13" s="611">
        <f ca="1">'2. MD&amp;A'!AG13</f>
        <v>-168643.33835853369</v>
      </c>
      <c r="AA13" s="611">
        <f ca="1">'2. MD&amp;A'!AH13</f>
        <v>-168598.4587106999</v>
      </c>
    </row>
    <row r="14" spans="1:33" ht="11.25" outlineLevel="1" x14ac:dyDescent="0.2">
      <c r="E14" s="63" t="s">
        <v>25</v>
      </c>
      <c r="F14" s="64"/>
      <c r="G14" s="64"/>
      <c r="H14" s="64"/>
      <c r="I14" s="98"/>
      <c r="J14" s="440">
        <f>'1. SRECNA'!Q70</f>
        <v>115000</v>
      </c>
      <c r="K14" s="611">
        <f>'2. MD&amp;A'!R14</f>
        <v>120000</v>
      </c>
      <c r="L14" s="611">
        <f>'2. MD&amp;A'!S14</f>
        <v>120000</v>
      </c>
      <c r="M14" s="611">
        <f>'2. MD&amp;A'!T14</f>
        <v>344600</v>
      </c>
      <c r="N14" s="611">
        <f ca="1">'2. MD&amp;A'!U14</f>
        <v>354938</v>
      </c>
      <c r="O14" s="611">
        <f ca="1">'2. MD&amp;A'!V14</f>
        <v>365586.14</v>
      </c>
      <c r="P14" s="611">
        <f ca="1">'2. MD&amp;A'!W14</f>
        <v>376553.7242</v>
      </c>
      <c r="Q14" s="611">
        <f ca="1">'2. MD&amp;A'!X14</f>
        <v>387850.33592600003</v>
      </c>
      <c r="R14" s="611">
        <f ca="1">'2. MD&amp;A'!Y14</f>
        <v>399485.84600378003</v>
      </c>
      <c r="S14" s="611">
        <f ca="1">'2. MD&amp;A'!Z14</f>
        <v>411470.42138389341</v>
      </c>
      <c r="T14" s="611">
        <f ca="1">'2. MD&amp;A'!AA14</f>
        <v>423814.53402541025</v>
      </c>
      <c r="U14" s="611">
        <f ca="1">'2. MD&amp;A'!AB14</f>
        <v>436528.97004617256</v>
      </c>
      <c r="V14" s="611">
        <f ca="1">'2. MD&amp;A'!AC14</f>
        <v>449624.83914755774</v>
      </c>
      <c r="W14" s="611">
        <f ca="1">'2. MD&amp;A'!AD14</f>
        <v>463113.5843219845</v>
      </c>
      <c r="X14" s="611">
        <f ca="1">'2. MD&amp;A'!AE14</f>
        <v>477006.99185164407</v>
      </c>
      <c r="Y14" s="611">
        <f ca="1">'2. MD&amp;A'!AF14</f>
        <v>491317.20160719339</v>
      </c>
      <c r="Z14" s="611">
        <f ca="1">'2. MD&amp;A'!AG14</f>
        <v>506056.71765540919</v>
      </c>
      <c r="AA14" s="611">
        <f ca="1">'2. MD&amp;A'!AH14</f>
        <v>521238.41918507149</v>
      </c>
      <c r="AB14" s="165"/>
      <c r="AC14" s="165"/>
      <c r="AD14" s="165"/>
      <c r="AE14" s="165"/>
      <c r="AF14" s="165"/>
      <c r="AG14" s="165"/>
    </row>
    <row r="15" spans="1:33" ht="11.25" outlineLevel="1" x14ac:dyDescent="0.2">
      <c r="E15" s="30" t="s">
        <v>78</v>
      </c>
      <c r="I15" s="93" t="s">
        <v>98</v>
      </c>
      <c r="J15" s="440">
        <f>'1. SRECNA'!Q74</f>
        <v>5000</v>
      </c>
      <c r="K15" s="611">
        <f>'2. MD&amp;A'!R15</f>
        <v>5000</v>
      </c>
      <c r="L15" s="611">
        <f>'2. MD&amp;A'!S15</f>
        <v>5000</v>
      </c>
      <c r="M15" s="611">
        <f ca="1">'2. MD&amp;A'!T15</f>
        <v>5125</v>
      </c>
      <c r="N15" s="611">
        <f ca="1">'2. MD&amp;A'!U15</f>
        <v>5253.1249999999991</v>
      </c>
      <c r="O15" s="611">
        <f ca="1">'2. MD&amp;A'!V15</f>
        <v>5384.4531249999982</v>
      </c>
      <c r="P15" s="611">
        <f ca="1">'2. MD&amp;A'!W15</f>
        <v>5519.0644531249973</v>
      </c>
      <c r="Q15" s="611">
        <f ca="1">'2. MD&amp;A'!X15</f>
        <v>5657.0410644531221</v>
      </c>
      <c r="R15" s="611">
        <f ca="1">'2. MD&amp;A'!Y15</f>
        <v>5798.46709106445</v>
      </c>
      <c r="S15" s="611">
        <f ca="1">'2. MD&amp;A'!Z15</f>
        <v>5943.4287683410603</v>
      </c>
      <c r="T15" s="611">
        <f ca="1">'2. MD&amp;A'!AA15</f>
        <v>6092.0144875495862</v>
      </c>
      <c r="U15" s="611">
        <f ca="1">'2. MD&amp;A'!AB15</f>
        <v>6244.3148497383254</v>
      </c>
      <c r="V15" s="611">
        <f ca="1">'2. MD&amp;A'!AC15</f>
        <v>6400.4227209817827</v>
      </c>
      <c r="W15" s="611">
        <f ca="1">'2. MD&amp;A'!AD15</f>
        <v>6560.433289006327</v>
      </c>
      <c r="X15" s="611">
        <f ca="1">'2. MD&amp;A'!AE15</f>
        <v>6724.4441212314841</v>
      </c>
      <c r="Y15" s="611">
        <f ca="1">'2. MD&amp;A'!AF15</f>
        <v>6892.5552242622707</v>
      </c>
      <c r="Z15" s="611">
        <f ca="1">'2. MD&amp;A'!AG15</f>
        <v>7064.869104868827</v>
      </c>
      <c r="AA15" s="611">
        <f ca="1">'2. MD&amp;A'!AH15</f>
        <v>7241.4908324905473</v>
      </c>
      <c r="AB15" s="165"/>
      <c r="AC15" s="165"/>
      <c r="AD15" s="165"/>
      <c r="AE15" s="165"/>
      <c r="AF15" s="165"/>
      <c r="AG15" s="165"/>
    </row>
    <row r="16" spans="1:33" ht="11.25" outlineLevel="1" x14ac:dyDescent="0.2">
      <c r="E16" s="30" t="s">
        <v>173</v>
      </c>
      <c r="H16" s="92"/>
      <c r="I16" s="93" t="s">
        <v>98</v>
      </c>
      <c r="J16" s="440">
        <f>'1. SRECNA'!Q24</f>
        <v>215000</v>
      </c>
      <c r="K16" s="611">
        <f>'2. MD&amp;A'!R16</f>
        <v>220000</v>
      </c>
      <c r="L16" s="611">
        <f>'2. MD&amp;A'!S16</f>
        <v>220000</v>
      </c>
      <c r="M16" s="611">
        <f ca="1">'2. MD&amp;A'!T16</f>
        <v>225499.99999999997</v>
      </c>
      <c r="N16" s="611">
        <f ca="1">'2. MD&amp;A'!U16</f>
        <v>231137.49999999994</v>
      </c>
      <c r="O16" s="611">
        <f ca="1">'2. MD&amp;A'!V16</f>
        <v>236915.93749999991</v>
      </c>
      <c r="P16" s="611">
        <f ca="1">'2. MD&amp;A'!W16</f>
        <v>242838.83593749988</v>
      </c>
      <c r="Q16" s="611">
        <f ca="1">'2. MD&amp;A'!X16</f>
        <v>248909.80683593737</v>
      </c>
      <c r="R16" s="611">
        <f ca="1">'2. MD&amp;A'!Y16</f>
        <v>255132.55200683579</v>
      </c>
      <c r="S16" s="611">
        <f ca="1">'2. MD&amp;A'!Z16</f>
        <v>261510.86580700666</v>
      </c>
      <c r="T16" s="611">
        <f ca="1">'2. MD&amp;A'!AA16</f>
        <v>268048.63745218178</v>
      </c>
      <c r="U16" s="611">
        <f ca="1">'2. MD&amp;A'!AB16</f>
        <v>274749.85338848631</v>
      </c>
      <c r="V16" s="611">
        <f ca="1">'2. MD&amp;A'!AC16</f>
        <v>281618.59972319845</v>
      </c>
      <c r="W16" s="611">
        <f ca="1">'2. MD&amp;A'!AD16</f>
        <v>288659.0647162784</v>
      </c>
      <c r="X16" s="611">
        <f ca="1">'2. MD&amp;A'!AE16</f>
        <v>295875.54133418534</v>
      </c>
      <c r="Y16" s="611">
        <f ca="1">'2. MD&amp;A'!AF16</f>
        <v>303272.42986753996</v>
      </c>
      <c r="Z16" s="611">
        <f ca="1">'2. MD&amp;A'!AG16</f>
        <v>310854.24061422842</v>
      </c>
      <c r="AA16" s="611">
        <f ca="1">'2. MD&amp;A'!AH16</f>
        <v>318625.59662958409</v>
      </c>
      <c r="AB16" s="165"/>
      <c r="AC16" s="165"/>
      <c r="AD16" s="165"/>
      <c r="AE16" s="165"/>
      <c r="AF16" s="165"/>
      <c r="AG16" s="165"/>
    </row>
    <row r="17" spans="5:33" ht="11.25" outlineLevel="1" x14ac:dyDescent="0.2">
      <c r="E17" s="30" t="s">
        <v>174</v>
      </c>
      <c r="H17" s="92"/>
      <c r="J17" s="440">
        <f>SUM('1. SRECNA'!Q25:Q27)</f>
        <v>245000</v>
      </c>
      <c r="K17" s="611">
        <f>'2. MD&amp;A'!R17</f>
        <v>260000</v>
      </c>
      <c r="L17" s="611">
        <f>'2. MD&amp;A'!S17</f>
        <v>260000</v>
      </c>
      <c r="M17" s="611">
        <f ca="1">'2. MD&amp;A'!T17</f>
        <v>266500</v>
      </c>
      <c r="N17" s="611">
        <f ca="1">'2. MD&amp;A'!U17</f>
        <v>273162.49999999994</v>
      </c>
      <c r="O17" s="611">
        <f ca="1">'2. MD&amp;A'!V17</f>
        <v>279991.56249999988</v>
      </c>
      <c r="P17" s="611">
        <f ca="1">'2. MD&amp;A'!W17</f>
        <v>286991.35156249988</v>
      </c>
      <c r="Q17" s="611">
        <f ca="1">'2. MD&amp;A'!X17</f>
        <v>294166.13535156235</v>
      </c>
      <c r="R17" s="611">
        <f ca="1">'2. MD&amp;A'!Y17</f>
        <v>301520.28873535141</v>
      </c>
      <c r="S17" s="611">
        <f ca="1">'2. MD&amp;A'!Z17</f>
        <v>309058.29595373519</v>
      </c>
      <c r="T17" s="611">
        <f ca="1">'2. MD&amp;A'!AA17</f>
        <v>316784.7533525785</v>
      </c>
      <c r="U17" s="611">
        <f ca="1">'2. MD&amp;A'!AB17</f>
        <v>324704.37218639295</v>
      </c>
      <c r="V17" s="611">
        <f ca="1">'2. MD&amp;A'!AC17</f>
        <v>332821.98149105278</v>
      </c>
      <c r="W17" s="611">
        <f ca="1">'2. MD&amp;A'!AD17</f>
        <v>341142.53102832905</v>
      </c>
      <c r="X17" s="611">
        <f ca="1">'2. MD&amp;A'!AE17</f>
        <v>349671.09430403722</v>
      </c>
      <c r="Y17" s="611">
        <f ca="1">'2. MD&amp;A'!AF17</f>
        <v>358412.87166163808</v>
      </c>
      <c r="Z17" s="611">
        <f ca="1">'2. MD&amp;A'!AG17</f>
        <v>367373.19345317897</v>
      </c>
      <c r="AA17" s="611">
        <f ca="1">'2. MD&amp;A'!AH17</f>
        <v>376557.52328950848</v>
      </c>
      <c r="AB17" s="165"/>
      <c r="AC17" s="165"/>
      <c r="AD17" s="165"/>
      <c r="AE17" s="165"/>
      <c r="AF17" s="165"/>
      <c r="AG17" s="165"/>
    </row>
    <row r="18" spans="5:33" ht="11.25" outlineLevel="1" x14ac:dyDescent="0.2">
      <c r="E18" s="30" t="s">
        <v>211</v>
      </c>
      <c r="H18" s="92"/>
      <c r="I18" s="93" t="s">
        <v>98</v>
      </c>
      <c r="J18" s="440">
        <f>'1. SRECNA'!Q29+'1. SRECNA'!Q30</f>
        <v>180000</v>
      </c>
      <c r="K18" s="611">
        <f>'2. MD&amp;A'!R18</f>
        <v>190000</v>
      </c>
      <c r="L18" s="611">
        <f>'2. MD&amp;A'!S18</f>
        <v>190000</v>
      </c>
      <c r="M18" s="611">
        <f ca="1">'2. MD&amp;A'!T18</f>
        <v>197450</v>
      </c>
      <c r="N18" s="611">
        <f ca="1">'2. MD&amp;A'!U18</f>
        <v>205234.74999999997</v>
      </c>
      <c r="O18" s="611">
        <f ca="1">'2. MD&amp;A'!V18</f>
        <v>213370.78624999995</v>
      </c>
      <c r="P18" s="611">
        <f ca="1">'2. MD&amp;A'!W18</f>
        <v>221875.50761874992</v>
      </c>
      <c r="Q18" s="611">
        <f ca="1">'2. MD&amp;A'!X18</f>
        <v>230767.22186590615</v>
      </c>
      <c r="R18" s="611">
        <f ca="1">'2. MD&amp;A'!Y18</f>
        <v>240065.19442985911</v>
      </c>
      <c r="S18" s="611">
        <f ca="1">'2. MD&amp;A'!Z18</f>
        <v>249789.69986886266</v>
      </c>
      <c r="T18" s="611">
        <f ca="1">'2. MD&amp;A'!AA18</f>
        <v>259962.07610064547</v>
      </c>
      <c r="U18" s="611">
        <f ca="1">'2. MD&amp;A'!AB18</f>
        <v>270604.78159365116</v>
      </c>
      <c r="V18" s="611">
        <f ca="1">'2. MD&amp;A'!AC18</f>
        <v>281741.45567145897</v>
      </c>
      <c r="W18" s="611">
        <f ca="1">'2. MD&amp;A'!AD18</f>
        <v>293396.98210080015</v>
      </c>
      <c r="X18" s="611">
        <f ca="1">'2. MD&amp;A'!AE18</f>
        <v>305597.5561429403</v>
      </c>
      <c r="Y18" s="611">
        <f ca="1">'2. MD&amp;A'!AF18</f>
        <v>318370.75525806309</v>
      </c>
      <c r="Z18" s="611">
        <f ca="1">'2. MD&amp;A'!AG18</f>
        <v>331745.61366269918</v>
      </c>
      <c r="AA18" s="611">
        <f ca="1">'2. MD&amp;A'!AH18</f>
        <v>345752.70095122629</v>
      </c>
      <c r="AB18" s="165"/>
      <c r="AC18" s="165"/>
      <c r="AD18" s="165"/>
      <c r="AE18" s="165"/>
      <c r="AF18" s="165"/>
      <c r="AG18" s="165"/>
    </row>
    <row r="19" spans="5:33" ht="11.25" outlineLevel="1" x14ac:dyDescent="0.2">
      <c r="E19" s="30" t="s">
        <v>27</v>
      </c>
      <c r="J19" s="440">
        <f>'1. SRECNA'!Q75</f>
        <v>95000</v>
      </c>
      <c r="K19" s="611">
        <f>'2. MD&amp;A'!R19</f>
        <v>100000</v>
      </c>
      <c r="L19" s="611">
        <f>'2. MD&amp;A'!S19</f>
        <v>100000</v>
      </c>
      <c r="M19" s="611">
        <f ca="1">'2. MD&amp;A'!T19</f>
        <v>103499.99999999999</v>
      </c>
      <c r="N19" s="611">
        <f ca="1">'2. MD&amp;A'!U19</f>
        <v>107122.49999999997</v>
      </c>
      <c r="O19" s="611">
        <f ca="1">'2. MD&amp;A'!V19</f>
        <v>110871.78749999996</v>
      </c>
      <c r="P19" s="611">
        <f ca="1">'2. MD&amp;A'!W19</f>
        <v>114752.30006249995</v>
      </c>
      <c r="Q19" s="611">
        <f ca="1">'2. MD&amp;A'!X19</f>
        <v>118768.63056468744</v>
      </c>
      <c r="R19" s="611">
        <f ca="1">'2. MD&amp;A'!Y19</f>
        <v>122925.53263445149</v>
      </c>
      <c r="S19" s="611">
        <f ca="1">'2. MD&amp;A'!Z19</f>
        <v>127227.92627665728</v>
      </c>
      <c r="T19" s="611">
        <f ca="1">'2. MD&amp;A'!AA19</f>
        <v>131680.90369634028</v>
      </c>
      <c r="U19" s="611">
        <f ca="1">'2. MD&amp;A'!AB19</f>
        <v>136289.73532571219</v>
      </c>
      <c r="V19" s="611">
        <f ca="1">'2. MD&amp;A'!AC19</f>
        <v>141059.8760621121</v>
      </c>
      <c r="W19" s="611">
        <f ca="1">'2. MD&amp;A'!AD19</f>
        <v>145996.97172428601</v>
      </c>
      <c r="X19" s="611">
        <f ca="1">'2. MD&amp;A'!AE19</f>
        <v>151106.865734636</v>
      </c>
      <c r="Y19" s="611">
        <f ca="1">'2. MD&amp;A'!AF19</f>
        <v>156395.60603534823</v>
      </c>
      <c r="Z19" s="611">
        <f ca="1">'2. MD&amp;A'!AG19</f>
        <v>161869.4522465854</v>
      </c>
      <c r="AA19" s="611">
        <f ca="1">'2. MD&amp;A'!AH19</f>
        <v>167534.88307521588</v>
      </c>
      <c r="AB19" s="165"/>
      <c r="AC19" s="165"/>
      <c r="AD19" s="165"/>
      <c r="AE19" s="165"/>
      <c r="AF19" s="165"/>
      <c r="AG19" s="165"/>
    </row>
    <row r="20" spans="5:33" ht="11.25" outlineLevel="1" x14ac:dyDescent="0.2">
      <c r="E20" s="687" t="s">
        <v>128</v>
      </c>
      <c r="J20" s="440">
        <f>SUM('1. SRECNA'!Q77:Q79)</f>
        <v>75000</v>
      </c>
      <c r="K20" s="611">
        <f>SUM('1. SRECNA'!R77:R79)+23000</f>
        <v>98000</v>
      </c>
      <c r="L20" s="611">
        <f>SUM('1. SRECNA'!S77:S79)</f>
        <v>75000</v>
      </c>
      <c r="M20" s="611">
        <f ca="1">SUM('1. SRECNA'!T77:T79)</f>
        <v>29300</v>
      </c>
      <c r="N20" s="611">
        <f ca="1">SUM('1. SRECNA'!U77:U79)</f>
        <v>31199.4</v>
      </c>
      <c r="O20" s="611">
        <f ca="1">SUM('1. SRECNA'!V77:V79)</f>
        <v>32687.397799999999</v>
      </c>
      <c r="P20" s="611">
        <f ca="1">SUM('1. SRECNA'!W77:W79)</f>
        <v>33756.579470600002</v>
      </c>
      <c r="Q20" s="611">
        <f ca="1">SUM('1. SRECNA'!X77:X79)</f>
        <v>34403.0191992162</v>
      </c>
      <c r="R20" s="611">
        <f ca="1">SUM('1. SRECNA'!Y77:Y79)</f>
        <v>34626.35250271071</v>
      </c>
      <c r="S20" s="611">
        <f ca="1">SUM('1. SRECNA'!Z77:Z79)</f>
        <v>34848.42196457184</v>
      </c>
      <c r="T20" s="611">
        <f ca="1">SUM('1. SRECNA'!AA77:AA79)</f>
        <v>35084.148266573706</v>
      </c>
      <c r="U20" s="611">
        <f ca="1">SUM('1. SRECNA'!AB77:AB79)</f>
        <v>35345.257318009826</v>
      </c>
      <c r="V20" s="611">
        <f ca="1">SUM('1. SRECNA'!AC77:AC79)</f>
        <v>35640.097403574619</v>
      </c>
      <c r="W20" s="611">
        <f ca="1">SUM('1. SRECNA'!AD77:AD79)</f>
        <v>35973.509514953737</v>
      </c>
      <c r="X20" s="611">
        <f ca="1">SUM('1. SRECNA'!AE77:AE79)</f>
        <v>36346.753024426289</v>
      </c>
      <c r="Y20" s="611">
        <f ca="1">SUM('1. SRECNA'!AF77:AF79)</f>
        <v>36760.83701796121</v>
      </c>
      <c r="Z20" s="611">
        <f ca="1">SUM('1. SRECNA'!AG77:AG79)</f>
        <v>37216.631665685127</v>
      </c>
      <c r="AA20" s="611">
        <f ca="1">SUM('1. SRECNA'!AH77:AH79)</f>
        <v>37714.956360006123</v>
      </c>
      <c r="AB20" s="165"/>
      <c r="AC20" s="165"/>
      <c r="AD20" s="165"/>
      <c r="AE20" s="165"/>
      <c r="AF20" s="165"/>
      <c r="AG20" s="165"/>
    </row>
    <row r="21" spans="5:33" ht="11.25" outlineLevel="1" x14ac:dyDescent="0.2">
      <c r="E21" s="687" t="s">
        <v>127</v>
      </c>
      <c r="H21" s="55"/>
      <c r="J21" s="440">
        <f>SUM('1. SRECNA'!Q38,'1. SRECNA'!Q72:Q73)+'1. SRECNA'!Q83</f>
        <v>111000</v>
      </c>
      <c r="K21" s="611">
        <f>SUM('1. SRECNA'!R38,'1. SRECNA'!R72:R73)+'1. SRECNA'!R83</f>
        <v>116000</v>
      </c>
      <c r="L21" s="611">
        <f>SUM('1. SRECNA'!S38,'1. SRECNA'!S72:S73)+'1. SRECNA'!S83</f>
        <v>116000</v>
      </c>
      <c r="M21" s="611">
        <f ca="1">SUM('1. SRECNA'!T38,'1. SRECNA'!T72:T73)+'1. SRECNA'!T83</f>
        <v>111540</v>
      </c>
      <c r="N21" s="611">
        <f ca="1">SUM('1. SRECNA'!U38,'1. SRECNA'!U72:U73)+'1. SRECNA'!U83</f>
        <v>117384.1</v>
      </c>
      <c r="O21" s="611">
        <f ca="1">SUM('1. SRECNA'!V38,'1. SRECNA'!V72:V73)+'1. SRECNA'!V83</f>
        <v>123549.0015</v>
      </c>
      <c r="P21" s="611">
        <f ca="1">SUM('1. SRECNA'!W38,'1. SRECNA'!W72:W73)+'1. SRECNA'!W83</f>
        <v>130052.32362249999</v>
      </c>
      <c r="Q21" s="611">
        <f ca="1">SUM('1. SRECNA'!X38,'1. SRECNA'!X72:X73)+'1. SRECNA'!X83</f>
        <v>136912.65354333748</v>
      </c>
      <c r="R21" s="611">
        <f ca="1">SUM('1. SRECNA'!Y38,'1. SRECNA'!Y72:Y73)+'1. SRECNA'!Y83</f>
        <v>142885.28067618905</v>
      </c>
      <c r="S21" s="611">
        <f ca="1">SUM('1. SRECNA'!Z38,'1. SRECNA'!Z72:Z73)+'1. SRECNA'!Z83</f>
        <v>150469.91611337944</v>
      </c>
      <c r="T21" s="611">
        <f ca="1">SUM('1. SRECNA'!AA38,'1. SRECNA'!AA72:AA73)+'1. SRECNA'!AA83</f>
        <v>158471.65149961531</v>
      </c>
      <c r="U21" s="611">
        <f ca="1">SUM('1. SRECNA'!AB38,'1. SRECNA'!AB72:AB73)+'1. SRECNA'!AB83</f>
        <v>166913.42733209414</v>
      </c>
      <c r="V21" s="611">
        <f ca="1">SUM('1. SRECNA'!AC38,'1. SRECNA'!AC72:AC73)+'1. SRECNA'!AC83</f>
        <v>175819.44583535931</v>
      </c>
      <c r="W21" s="611">
        <f ca="1">SUM('1. SRECNA'!AD38,'1. SRECNA'!AD72:AD73)+'1. SRECNA'!AD83</f>
        <v>185215.24035630407</v>
      </c>
      <c r="X21" s="611">
        <f ca="1">SUM('1. SRECNA'!AE38,'1. SRECNA'!AE72:AE73)+'1. SRECNA'!AE83</f>
        <v>195127.7485759008</v>
      </c>
      <c r="Y21" s="611">
        <f ca="1">SUM('1. SRECNA'!AF38,'1. SRECNA'!AF72:AF73)+'1. SRECNA'!AF83</f>
        <v>205585.38974757533</v>
      </c>
      <c r="Z21" s="611">
        <f ca="1">SUM('1. SRECNA'!AG38,'1. SRECNA'!AG72:AG73)+'1. SRECNA'!AG83</f>
        <v>216618.14618369198</v>
      </c>
      <c r="AA21" s="611">
        <f ca="1">SUM('1. SRECNA'!AH38,'1. SRECNA'!AH72:AH73)+'1. SRECNA'!AH83</f>
        <v>228257.64922379502</v>
      </c>
      <c r="AB21" s="165"/>
      <c r="AC21" s="165"/>
      <c r="AD21" s="165"/>
      <c r="AE21" s="165"/>
      <c r="AF21" s="165"/>
      <c r="AG21" s="165"/>
    </row>
    <row r="22" spans="5:33" ht="3" customHeight="1" outlineLevel="1" x14ac:dyDescent="0.2">
      <c r="J22" s="441"/>
      <c r="R22" s="45"/>
      <c r="S22" s="45"/>
      <c r="T22" s="45"/>
      <c r="U22" s="45"/>
      <c r="V22" s="45"/>
      <c r="W22" s="45"/>
      <c r="X22" s="45"/>
      <c r="Z22" s="45"/>
      <c r="AA22" s="45"/>
      <c r="AB22" s="828"/>
      <c r="AC22" s="828"/>
      <c r="AD22" s="828"/>
      <c r="AE22" s="828"/>
      <c r="AF22" s="828"/>
      <c r="AG22" s="828"/>
    </row>
    <row r="23" spans="5:33" ht="11.25" x14ac:dyDescent="0.2">
      <c r="E23" s="617" t="s">
        <v>129</v>
      </c>
      <c r="F23" s="618"/>
      <c r="G23" s="618"/>
      <c r="H23" s="618"/>
      <c r="I23" s="619"/>
      <c r="J23" s="620">
        <f t="shared" ref="J23:O23" si="3">SUM(J13:J21)</f>
        <v>1481000</v>
      </c>
      <c r="K23" s="621">
        <f t="shared" si="3"/>
        <v>1569000</v>
      </c>
      <c r="L23" s="621">
        <f t="shared" si="3"/>
        <v>1546000</v>
      </c>
      <c r="M23" s="621">
        <f t="shared" ca="1" si="3"/>
        <v>1114525.5621999984</v>
      </c>
      <c r="N23" s="621">
        <f t="shared" ca="1" si="3"/>
        <v>1156462.1698365463</v>
      </c>
      <c r="O23" s="621">
        <f t="shared" ca="1" si="3"/>
        <v>1199407.7951023774</v>
      </c>
      <c r="P23" s="621">
        <f t="shared" ref="P23:AA23" ca="1" si="4">SUM(P13:P21)</f>
        <v>1243411.5306341921</v>
      </c>
      <c r="Q23" s="621">
        <f t="shared" ca="1" si="4"/>
        <v>1288528.5060226514</v>
      </c>
      <c r="R23" s="621">
        <f t="shared" ca="1" si="4"/>
        <v>1333552.1825073238</v>
      </c>
      <c r="S23" s="621">
        <f t="shared" ca="1" si="4"/>
        <v>1381450.9037863878</v>
      </c>
      <c r="T23" s="621">
        <f t="shared" ca="1" si="4"/>
        <v>1431095.7977452995</v>
      </c>
      <c r="U23" s="621">
        <f t="shared" ca="1" si="4"/>
        <v>1482564.7660959666</v>
      </c>
      <c r="V23" s="621">
        <f t="shared" ca="1" si="4"/>
        <v>1535939.8239955222</v>
      </c>
      <c r="W23" s="621">
        <f t="shared" ca="1" si="4"/>
        <v>1591302.8431404622</v>
      </c>
      <c r="X23" s="621">
        <f t="shared" ca="1" si="4"/>
        <v>1648735.6474688365</v>
      </c>
      <c r="Y23" s="621">
        <f t="shared" ca="1" si="4"/>
        <v>1708323.52432487</v>
      </c>
      <c r="Z23" s="621">
        <f t="shared" ca="1" si="4"/>
        <v>1770155.5262278134</v>
      </c>
      <c r="AA23" s="621">
        <f t="shared" ca="1" si="4"/>
        <v>1834324.7608361978</v>
      </c>
      <c r="AB23" s="828"/>
      <c r="AC23" s="828"/>
      <c r="AD23" s="828"/>
      <c r="AE23" s="828"/>
      <c r="AF23" s="828"/>
      <c r="AG23" s="828"/>
    </row>
    <row r="24" spans="5:33" ht="11.25" x14ac:dyDescent="0.2">
      <c r="J24" s="22"/>
      <c r="K24" s="613"/>
      <c r="L24" s="613"/>
      <c r="M24" s="613"/>
      <c r="N24" s="613"/>
      <c r="O24" s="613"/>
      <c r="P24" s="613"/>
      <c r="Q24" s="613"/>
      <c r="R24" s="613"/>
      <c r="S24" s="613"/>
      <c r="T24" s="613"/>
      <c r="U24" s="613"/>
      <c r="V24" s="613"/>
      <c r="W24" s="613"/>
      <c r="X24" s="613"/>
      <c r="Y24" s="613"/>
      <c r="Z24" s="613"/>
      <c r="AA24" s="613"/>
      <c r="AB24" s="828"/>
      <c r="AC24" s="828"/>
      <c r="AD24" s="828"/>
      <c r="AE24" s="828"/>
      <c r="AF24" s="828"/>
      <c r="AG24" s="828"/>
    </row>
    <row r="25" spans="5:33" ht="11.25" x14ac:dyDescent="0.2">
      <c r="E25" s="13" t="s">
        <v>130</v>
      </c>
      <c r="J25" s="441"/>
      <c r="R25" s="45"/>
      <c r="S25" s="45"/>
      <c r="T25" s="45"/>
      <c r="U25" s="45"/>
      <c r="V25" s="45"/>
      <c r="W25" s="45"/>
      <c r="X25" s="45"/>
      <c r="Z25" s="45"/>
      <c r="AA25" s="45"/>
      <c r="AB25" s="828"/>
      <c r="AC25" s="828"/>
      <c r="AD25" s="828"/>
      <c r="AE25" s="828"/>
      <c r="AF25" s="828"/>
      <c r="AG25" s="828"/>
    </row>
    <row r="26" spans="5:33" ht="3" customHeight="1" x14ac:dyDescent="0.2">
      <c r="J26" s="441"/>
      <c r="R26" s="45"/>
      <c r="S26" s="45"/>
      <c r="T26" s="45"/>
      <c r="U26" s="45"/>
      <c r="V26" s="45"/>
      <c r="W26" s="45"/>
      <c r="X26" s="45"/>
      <c r="Z26" s="45"/>
      <c r="AA26" s="45"/>
      <c r="AB26" s="828"/>
      <c r="AC26" s="828"/>
      <c r="AD26" s="828"/>
      <c r="AE26" s="828"/>
      <c r="AF26" s="828"/>
      <c r="AG26" s="828"/>
    </row>
    <row r="27" spans="5:33" ht="11.25" outlineLevel="1" x14ac:dyDescent="0.2">
      <c r="E27" s="30" t="s">
        <v>20</v>
      </c>
      <c r="H27" s="92"/>
      <c r="I27" s="93" t="s">
        <v>98</v>
      </c>
      <c r="J27" s="440">
        <f>'1. SRECNA'!Q44</f>
        <v>315000</v>
      </c>
      <c r="K27" s="440">
        <f>'1. SRECNA'!R44</f>
        <v>320000</v>
      </c>
      <c r="L27" s="440">
        <f>'1. SRECNA'!S44</f>
        <v>320000</v>
      </c>
      <c r="M27" s="440">
        <f ca="1">'1. SRECNA'!T44</f>
        <v>329600</v>
      </c>
      <c r="N27" s="440">
        <f ca="1">'1. SRECNA'!U44</f>
        <v>339488</v>
      </c>
      <c r="O27" s="440">
        <f ca="1">'1. SRECNA'!V44</f>
        <v>349672.64</v>
      </c>
      <c r="P27" s="440">
        <f ca="1">'1. SRECNA'!W44</f>
        <v>360162.81920000003</v>
      </c>
      <c r="Q27" s="440">
        <f ca="1">'1. SRECNA'!X44</f>
        <v>370967.70377600001</v>
      </c>
      <c r="R27" s="440">
        <f ca="1">'1. SRECNA'!Y44</f>
        <v>382096.73488927999</v>
      </c>
      <c r="S27" s="440">
        <f ca="1">'1. SRECNA'!Z44</f>
        <v>393559.63693595841</v>
      </c>
      <c r="T27" s="440">
        <f ca="1">'1. SRECNA'!AA44</f>
        <v>405366.42604403716</v>
      </c>
      <c r="U27" s="440">
        <f ca="1">'1. SRECNA'!AB44</f>
        <v>417527.41882535827</v>
      </c>
      <c r="V27" s="440">
        <f ca="1">'1. SRECNA'!AC44</f>
        <v>430053.24139011902</v>
      </c>
      <c r="W27" s="440">
        <f ca="1">'1. SRECNA'!AD44</f>
        <v>442954.83863182261</v>
      </c>
      <c r="X27" s="440">
        <f ca="1">'1. SRECNA'!AE44</f>
        <v>456243.48379077727</v>
      </c>
      <c r="Y27" s="440">
        <f ca="1">'1. SRECNA'!AF44</f>
        <v>469930.78830450063</v>
      </c>
      <c r="Z27" s="440">
        <f ca="1">'1. SRECNA'!AG44</f>
        <v>484028.71195363568</v>
      </c>
      <c r="AA27" s="440">
        <f ca="1">'1. SRECNA'!AH44</f>
        <v>498549.57331224479</v>
      </c>
      <c r="AB27" s="165"/>
      <c r="AC27" s="165"/>
      <c r="AD27" s="165"/>
      <c r="AE27" s="165"/>
      <c r="AF27" s="165"/>
      <c r="AG27" s="165"/>
    </row>
    <row r="28" spans="5:33" ht="11.25" outlineLevel="1" x14ac:dyDescent="0.2">
      <c r="E28" s="30" t="s">
        <v>8</v>
      </c>
      <c r="H28" s="92"/>
      <c r="J28" s="440">
        <f>'1. SRECNA'!Q45</f>
        <v>115000</v>
      </c>
      <c r="K28" s="440">
        <f>'1. SRECNA'!R45</f>
        <v>120000</v>
      </c>
      <c r="L28" s="440">
        <f>'1. SRECNA'!S45</f>
        <v>120000</v>
      </c>
      <c r="M28" s="440">
        <f ca="1">'1. SRECNA'!T45</f>
        <v>296504.03091729997</v>
      </c>
      <c r="N28" s="440">
        <f ca="1">'1. SRECNA'!U45</f>
        <v>311080.00553740497</v>
      </c>
      <c r="O28" s="440">
        <f ca="1">'1. SRECNA'!V45</f>
        <v>326583.23902834154</v>
      </c>
      <c r="P28" s="440">
        <f ca="1">'1. SRECNA'!W45</f>
        <v>343078.80136291857</v>
      </c>
      <c r="Q28" s="440">
        <f ca="1">'1. SRECNA'!X45</f>
        <v>360636.54455867509</v>
      </c>
      <c r="R28" s="440">
        <f ca="1">'1. SRECNA'!Y45</f>
        <v>371455.64089543535</v>
      </c>
      <c r="S28" s="440">
        <f ca="1">'1. SRECNA'!Z45</f>
        <v>382599.31012229843</v>
      </c>
      <c r="T28" s="440">
        <f ca="1">'1. SRECNA'!AA45</f>
        <v>394077.28942596738</v>
      </c>
      <c r="U28" s="440">
        <f ca="1">'1. SRECNA'!AB45</f>
        <v>405899.60810874635</v>
      </c>
      <c r="V28" s="440">
        <f ca="1">'1. SRECNA'!AC45</f>
        <v>418076.59635200875</v>
      </c>
      <c r="W28" s="440">
        <f ca="1">'1. SRECNA'!AD45</f>
        <v>430618.89424256905</v>
      </c>
      <c r="X28" s="440">
        <f ca="1">'1. SRECNA'!AE45</f>
        <v>443537.46106984612</v>
      </c>
      <c r="Y28" s="440">
        <f ca="1">'1. SRECNA'!AF45</f>
        <v>456843.58490194153</v>
      </c>
      <c r="Z28" s="440">
        <f ca="1">'1. SRECNA'!AG45</f>
        <v>470548.8924489998</v>
      </c>
      <c r="AA28" s="440">
        <f ca="1">'1. SRECNA'!AH45</f>
        <v>484665.35922246985</v>
      </c>
      <c r="AB28" s="165"/>
      <c r="AC28" s="165"/>
      <c r="AD28" s="165"/>
      <c r="AE28" s="165"/>
      <c r="AF28" s="165"/>
      <c r="AG28" s="165"/>
    </row>
    <row r="29" spans="5:33" ht="11.25" outlineLevel="1" x14ac:dyDescent="0.2">
      <c r="E29" s="30" t="s">
        <v>177</v>
      </c>
      <c r="H29" s="92"/>
      <c r="J29" s="440">
        <f>'1. SRECNA'!Q58</f>
        <v>65000</v>
      </c>
      <c r="K29" s="440">
        <f>'1. SRECNA'!R58</f>
        <v>70000</v>
      </c>
      <c r="L29" s="440">
        <f>'1. SRECNA'!S58</f>
        <v>70000</v>
      </c>
      <c r="M29" s="440">
        <f ca="1">'1. SRECNA'!T58</f>
        <v>73850</v>
      </c>
      <c r="N29" s="440">
        <f ca="1">'1. SRECNA'!U58</f>
        <v>75696.25</v>
      </c>
      <c r="O29" s="440">
        <f ca="1">'1. SRECNA'!V58</f>
        <v>77588.65625</v>
      </c>
      <c r="P29" s="440">
        <f ca="1">'1. SRECNA'!W58</f>
        <v>79528.372656249994</v>
      </c>
      <c r="Q29" s="440">
        <f ca="1">'1. SRECNA'!X58</f>
        <v>81516.581972656233</v>
      </c>
      <c r="R29" s="440">
        <f ca="1">'1. SRECNA'!Y58</f>
        <v>83554.496521972629</v>
      </c>
      <c r="S29" s="440">
        <f ca="1">'1. SRECNA'!Z58</f>
        <v>85643.358935021941</v>
      </c>
      <c r="T29" s="440">
        <f ca="1">'1. SRECNA'!AA58</f>
        <v>87784.442908397483</v>
      </c>
      <c r="U29" s="440">
        <f ca="1">'1. SRECNA'!AB58</f>
        <v>89979.053981107412</v>
      </c>
      <c r="V29" s="440">
        <f ca="1">'1. SRECNA'!AC58</f>
        <v>92228.530330635083</v>
      </c>
      <c r="W29" s="440">
        <f ca="1">'1. SRECNA'!AD58</f>
        <v>94534.24358890095</v>
      </c>
      <c r="X29" s="440">
        <f ca="1">'1. SRECNA'!AE58</f>
        <v>96897.599678623461</v>
      </c>
      <c r="Y29" s="440">
        <f ca="1">'1. SRECNA'!AF58</f>
        <v>99320.039670589045</v>
      </c>
      <c r="Z29" s="440">
        <f ca="1">'1. SRECNA'!AG58</f>
        <v>101803.04066235376</v>
      </c>
      <c r="AA29" s="440">
        <f ca="1">'1. SRECNA'!AH58</f>
        <v>104348.11667891259</v>
      </c>
      <c r="AB29" s="165"/>
      <c r="AC29" s="165"/>
      <c r="AD29" s="165"/>
      <c r="AE29" s="165"/>
      <c r="AF29" s="165"/>
      <c r="AG29" s="165"/>
    </row>
    <row r="30" spans="5:33" ht="11.25" outlineLevel="1" x14ac:dyDescent="0.2">
      <c r="E30" s="30" t="s">
        <v>9</v>
      </c>
      <c r="H30" s="93" t="s">
        <v>12</v>
      </c>
      <c r="J30" s="440">
        <f>'1. SRECNA'!Q47</f>
        <v>215000</v>
      </c>
      <c r="K30" s="440">
        <f>'1. SRECNA'!R47</f>
        <v>220000</v>
      </c>
      <c r="L30" s="440">
        <f>'1. SRECNA'!S47</f>
        <v>220000</v>
      </c>
      <c r="M30" s="440">
        <f ca="1">'1. SRECNA'!T47</f>
        <v>225499.99999999997</v>
      </c>
      <c r="N30" s="440">
        <f ca="1">'1. SRECNA'!U47</f>
        <v>231137.49999999994</v>
      </c>
      <c r="O30" s="440">
        <f ca="1">'1. SRECNA'!V47</f>
        <v>236915.93749999991</v>
      </c>
      <c r="P30" s="440">
        <f ca="1">'1. SRECNA'!W47</f>
        <v>242838.83593749988</v>
      </c>
      <c r="Q30" s="440">
        <f ca="1">'1. SRECNA'!X47</f>
        <v>248909.80683593737</v>
      </c>
      <c r="R30" s="440">
        <f ca="1">'1. SRECNA'!Y47</f>
        <v>255132.55200683579</v>
      </c>
      <c r="S30" s="440">
        <f ca="1">'1. SRECNA'!Z47</f>
        <v>261510.86580700666</v>
      </c>
      <c r="T30" s="440">
        <f ca="1">'1. SRECNA'!AA47</f>
        <v>268048.63745218178</v>
      </c>
      <c r="U30" s="440">
        <f ca="1">'1. SRECNA'!AB47</f>
        <v>274749.85338848631</v>
      </c>
      <c r="V30" s="440">
        <f ca="1">'1. SRECNA'!AC47</f>
        <v>281618.59972319845</v>
      </c>
      <c r="W30" s="440">
        <f ca="1">'1. SRECNA'!AD47</f>
        <v>288659.0647162784</v>
      </c>
      <c r="X30" s="440">
        <f ca="1">'1. SRECNA'!AE47</f>
        <v>295875.54133418534</v>
      </c>
      <c r="Y30" s="440">
        <f ca="1">'1. SRECNA'!AF47</f>
        <v>303272.42986753996</v>
      </c>
      <c r="Z30" s="440">
        <f ca="1">'1. SRECNA'!AG47</f>
        <v>310854.24061422842</v>
      </c>
      <c r="AA30" s="440">
        <f ca="1">'1. SRECNA'!AH47</f>
        <v>318625.59662958409</v>
      </c>
      <c r="AB30" s="165"/>
      <c r="AC30" s="165"/>
      <c r="AD30" s="165"/>
      <c r="AE30" s="165"/>
      <c r="AF30" s="165"/>
      <c r="AG30" s="165"/>
    </row>
    <row r="31" spans="5:33" ht="11.25" outlineLevel="1" x14ac:dyDescent="0.2">
      <c r="E31" s="30" t="s">
        <v>4</v>
      </c>
      <c r="H31" s="93" t="s">
        <v>15</v>
      </c>
      <c r="J31" s="440">
        <f>'1. SRECNA'!Q48</f>
        <v>65000</v>
      </c>
      <c r="K31" s="440">
        <f>'1. SRECNA'!R48</f>
        <v>70000</v>
      </c>
      <c r="L31" s="440">
        <f>'1. SRECNA'!S48</f>
        <v>70000</v>
      </c>
      <c r="M31" s="440">
        <f ca="1">'1. SRECNA'!T48</f>
        <v>71750</v>
      </c>
      <c r="N31" s="440">
        <f ca="1">'1. SRECNA'!U48</f>
        <v>73543.75</v>
      </c>
      <c r="O31" s="440">
        <f ca="1">'1. SRECNA'!V48</f>
        <v>75382.34375</v>
      </c>
      <c r="P31" s="440">
        <f ca="1">'1. SRECNA'!W48</f>
        <v>77266.90234375</v>
      </c>
      <c r="Q31" s="440">
        <f ca="1">'1. SRECNA'!X48</f>
        <v>79198.574902343738</v>
      </c>
      <c r="R31" s="440">
        <f ca="1">'1. SRECNA'!Y48</f>
        <v>81178.53927490233</v>
      </c>
      <c r="S31" s="440">
        <f ca="1">'1. SRECNA'!Z48</f>
        <v>83208.002756774877</v>
      </c>
      <c r="T31" s="440">
        <f ca="1">'1. SRECNA'!AA48</f>
        <v>85288.202825694243</v>
      </c>
      <c r="U31" s="440">
        <f ca="1">'1. SRECNA'!AB48</f>
        <v>87420.40789633659</v>
      </c>
      <c r="V31" s="440">
        <f ca="1">'1. SRECNA'!AC48</f>
        <v>89605.918093745</v>
      </c>
      <c r="W31" s="440">
        <f ca="1">'1. SRECNA'!AD48</f>
        <v>91846.066046088614</v>
      </c>
      <c r="X31" s="440">
        <f ca="1">'1. SRECNA'!AE48</f>
        <v>94142.21769724082</v>
      </c>
      <c r="Y31" s="440">
        <f ca="1">'1. SRECNA'!AF48</f>
        <v>96495.77313967183</v>
      </c>
      <c r="Z31" s="440">
        <f ca="1">'1. SRECNA'!AG48</f>
        <v>98908.167468163621</v>
      </c>
      <c r="AA31" s="440">
        <f ca="1">'1. SRECNA'!AH48</f>
        <v>101380.8716548677</v>
      </c>
      <c r="AB31" s="165"/>
      <c r="AC31" s="165"/>
      <c r="AD31" s="165"/>
      <c r="AE31" s="165"/>
      <c r="AF31" s="165"/>
      <c r="AG31" s="165"/>
    </row>
    <row r="32" spans="5:33" ht="11.25" outlineLevel="1" x14ac:dyDescent="0.2">
      <c r="E32" s="30" t="s">
        <v>10</v>
      </c>
      <c r="H32" s="93" t="s">
        <v>16</v>
      </c>
      <c r="J32" s="440">
        <f>'1. SRECNA'!Q49</f>
        <v>115000</v>
      </c>
      <c r="K32" s="440">
        <f>'1. SRECNA'!R49</f>
        <v>120000</v>
      </c>
      <c r="L32" s="440">
        <f>'1. SRECNA'!S49</f>
        <v>120000</v>
      </c>
      <c r="M32" s="440">
        <f ca="1">'1. SRECNA'!T49</f>
        <v>122999.99999999999</v>
      </c>
      <c r="N32" s="440">
        <f ca="1">'1. SRECNA'!U49</f>
        <v>126074.99999999997</v>
      </c>
      <c r="O32" s="440">
        <f ca="1">'1. SRECNA'!V49</f>
        <v>129226.87499999996</v>
      </c>
      <c r="P32" s="440">
        <f ca="1">'1. SRECNA'!W49</f>
        <v>132457.54687499994</v>
      </c>
      <c r="Q32" s="440">
        <f ca="1">'1. SRECNA'!X49</f>
        <v>135768.98554687493</v>
      </c>
      <c r="R32" s="440">
        <f ca="1">'1. SRECNA'!Y49</f>
        <v>139163.21018554678</v>
      </c>
      <c r="S32" s="440">
        <f ca="1">'1. SRECNA'!Z49</f>
        <v>142642.29044018543</v>
      </c>
      <c r="T32" s="440">
        <f ca="1">'1. SRECNA'!AA49</f>
        <v>146208.34770119007</v>
      </c>
      <c r="U32" s="440">
        <f ca="1">'1. SRECNA'!AB49</f>
        <v>149863.5563937198</v>
      </c>
      <c r="V32" s="440">
        <f ca="1">'1. SRECNA'!AC49</f>
        <v>153610.14530356278</v>
      </c>
      <c r="W32" s="440">
        <f ca="1">'1. SRECNA'!AD49</f>
        <v>157450.39893615185</v>
      </c>
      <c r="X32" s="440">
        <f ca="1">'1. SRECNA'!AE49</f>
        <v>161386.65890955564</v>
      </c>
      <c r="Y32" s="440">
        <f ca="1">'1. SRECNA'!AF49</f>
        <v>165421.32538229451</v>
      </c>
      <c r="Z32" s="440">
        <f ca="1">'1. SRECNA'!AG49</f>
        <v>169556.85851685185</v>
      </c>
      <c r="AA32" s="440">
        <f ca="1">'1. SRECNA'!AH49</f>
        <v>173795.77997977313</v>
      </c>
      <c r="AB32" s="165"/>
      <c r="AC32" s="165"/>
      <c r="AD32" s="165"/>
      <c r="AE32" s="165"/>
      <c r="AF32" s="165"/>
      <c r="AG32" s="165"/>
    </row>
    <row r="33" spans="1:33" ht="11.25" outlineLevel="1" x14ac:dyDescent="0.2">
      <c r="E33" s="30" t="s">
        <v>11</v>
      </c>
      <c r="H33" s="93" t="s">
        <v>13</v>
      </c>
      <c r="J33" s="161">
        <f>'1. SRECNA'!Q51-'1. SRECNA'!Q58</f>
        <v>255000</v>
      </c>
      <c r="K33" s="161">
        <f>'1. SRECNA'!R51-'1. SRECNA'!R58</f>
        <v>280000</v>
      </c>
      <c r="L33" s="161">
        <f>'1. SRECNA'!S51-'1. SRECNA'!S58</f>
        <v>280000</v>
      </c>
      <c r="M33" s="161">
        <f ca="1">'1. SRECNA'!T51-'1. SRECNA'!T58</f>
        <v>295050</v>
      </c>
      <c r="N33" s="161">
        <f ca="1">'1. SRECNA'!U51-'1. SRECNA'!U58</f>
        <v>311032.75</v>
      </c>
      <c r="O33" s="161">
        <f ca="1">'1. SRECNA'!V51-'1. SRECNA'!V58</f>
        <v>328002.70124999993</v>
      </c>
      <c r="P33" s="161">
        <f ca="1">'1. SRECNA'!W51-'1. SRECNA'!W58</f>
        <v>346017.3943187499</v>
      </c>
      <c r="Q33" s="161">
        <f ca="1">'1. SRECNA'!X51-'1. SRECNA'!X58</f>
        <v>365137.63184128114</v>
      </c>
      <c r="R33" s="161">
        <f ca="1">'1. SRECNA'!Y51-'1. SRECNA'!Y58</f>
        <v>385427.66085260146</v>
      </c>
      <c r="S33" s="161">
        <f ca="1">'1. SRECNA'!Z51-'1. SRECNA'!Z58</f>
        <v>406955.36523734615</v>
      </c>
      <c r="T33" s="161">
        <f ca="1">'1. SRECNA'!AA51-'1. SRECNA'!AA58</f>
        <v>429792.46885438729</v>
      </c>
      <c r="U33" s="161">
        <f ca="1">'1. SRECNA'!AB51-'1. SRECNA'!AB58</f>
        <v>454014.74992623506</v>
      </c>
      <c r="V33" s="161">
        <f ca="1">'1. SRECNA'!AC51-'1. SRECNA'!AC58</f>
        <v>479702.26731558033</v>
      </c>
      <c r="W33" s="161">
        <f ca="1">'1. SRECNA'!AD51-'1. SRECNA'!AD58</f>
        <v>506939.59934564173</v>
      </c>
      <c r="X33" s="161">
        <f ca="1">'1. SRECNA'!AE51-'1. SRECNA'!AE58</f>
        <v>535816.09585718741</v>
      </c>
      <c r="Y33" s="161">
        <f ca="1">'1. SRECNA'!AF51-'1. SRECNA'!AF58</f>
        <v>566426.14423329441</v>
      </c>
      <c r="Z33" s="161">
        <f ca="1">'1. SRECNA'!AG51-'1. SRECNA'!AG58</f>
        <v>598869.45016320597</v>
      </c>
      <c r="AA33" s="161">
        <f ca="1">'1. SRECNA'!AH51-'1. SRECNA'!AH58</f>
        <v>633251.33395917516</v>
      </c>
      <c r="AB33" s="165"/>
      <c r="AC33" s="165"/>
      <c r="AD33" s="165"/>
      <c r="AE33" s="165"/>
      <c r="AF33" s="165"/>
      <c r="AG33" s="165"/>
    </row>
    <row r="34" spans="1:33" ht="3" customHeight="1" outlineLevel="1" x14ac:dyDescent="0.2">
      <c r="J34" s="441"/>
      <c r="R34" s="45"/>
      <c r="S34" s="45"/>
      <c r="T34" s="45"/>
      <c r="U34" s="45"/>
      <c r="V34" s="45"/>
      <c r="W34" s="45"/>
      <c r="X34" s="45"/>
      <c r="Z34" s="45"/>
      <c r="AA34" s="45"/>
    </row>
    <row r="35" spans="1:33" ht="11.25" x14ac:dyDescent="0.2">
      <c r="E35" s="617" t="s">
        <v>132</v>
      </c>
      <c r="F35" s="618"/>
      <c r="G35" s="618"/>
      <c r="H35" s="618"/>
      <c r="I35" s="619"/>
      <c r="J35" s="622">
        <f t="shared" ref="J35:Q35" si="5">SUM(J27:J33)</f>
        <v>1145000</v>
      </c>
      <c r="K35" s="621">
        <f t="shared" si="5"/>
        <v>1200000</v>
      </c>
      <c r="L35" s="621">
        <f t="shared" si="5"/>
        <v>1200000</v>
      </c>
      <c r="M35" s="621">
        <f t="shared" ca="1" si="5"/>
        <v>1415254.0309172999</v>
      </c>
      <c r="N35" s="621">
        <f t="shared" ca="1" si="5"/>
        <v>1468053.2555374049</v>
      </c>
      <c r="O35" s="621">
        <f t="shared" ca="1" si="5"/>
        <v>1523372.3927783412</v>
      </c>
      <c r="P35" s="621">
        <f t="shared" ca="1" si="5"/>
        <v>1581350.6726941683</v>
      </c>
      <c r="Q35" s="621">
        <f t="shared" ca="1" si="5"/>
        <v>1642135.8294337688</v>
      </c>
      <c r="R35" s="621">
        <f t="shared" ref="R35:AA35" ca="1" si="6">SUM(R27:R33)</f>
        <v>1698008.8346265743</v>
      </c>
      <c r="S35" s="621">
        <f t="shared" ca="1" si="6"/>
        <v>1756118.8302345918</v>
      </c>
      <c r="T35" s="621">
        <f t="shared" ca="1" si="6"/>
        <v>1816565.8152118556</v>
      </c>
      <c r="U35" s="621">
        <f t="shared" ca="1" si="6"/>
        <v>1879454.6485199898</v>
      </c>
      <c r="V35" s="621">
        <f t="shared" ca="1" si="6"/>
        <v>1944895.2985088492</v>
      </c>
      <c r="W35" s="621">
        <f t="shared" ca="1" si="6"/>
        <v>2013003.105507453</v>
      </c>
      <c r="X35" s="621">
        <f t="shared" ca="1" si="6"/>
        <v>2083899.0583374163</v>
      </c>
      <c r="Y35" s="621">
        <f t="shared" ca="1" si="6"/>
        <v>2157710.0854998319</v>
      </c>
      <c r="Z35" s="621">
        <f t="shared" ca="1" si="6"/>
        <v>2234569.3618274392</v>
      </c>
      <c r="AA35" s="621">
        <f t="shared" ca="1" si="6"/>
        <v>2314616.6314370274</v>
      </c>
    </row>
    <row r="36" spans="1:33" ht="11.25" x14ac:dyDescent="0.2">
      <c r="E36" s="641"/>
      <c r="F36" s="642"/>
      <c r="G36" s="642"/>
      <c r="H36" s="642"/>
      <c r="I36" s="643"/>
      <c r="J36" s="440"/>
      <c r="K36" s="644"/>
      <c r="L36" s="644"/>
      <c r="M36" s="644"/>
      <c r="N36" s="644"/>
      <c r="O36" s="644"/>
      <c r="P36" s="644"/>
      <c r="Q36" s="644"/>
      <c r="R36" s="644"/>
      <c r="S36" s="644"/>
      <c r="T36" s="644"/>
      <c r="U36" s="644"/>
      <c r="V36" s="644"/>
      <c r="W36" s="644"/>
      <c r="X36" s="644"/>
      <c r="Y36" s="644"/>
      <c r="Z36" s="644"/>
      <c r="AA36" s="644"/>
    </row>
    <row r="37" spans="1:33" ht="11.25" customHeight="1" x14ac:dyDescent="0.2">
      <c r="E37" s="623" t="s">
        <v>348</v>
      </c>
      <c r="F37" s="623"/>
      <c r="G37" s="623"/>
      <c r="H37" s="623"/>
      <c r="I37" s="624"/>
      <c r="J37" s="625">
        <f>J23-J35</f>
        <v>336000</v>
      </c>
      <c r="K37" s="625">
        <f>K23-K35</f>
        <v>369000</v>
      </c>
      <c r="L37" s="625">
        <f t="shared" ref="L37:Q37" si="7">L23-L35</f>
        <v>346000</v>
      </c>
      <c r="M37" s="625">
        <f t="shared" ca="1" si="7"/>
        <v>-300728.4687173015</v>
      </c>
      <c r="N37" s="625">
        <f t="shared" ca="1" si="7"/>
        <v>-311591.08570085862</v>
      </c>
      <c r="O37" s="625">
        <f t="shared" ca="1" si="7"/>
        <v>-323964.59767596377</v>
      </c>
      <c r="P37" s="625">
        <f t="shared" ca="1" si="7"/>
        <v>-337939.14205997624</v>
      </c>
      <c r="Q37" s="625">
        <f t="shared" ca="1" si="7"/>
        <v>-353607.32341111731</v>
      </c>
      <c r="R37" s="625">
        <f t="shared" ref="R37:AA37" ca="1" si="8">R23-R35</f>
        <v>-364456.6521192505</v>
      </c>
      <c r="S37" s="625">
        <f t="shared" ca="1" si="8"/>
        <v>-374667.92644820409</v>
      </c>
      <c r="T37" s="625">
        <f t="shared" ca="1" si="8"/>
        <v>-385470.01746655605</v>
      </c>
      <c r="U37" s="625">
        <f t="shared" ca="1" si="8"/>
        <v>-396889.88242402324</v>
      </c>
      <c r="V37" s="625">
        <f t="shared" ca="1" si="8"/>
        <v>-408955.474513327</v>
      </c>
      <c r="W37" s="625">
        <f t="shared" ca="1" si="8"/>
        <v>-421700.26236699079</v>
      </c>
      <c r="X37" s="625">
        <f t="shared" ca="1" si="8"/>
        <v>-435163.41086857975</v>
      </c>
      <c r="Y37" s="625">
        <f t="shared" ca="1" si="8"/>
        <v>-449386.56117496197</v>
      </c>
      <c r="Z37" s="625">
        <f t="shared" ca="1" si="8"/>
        <v>-464413.83559962572</v>
      </c>
      <c r="AA37" s="625">
        <f t="shared" ca="1" si="8"/>
        <v>-480291.8706008296</v>
      </c>
    </row>
    <row r="38" spans="1:33" ht="11.25" x14ac:dyDescent="0.2">
      <c r="E38" s="641"/>
      <c r="F38" s="642"/>
      <c r="G38" s="642"/>
      <c r="H38" s="642"/>
      <c r="I38" s="643"/>
      <c r="J38" s="440"/>
      <c r="K38" s="644"/>
      <c r="L38" s="644"/>
      <c r="M38" s="644"/>
      <c r="N38" s="644"/>
      <c r="O38" s="644"/>
      <c r="P38" s="644"/>
      <c r="Q38" s="644"/>
      <c r="R38" s="644"/>
      <c r="S38" s="644"/>
      <c r="T38" s="644"/>
      <c r="U38" s="644"/>
      <c r="V38" s="644"/>
      <c r="W38" s="644"/>
      <c r="X38" s="644"/>
      <c r="Y38" s="644"/>
      <c r="Z38" s="644"/>
      <c r="AA38" s="644"/>
    </row>
    <row r="39" spans="1:33" ht="11.25" outlineLevel="1" x14ac:dyDescent="0.2">
      <c r="E39" s="30" t="s">
        <v>19</v>
      </c>
      <c r="H39" s="93"/>
      <c r="J39" s="611">
        <f>'1. SRECNA'!Q50</f>
        <v>115000</v>
      </c>
      <c r="K39" s="611">
        <f>'1. SRECNA'!R50</f>
        <v>120000</v>
      </c>
      <c r="L39" s="611">
        <f>'1. SRECNA'!S50</f>
        <v>120000</v>
      </c>
      <c r="M39" s="611">
        <f ca="1">'1. SRECNA'!T50</f>
        <v>122999.99999999999</v>
      </c>
      <c r="N39" s="611">
        <f ca="1">'1. SRECNA'!U50</f>
        <v>126074.99999999997</v>
      </c>
      <c r="O39" s="611">
        <f ca="1">'1. SRECNA'!V50</f>
        <v>129226.87499999996</v>
      </c>
      <c r="P39" s="611">
        <f ca="1">'1. SRECNA'!W50</f>
        <v>132457.54687499994</v>
      </c>
      <c r="Q39" s="611">
        <f ca="1">'1. SRECNA'!X50</f>
        <v>135768.98554687493</v>
      </c>
      <c r="R39" s="611">
        <f ca="1">'1. SRECNA'!Y50</f>
        <v>139163.21018554678</v>
      </c>
      <c r="S39" s="611">
        <f ca="1">'1. SRECNA'!Z50</f>
        <v>142642.29044018543</v>
      </c>
      <c r="T39" s="611">
        <f ca="1">'1. SRECNA'!AA50</f>
        <v>146208.34770119007</v>
      </c>
      <c r="U39" s="611">
        <f ca="1">'1. SRECNA'!AB50</f>
        <v>149863.5563937198</v>
      </c>
      <c r="V39" s="611">
        <f ca="1">'1. SRECNA'!AC50</f>
        <v>153610.14530356278</v>
      </c>
      <c r="W39" s="611">
        <f ca="1">'1. SRECNA'!AD50</f>
        <v>157450.39893615185</v>
      </c>
      <c r="X39" s="611">
        <f ca="1">'1. SRECNA'!AE50</f>
        <v>161386.65890955564</v>
      </c>
      <c r="Y39" s="611">
        <f ca="1">'1. SRECNA'!AF50</f>
        <v>165421.32538229451</v>
      </c>
      <c r="Z39" s="611">
        <f ca="1">'1. SRECNA'!AG50</f>
        <v>169556.85851685185</v>
      </c>
      <c r="AA39" s="611">
        <f ca="1">'1. SRECNA'!AH50</f>
        <v>173795.77997977313</v>
      </c>
    </row>
    <row r="40" spans="1:33" ht="11.25" outlineLevel="1" x14ac:dyDescent="0.2">
      <c r="E40" s="30" t="s">
        <v>83</v>
      </c>
      <c r="H40" s="93"/>
      <c r="J40" s="611">
        <f>-'1. SRECNA'!Q81</f>
        <v>1000</v>
      </c>
      <c r="K40" s="611">
        <f>-'1. SRECNA'!R81</f>
        <v>1000</v>
      </c>
      <c r="L40" s="611">
        <f>-'1. SRECNA'!S81</f>
        <v>1000</v>
      </c>
      <c r="M40" s="611">
        <f t="shared" ref="M40:AA40" si="9">L40*(1+gr_Inflation)</f>
        <v>1025</v>
      </c>
      <c r="N40" s="611">
        <f t="shared" si="9"/>
        <v>1050.625</v>
      </c>
      <c r="O40" s="611">
        <f t="shared" si="9"/>
        <v>1076.890625</v>
      </c>
      <c r="P40" s="611">
        <f t="shared" si="9"/>
        <v>1103.8128906249999</v>
      </c>
      <c r="Q40" s="611">
        <f t="shared" si="9"/>
        <v>1131.4082128906248</v>
      </c>
      <c r="R40" s="611">
        <f t="shared" si="9"/>
        <v>1159.6934182128903</v>
      </c>
      <c r="S40" s="611">
        <f t="shared" si="9"/>
        <v>1188.6857536682123</v>
      </c>
      <c r="T40" s="611">
        <f t="shared" si="9"/>
        <v>1218.4028975099175</v>
      </c>
      <c r="U40" s="611">
        <f t="shared" si="9"/>
        <v>1248.8629699476653</v>
      </c>
      <c r="V40" s="611">
        <f t="shared" si="9"/>
        <v>1280.0845441963568</v>
      </c>
      <c r="W40" s="611">
        <f t="shared" si="9"/>
        <v>1312.0866578012656</v>
      </c>
      <c r="X40" s="611">
        <f t="shared" si="9"/>
        <v>1344.8888242462972</v>
      </c>
      <c r="Y40" s="611">
        <f t="shared" si="9"/>
        <v>1378.5110448524545</v>
      </c>
      <c r="Z40" s="611">
        <f t="shared" si="9"/>
        <v>1412.9738209737657</v>
      </c>
      <c r="AA40" s="611">
        <f t="shared" si="9"/>
        <v>1448.2981664981096</v>
      </c>
    </row>
    <row r="41" spans="1:33" s="633" customFormat="1" ht="11.25" x14ac:dyDescent="0.2">
      <c r="A41" s="627"/>
      <c r="B41" s="627"/>
      <c r="C41" s="627"/>
      <c r="D41" s="691"/>
      <c r="E41" s="692" t="s">
        <v>370</v>
      </c>
      <c r="F41" s="693"/>
      <c r="G41" s="693"/>
      <c r="H41" s="693"/>
      <c r="I41" s="624"/>
      <c r="J41" s="694">
        <f>SUM(J39:J40)</f>
        <v>116000</v>
      </c>
      <c r="K41" s="694">
        <f>SUM(K39:K40)</f>
        <v>121000</v>
      </c>
      <c r="L41" s="694">
        <f t="shared" ref="L41:Q41" si="10">SUM(L39:L40)</f>
        <v>121000</v>
      </c>
      <c r="M41" s="694">
        <f t="shared" ca="1" si="10"/>
        <v>124024.99999999999</v>
      </c>
      <c r="N41" s="694">
        <f t="shared" ca="1" si="10"/>
        <v>127125.62499999997</v>
      </c>
      <c r="O41" s="694">
        <f t="shared" ca="1" si="10"/>
        <v>130303.76562499996</v>
      </c>
      <c r="P41" s="694">
        <f t="shared" ca="1" si="10"/>
        <v>133561.35976562495</v>
      </c>
      <c r="Q41" s="694">
        <f t="shared" ca="1" si="10"/>
        <v>136900.39375976555</v>
      </c>
      <c r="R41" s="694">
        <f t="shared" ref="R41:AA41" ca="1" si="11">SUM(R39:R40)</f>
        <v>140322.90360375968</v>
      </c>
      <c r="S41" s="694">
        <f t="shared" ca="1" si="11"/>
        <v>143830.97619385365</v>
      </c>
      <c r="T41" s="694">
        <f t="shared" ca="1" si="11"/>
        <v>147426.75059869999</v>
      </c>
      <c r="U41" s="694">
        <f t="shared" ca="1" si="11"/>
        <v>151112.41936366746</v>
      </c>
      <c r="V41" s="694">
        <f t="shared" ca="1" si="11"/>
        <v>154890.22984775912</v>
      </c>
      <c r="W41" s="694">
        <f t="shared" ca="1" si="11"/>
        <v>158762.48559395311</v>
      </c>
      <c r="X41" s="694">
        <f t="shared" ca="1" si="11"/>
        <v>162731.54773380194</v>
      </c>
      <c r="Y41" s="694">
        <f t="shared" ca="1" si="11"/>
        <v>166799.83642714698</v>
      </c>
      <c r="Z41" s="694">
        <f t="shared" ca="1" si="11"/>
        <v>170969.83233782562</v>
      </c>
      <c r="AA41" s="694">
        <f t="shared" ca="1" si="11"/>
        <v>175244.07814627123</v>
      </c>
    </row>
    <row r="42" spans="1:33" s="633" customFormat="1" ht="11.25" hidden="1" x14ac:dyDescent="0.2">
      <c r="A42" s="627"/>
      <c r="B42" s="627"/>
      <c r="C42" s="627"/>
      <c r="D42" s="691"/>
      <c r="E42" s="806"/>
      <c r="F42" s="807"/>
      <c r="G42" s="807"/>
      <c r="H42" s="807"/>
      <c r="I42" s="807"/>
      <c r="J42" s="808"/>
      <c r="K42" s="808"/>
      <c r="L42" s="808"/>
      <c r="M42" s="808"/>
      <c r="N42" s="808"/>
      <c r="O42" s="808"/>
      <c r="P42" s="808"/>
      <c r="Q42" s="808"/>
      <c r="R42" s="808"/>
      <c r="S42" s="808"/>
      <c r="T42" s="808"/>
      <c r="U42" s="808"/>
      <c r="V42" s="808"/>
      <c r="W42" s="808"/>
      <c r="X42" s="808"/>
      <c r="Y42" s="808"/>
      <c r="Z42" s="808"/>
      <c r="AA42" s="808"/>
    </row>
    <row r="43" spans="1:33" s="633" customFormat="1" ht="11.25" hidden="1" x14ac:dyDescent="0.2">
      <c r="A43" s="627"/>
      <c r="B43" s="627"/>
      <c r="C43" s="627"/>
      <c r="D43" s="691"/>
      <c r="E43" s="806" t="s">
        <v>364</v>
      </c>
      <c r="F43" s="807"/>
      <c r="G43" s="807"/>
      <c r="H43" s="807"/>
      <c r="I43" s="807"/>
      <c r="J43" s="808"/>
      <c r="K43" s="808"/>
      <c r="L43" s="808"/>
      <c r="M43" s="808">
        <f>Scenarios!K72</f>
        <v>0</v>
      </c>
      <c r="N43" s="808">
        <f>Scenarios!L72</f>
        <v>0</v>
      </c>
      <c r="O43" s="808">
        <f>Scenarios!M72</f>
        <v>0</v>
      </c>
      <c r="P43" s="808">
        <f>Scenarios!N72</f>
        <v>0</v>
      </c>
      <c r="Q43" s="808">
        <f>Scenarios!O72</f>
        <v>0</v>
      </c>
      <c r="R43" s="808">
        <f>Scenarios!P72</f>
        <v>0</v>
      </c>
      <c r="S43" s="808">
        <f>Scenarios!Q72</f>
        <v>0</v>
      </c>
      <c r="T43" s="808">
        <f>Scenarios!R72</f>
        <v>0</v>
      </c>
      <c r="U43" s="808">
        <f>Scenarios!S72</f>
        <v>0</v>
      </c>
      <c r="V43" s="808">
        <f>Scenarios!T72</f>
        <v>0</v>
      </c>
      <c r="W43" s="808">
        <f>Scenarios!U72</f>
        <v>0</v>
      </c>
      <c r="X43" s="808">
        <f>Scenarios!V72</f>
        <v>0</v>
      </c>
      <c r="Y43" s="808">
        <f>Scenarios!W72</f>
        <v>0</v>
      </c>
      <c r="Z43" s="808">
        <f>Scenarios!X72</f>
        <v>0</v>
      </c>
      <c r="AA43" s="808">
        <f>Scenarios!Y72</f>
        <v>0</v>
      </c>
    </row>
    <row r="44" spans="1:33" ht="11.25" customHeight="1" x14ac:dyDescent="0.2">
      <c r="I44" s="12"/>
      <c r="J44" s="446"/>
      <c r="K44" s="614"/>
      <c r="L44" s="636"/>
      <c r="M44" s="612"/>
      <c r="N44" s="612"/>
      <c r="O44" s="612"/>
      <c r="P44" s="612"/>
      <c r="Q44" s="612"/>
      <c r="R44" s="612"/>
      <c r="S44" s="612"/>
      <c r="T44" s="612"/>
      <c r="U44" s="612"/>
      <c r="V44" s="612"/>
      <c r="W44" s="612"/>
      <c r="X44" s="612"/>
      <c r="Y44" s="612"/>
      <c r="Z44" s="612"/>
      <c r="AA44" s="612"/>
    </row>
    <row r="45" spans="1:33" ht="11.25" customHeight="1" x14ac:dyDescent="0.2">
      <c r="E45" s="623" t="s">
        <v>353</v>
      </c>
      <c r="F45" s="623"/>
      <c r="G45" s="623"/>
      <c r="H45" s="623"/>
      <c r="I45" s="624"/>
      <c r="J45" s="625">
        <f>J37-SUM(J39:J40)</f>
        <v>220000</v>
      </c>
      <c r="K45" s="625">
        <f>K37-SUM(K39:K40)</f>
        <v>248000</v>
      </c>
      <c r="L45" s="625">
        <f>L37-SUM(L39:L40)</f>
        <v>225000</v>
      </c>
      <c r="M45" s="625">
        <f ca="1">M37-SUM(M39:M40)+M43</f>
        <v>-424753.4687173015</v>
      </c>
      <c r="N45" s="625">
        <f ca="1">N37-SUM(N39:N40)+N43</f>
        <v>-438716.71070085862</v>
      </c>
      <c r="O45" s="625">
        <f ca="1">O37-SUM(O39:O40)+O43</f>
        <v>-454268.36330096371</v>
      </c>
      <c r="P45" s="625">
        <f ca="1">P37-SUM(P39:P40)+P43</f>
        <v>-471500.50182560121</v>
      </c>
      <c r="Q45" s="625">
        <f ca="1">Q37-SUM(Q39:Q40)+Q43</f>
        <v>-490507.71717088285</v>
      </c>
      <c r="R45" s="625">
        <f t="shared" ref="R45:AA45" ca="1" si="12">R37-SUM(R39:R40)+R43</f>
        <v>-504779.55572301021</v>
      </c>
      <c r="S45" s="625">
        <f t="shared" ca="1" si="12"/>
        <v>-518498.90264205774</v>
      </c>
      <c r="T45" s="625">
        <f t="shared" ca="1" si="12"/>
        <v>-532896.76806525607</v>
      </c>
      <c r="U45" s="625">
        <f t="shared" ca="1" si="12"/>
        <v>-548002.30178769073</v>
      </c>
      <c r="V45" s="625">
        <f t="shared" ca="1" si="12"/>
        <v>-563845.70436108613</v>
      </c>
      <c r="W45" s="625">
        <f t="shared" ca="1" si="12"/>
        <v>-580462.74796094396</v>
      </c>
      <c r="X45" s="625">
        <f t="shared" ca="1" si="12"/>
        <v>-597894.95860238164</v>
      </c>
      <c r="Y45" s="625">
        <f t="shared" ca="1" si="12"/>
        <v>-616186.39760210901</v>
      </c>
      <c r="Z45" s="625">
        <f t="shared" ca="1" si="12"/>
        <v>-635383.66793745128</v>
      </c>
      <c r="AA45" s="625">
        <f t="shared" ca="1" si="12"/>
        <v>-655535.94874710077</v>
      </c>
    </row>
    <row r="46" spans="1:33" ht="11.25" x14ac:dyDescent="0.2">
      <c r="E46" s="450" t="s">
        <v>251</v>
      </c>
      <c r="J46" s="25"/>
      <c r="K46" s="593"/>
      <c r="L46" s="593"/>
      <c r="M46" s="593"/>
      <c r="N46" s="593"/>
      <c r="O46" s="593"/>
      <c r="P46" s="593"/>
      <c r="Q46" s="593"/>
      <c r="T46" s="632"/>
      <c r="Y46" s="12"/>
    </row>
    <row r="47" spans="1:33" s="45" customFormat="1" ht="11.25" x14ac:dyDescent="0.2">
      <c r="A47" s="1"/>
      <c r="B47" s="1"/>
      <c r="C47" s="1"/>
      <c r="D47" s="3"/>
      <c r="E47" s="12"/>
      <c r="F47" s="12"/>
      <c r="G47" s="12"/>
      <c r="H47" s="12"/>
      <c r="I47" s="12"/>
      <c r="J47" s="12"/>
      <c r="K47" s="697">
        <f>K9</f>
        <v>2014</v>
      </c>
      <c r="L47" s="698">
        <f t="shared" ref="L47:Q47" si="13">L9</f>
        <v>2015</v>
      </c>
      <c r="M47" s="698">
        <f t="shared" si="13"/>
        <v>2016</v>
      </c>
      <c r="N47" s="698">
        <f t="shared" si="13"/>
        <v>2017</v>
      </c>
      <c r="O47" s="698">
        <f t="shared" si="13"/>
        <v>2018</v>
      </c>
      <c r="P47" s="698">
        <f t="shared" si="13"/>
        <v>2019</v>
      </c>
      <c r="Q47" s="698">
        <f t="shared" si="13"/>
        <v>2020</v>
      </c>
      <c r="R47" s="634"/>
      <c r="S47" s="634"/>
      <c r="T47" s="633"/>
      <c r="U47" s="633"/>
      <c r="V47" s="12"/>
      <c r="W47" s="12"/>
      <c r="X47" s="12"/>
      <c r="Z47" s="12"/>
      <c r="AA47" s="12"/>
    </row>
    <row r="48" spans="1:33" s="45" customFormat="1" ht="11.25" x14ac:dyDescent="0.2">
      <c r="A48" s="1"/>
      <c r="B48" s="1"/>
      <c r="C48" s="1"/>
      <c r="D48" s="3"/>
      <c r="E48" s="12" t="str">
        <f>E37</f>
        <v>Gross Operating Income</v>
      </c>
      <c r="F48" s="12"/>
      <c r="G48" s="12"/>
      <c r="H48" s="12"/>
      <c r="I48" s="12"/>
      <c r="J48" s="12"/>
      <c r="K48" s="593">
        <f>K37</f>
        <v>369000</v>
      </c>
      <c r="L48" s="593">
        <f t="shared" ref="L48:Q48" si="14">L37</f>
        <v>346000</v>
      </c>
      <c r="M48" s="593">
        <f t="shared" ca="1" si="14"/>
        <v>-300728.4687173015</v>
      </c>
      <c r="N48" s="593">
        <f t="shared" ca="1" si="14"/>
        <v>-311591.08570085862</v>
      </c>
      <c r="O48" s="593">
        <f t="shared" ca="1" si="14"/>
        <v>-323964.59767596377</v>
      </c>
      <c r="P48" s="593">
        <f t="shared" ca="1" si="14"/>
        <v>-337939.14205997624</v>
      </c>
      <c r="Q48" s="593">
        <f t="shared" ca="1" si="14"/>
        <v>-353607.32341111731</v>
      </c>
      <c r="R48" s="634"/>
      <c r="S48" s="634"/>
      <c r="T48" s="633"/>
      <c r="U48" s="633"/>
      <c r="V48" s="12"/>
      <c r="W48" s="12"/>
      <c r="X48" s="12"/>
      <c r="Z48" s="12"/>
      <c r="AA48" s="12"/>
    </row>
    <row r="49" spans="1:27" s="45" customFormat="1" ht="11.25" x14ac:dyDescent="0.2">
      <c r="A49" s="1"/>
      <c r="B49" s="1"/>
      <c r="C49" s="1"/>
      <c r="D49" s="3"/>
      <c r="E49" s="12" t="str">
        <f>E41</f>
        <v>Total Depreciation and Interest Expense</v>
      </c>
      <c r="F49" s="12"/>
      <c r="G49" s="12"/>
      <c r="H49" s="12"/>
      <c r="I49" s="12"/>
      <c r="J49" s="12"/>
      <c r="K49" s="593">
        <f>-K41</f>
        <v>-121000</v>
      </c>
      <c r="L49" s="593">
        <f t="shared" ref="L49:Q49" si="15">-L41</f>
        <v>-121000</v>
      </c>
      <c r="M49" s="593">
        <f t="shared" ca="1" si="15"/>
        <v>-124024.99999999999</v>
      </c>
      <c r="N49" s="593">
        <f t="shared" ca="1" si="15"/>
        <v>-127125.62499999997</v>
      </c>
      <c r="O49" s="593">
        <f t="shared" ca="1" si="15"/>
        <v>-130303.76562499996</v>
      </c>
      <c r="P49" s="593">
        <f t="shared" ca="1" si="15"/>
        <v>-133561.35976562495</v>
      </c>
      <c r="Q49" s="593">
        <f t="shared" ca="1" si="15"/>
        <v>-136900.39375976555</v>
      </c>
      <c r="R49" s="634"/>
      <c r="S49" s="634"/>
      <c r="T49" s="633"/>
      <c r="U49" s="633"/>
      <c r="V49" s="12"/>
      <c r="W49" s="12"/>
      <c r="X49" s="12"/>
      <c r="Z49" s="12"/>
      <c r="AA49" s="12"/>
    </row>
    <row r="50" spans="1:27" s="45" customFormat="1" ht="11.25" x14ac:dyDescent="0.2">
      <c r="A50" s="1"/>
      <c r="B50" s="1"/>
      <c r="C50" s="1"/>
      <c r="D50" s="3"/>
      <c r="E50" s="12" t="str">
        <f>E45</f>
        <v>Net Operating Income</v>
      </c>
      <c r="F50" s="12"/>
      <c r="G50" s="12"/>
      <c r="H50" s="12"/>
      <c r="I50" s="12"/>
      <c r="J50" s="12"/>
      <c r="K50" s="593">
        <f>K45</f>
        <v>248000</v>
      </c>
      <c r="L50" s="593">
        <f t="shared" ref="L50:Q50" si="16">L45</f>
        <v>225000</v>
      </c>
      <c r="M50" s="593">
        <f t="shared" ca="1" si="16"/>
        <v>-424753.4687173015</v>
      </c>
      <c r="N50" s="593">
        <f t="shared" ca="1" si="16"/>
        <v>-438716.71070085862</v>
      </c>
      <c r="O50" s="593">
        <f t="shared" ca="1" si="16"/>
        <v>-454268.36330096371</v>
      </c>
      <c r="P50" s="593">
        <f t="shared" ca="1" si="16"/>
        <v>-471500.50182560121</v>
      </c>
      <c r="Q50" s="593">
        <f t="shared" ca="1" si="16"/>
        <v>-490507.71717088285</v>
      </c>
      <c r="R50" s="634"/>
      <c r="S50" s="634"/>
      <c r="T50" s="633"/>
      <c r="U50" s="633"/>
      <c r="V50" s="12"/>
      <c r="W50" s="12"/>
      <c r="X50" s="12"/>
      <c r="Z50" s="12"/>
      <c r="AA50" s="12"/>
    </row>
    <row r="51" spans="1:27" s="45" customFormat="1" ht="11.25" x14ac:dyDescent="0.2">
      <c r="A51" s="1"/>
      <c r="B51" s="1"/>
      <c r="C51" s="1"/>
      <c r="D51" s="3"/>
      <c r="E51" s="12"/>
      <c r="F51" s="12"/>
      <c r="G51" s="12"/>
      <c r="H51" s="12"/>
      <c r="I51" s="12"/>
      <c r="J51" s="12"/>
      <c r="R51" s="634"/>
      <c r="S51" s="634"/>
      <c r="T51" s="633"/>
      <c r="U51" s="633"/>
      <c r="V51" s="12"/>
      <c r="W51" s="12"/>
      <c r="X51" s="12"/>
      <c r="Z51" s="12"/>
      <c r="AA51" s="12"/>
    </row>
    <row r="52" spans="1:27" s="45" customFormat="1" ht="11.25" x14ac:dyDescent="0.2">
      <c r="A52" s="1"/>
      <c r="B52" s="1"/>
      <c r="C52" s="1"/>
      <c r="D52" s="3"/>
      <c r="E52" s="12"/>
      <c r="F52" s="12"/>
      <c r="G52" s="12"/>
      <c r="H52" s="12"/>
      <c r="I52" s="93"/>
      <c r="J52" s="12"/>
      <c r="R52" s="634"/>
      <c r="S52" s="634"/>
      <c r="T52" s="633"/>
      <c r="U52" s="633"/>
      <c r="V52" s="12"/>
      <c r="W52" s="12"/>
      <c r="X52" s="12"/>
      <c r="Z52" s="12"/>
      <c r="AA52" s="12"/>
    </row>
    <row r="53" spans="1:27" s="45" customFormat="1" ht="11.25" x14ac:dyDescent="0.2">
      <c r="A53" s="1"/>
      <c r="B53" s="1"/>
      <c r="C53" s="1"/>
      <c r="D53" s="3"/>
      <c r="E53" s="12"/>
      <c r="F53" s="12"/>
      <c r="G53" s="12"/>
      <c r="H53" s="12"/>
      <c r="I53" s="93"/>
      <c r="J53" s="12"/>
      <c r="R53" s="634"/>
      <c r="S53" s="634"/>
      <c r="T53" s="633"/>
      <c r="U53" s="633"/>
      <c r="V53" s="12"/>
      <c r="W53" s="12"/>
      <c r="X53" s="12"/>
      <c r="Z53" s="12"/>
      <c r="AA53" s="12"/>
    </row>
    <row r="54" spans="1:27" s="45" customFormat="1" ht="11.25" x14ac:dyDescent="0.2">
      <c r="A54" s="1"/>
      <c r="B54" s="1"/>
      <c r="C54" s="1"/>
      <c r="D54" s="3"/>
      <c r="E54" s="12"/>
      <c r="F54" s="12"/>
      <c r="G54" s="12"/>
      <c r="H54" s="12"/>
      <c r="I54" s="93"/>
      <c r="J54" s="12"/>
      <c r="R54" s="634"/>
      <c r="S54" s="634"/>
      <c r="T54" s="633"/>
      <c r="U54" s="633"/>
      <c r="V54" s="12"/>
      <c r="W54" s="12"/>
      <c r="X54" s="12"/>
      <c r="Z54" s="12"/>
      <c r="AA54" s="12"/>
    </row>
  </sheetData>
  <scenarios current="0" show="0" sqref="R39:V39">
    <scenario name="Best Case" locked="1" count="10" user="adileq" comment="Created by adileq on 1/6/2013_x000a_Modified by adileq on 1/6/2013">
      <inputCells r="V45" undone="1" val="0.05" numFmtId="173"/>
      <inputCells r="V47" undone="1" val="0.06" numFmtId="173"/>
      <inputCells r="N98" undone="1" val="0.05" numFmtId="173"/>
      <inputCells r="M98" undone="1" val="0.05" numFmtId="173"/>
      <inputCells r="L98" undone="1" val="0.05" numFmtId="173"/>
      <inputCells r="K98" undone="1" val="0.05" numFmtId="173"/>
      <inputCells r="N100" undone="1" val="0.06" numFmtId="173"/>
      <inputCells r="M100" undone="1" val="0.06" numFmtId="173"/>
      <inputCells r="L100" undone="1" val="0.06" numFmtId="173"/>
      <inputCells r="K100" undone="1" val="0.06" numFmtId="173"/>
    </scenario>
  </scenarios>
  <printOptions horizontalCentered="1"/>
  <pageMargins left="0.25" right="0.25" top="0.75" bottom="0.75" header="0.3" footer="0.3"/>
  <pageSetup scale="49" firstPageNumber="13" orientation="portrait" useFirstPageNumber="1" r:id="rId1"/>
  <headerFooter alignWithMargins="0">
    <oddFooter xml:space="preserve">&amp;R&amp;8&amp;D </oddFooter>
  </headerFooter>
  <colBreaks count="1" manualBreakCount="1">
    <brk id="24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>
    <pageSetUpPr fitToPage="1"/>
  </sheetPr>
  <dimension ref="A1:XEX147"/>
  <sheetViews>
    <sheetView topLeftCell="E3" zoomScale="110" zoomScaleNormal="110" zoomScaleSheetLayoutView="100" workbookViewId="0">
      <pane ySplit="7" topLeftCell="A10" activePane="bottomLeft" state="frozen"/>
      <selection activeCell="G56" sqref="G56"/>
      <selection pane="bottomLeft" activeCell="K45" sqref="K45:L51"/>
    </sheetView>
  </sheetViews>
  <sheetFormatPr defaultColWidth="18.7109375" defaultRowHeight="12.75" customHeight="1" outlineLevelRow="2" outlineLevelCol="1" x14ac:dyDescent="0.2"/>
  <cols>
    <col min="1" max="1" width="2.7109375" style="215" hidden="1" customWidth="1" outlineLevel="1"/>
    <col min="2" max="2" width="14.7109375" style="215" hidden="1" customWidth="1" outlineLevel="1"/>
    <col min="3" max="3" width="2.7109375" style="215" hidden="1" customWidth="1" outlineLevel="1"/>
    <col min="4" max="4" width="1.7109375" style="487" hidden="1" customWidth="1" outlineLevel="1"/>
    <col min="5" max="5" width="30.85546875" style="641" customWidth="1" collapsed="1"/>
    <col min="6" max="7" width="5.42578125" style="641" customWidth="1"/>
    <col min="8" max="8" width="10.85546875" style="641" customWidth="1"/>
    <col min="9" max="9" width="8.7109375" style="643" customWidth="1"/>
    <col min="10" max="10" width="10.7109375" style="770" customWidth="1" outlineLevel="1"/>
    <col min="11" max="11" width="12.7109375" style="766" customWidth="1" outlineLevel="1"/>
    <col min="12" max="18" width="12.7109375" style="766" customWidth="1"/>
    <col min="19" max="20" width="12.7109375" style="730" hidden="1" customWidth="1" outlineLevel="1"/>
    <col min="21" max="22" width="12.7109375" style="731" hidden="1" customWidth="1" outlineLevel="1"/>
    <col min="23" max="25" width="12.7109375" style="641" hidden="1" customWidth="1" outlineLevel="1"/>
    <col min="26" max="26" width="12.42578125" style="690" hidden="1" customWidth="1" outlineLevel="1"/>
    <col min="27" max="27" width="11.28515625" style="641" hidden="1" customWidth="1" outlineLevel="1"/>
    <col min="28" max="28" width="13" style="641" hidden="1" customWidth="1" outlineLevel="1"/>
    <col min="29" max="29" width="6" style="641" bestFit="1" customWidth="1" collapsed="1"/>
    <col min="30" max="30" width="6" style="641" bestFit="1" customWidth="1"/>
    <col min="31" max="31" width="5.140625" style="641" bestFit="1" customWidth="1"/>
    <col min="32" max="32" width="6" style="641" bestFit="1" customWidth="1"/>
    <col min="33" max="33" width="9.140625" style="641" bestFit="1" customWidth="1"/>
    <col min="34" max="37" width="6" style="641" bestFit="1" customWidth="1"/>
    <col min="38" max="16384" width="18.7109375" style="641"/>
  </cols>
  <sheetData>
    <row r="1" spans="1:37" s="215" customFormat="1" ht="11.25" outlineLevel="1" x14ac:dyDescent="0.2">
      <c r="I1" s="699"/>
      <c r="J1" s="757"/>
      <c r="K1" s="758"/>
      <c r="L1" s="758"/>
      <c r="M1" s="758"/>
      <c r="N1" s="758"/>
      <c r="O1" s="758"/>
      <c r="P1" s="758"/>
      <c r="Q1" s="758"/>
      <c r="R1" s="758"/>
      <c r="S1" s="701"/>
      <c r="T1" s="701"/>
      <c r="U1" s="702"/>
      <c r="V1" s="702"/>
      <c r="Z1" s="700"/>
    </row>
    <row r="2" spans="1:37" s="703" customFormat="1" ht="11.25" outlineLevel="1" x14ac:dyDescent="0.2">
      <c r="A2" s="215"/>
      <c r="B2" s="215"/>
      <c r="C2" s="215"/>
      <c r="I2" s="704"/>
      <c r="J2" s="759"/>
      <c r="K2" s="760"/>
      <c r="L2" s="760"/>
      <c r="M2" s="760"/>
      <c r="N2" s="760"/>
      <c r="O2" s="760"/>
      <c r="P2" s="760"/>
      <c r="Q2" s="760"/>
      <c r="R2" s="760"/>
      <c r="S2" s="706"/>
      <c r="T2" s="706"/>
      <c r="U2" s="707"/>
      <c r="V2" s="707"/>
      <c r="W2" s="708"/>
      <c r="X2" s="708"/>
      <c r="Z2" s="705"/>
    </row>
    <row r="3" spans="1:37" s="699" customFormat="1" ht="11.25" x14ac:dyDescent="0.2">
      <c r="D3" s="709"/>
      <c r="E3" s="710"/>
      <c r="F3" s="710"/>
      <c r="G3" s="710"/>
      <c r="H3" s="710"/>
      <c r="I3" s="710"/>
      <c r="J3" s="757"/>
      <c r="K3" s="757"/>
      <c r="L3" s="757"/>
      <c r="M3" s="757"/>
      <c r="N3" s="757"/>
      <c r="O3" s="757"/>
      <c r="P3" s="757"/>
      <c r="Q3" s="757"/>
      <c r="R3" s="757"/>
      <c r="S3" s="701"/>
      <c r="T3" s="711"/>
      <c r="U3" s="711"/>
      <c r="V3" s="711"/>
      <c r="W3" s="710"/>
      <c r="X3" s="710"/>
      <c r="Y3" s="710"/>
      <c r="Z3" s="710"/>
      <c r="AA3" s="710"/>
      <c r="AB3" s="710"/>
    </row>
    <row r="4" spans="1:37" s="215" customFormat="1" ht="18" x14ac:dyDescent="0.25">
      <c r="A4" s="215" t="s">
        <v>251</v>
      </c>
      <c r="D4" s="487"/>
      <c r="E4" s="712" t="s">
        <v>372</v>
      </c>
      <c r="I4" s="699"/>
      <c r="J4" s="757"/>
      <c r="K4" s="758"/>
      <c r="L4" s="758"/>
      <c r="M4" s="758"/>
      <c r="N4" s="758"/>
      <c r="O4" s="758"/>
      <c r="P4" s="758"/>
      <c r="Q4" s="758"/>
      <c r="R4" s="758"/>
      <c r="S4" s="701"/>
      <c r="T4" s="701"/>
      <c r="U4" s="702"/>
      <c r="V4" s="702"/>
      <c r="Z4" s="700"/>
    </row>
    <row r="5" spans="1:37" s="215" customFormat="1" ht="11.25" x14ac:dyDescent="0.2">
      <c r="D5" s="487"/>
      <c r="E5" s="702" t="s">
        <v>0</v>
      </c>
      <c r="I5" s="699"/>
      <c r="J5" s="757"/>
      <c r="K5" s="761">
        <v>2006</v>
      </c>
      <c r="L5" s="761"/>
      <c r="M5" s="817"/>
      <c r="N5" s="761"/>
      <c r="O5" s="761"/>
      <c r="P5" s="761"/>
      <c r="Q5" s="761"/>
      <c r="R5" s="761"/>
      <c r="S5" s="713"/>
      <c r="T5" s="714"/>
      <c r="U5" s="714"/>
      <c r="V5" s="714"/>
      <c r="W5" s="268"/>
      <c r="X5" s="268"/>
      <c r="Y5" s="268"/>
      <c r="Z5" s="700"/>
    </row>
    <row r="6" spans="1:37" s="215" customFormat="1" ht="3" customHeight="1" x14ac:dyDescent="0.2">
      <c r="D6" s="487"/>
      <c r="E6" s="702"/>
      <c r="I6" s="699"/>
      <c r="J6" s="757"/>
      <c r="K6" s="758"/>
      <c r="L6" s="758"/>
      <c r="M6" s="758"/>
      <c r="N6" s="758"/>
      <c r="O6" s="758"/>
      <c r="P6" s="758"/>
      <c r="Q6" s="758"/>
      <c r="R6" s="758"/>
      <c r="S6" s="701"/>
      <c r="T6" s="701"/>
      <c r="U6" s="702"/>
      <c r="V6" s="702"/>
      <c r="Z6" s="700"/>
    </row>
    <row r="7" spans="1:37" s="215" customFormat="1" ht="11.25" x14ac:dyDescent="0.2">
      <c r="D7" s="487"/>
      <c r="I7" s="710"/>
      <c r="J7" s="757"/>
      <c r="K7" s="762"/>
      <c r="L7" s="762"/>
      <c r="M7" s="762"/>
      <c r="N7" s="762"/>
      <c r="O7" s="763"/>
      <c r="P7" s="764"/>
      <c r="Q7" s="764"/>
      <c r="R7" s="764"/>
      <c r="S7" s="715"/>
      <c r="T7" s="715"/>
      <c r="U7" s="716"/>
      <c r="V7" s="716"/>
      <c r="W7" s="717"/>
      <c r="X7" s="717"/>
      <c r="Y7" s="718"/>
      <c r="Z7" s="700"/>
    </row>
    <row r="8" spans="1:37" s="215" customFormat="1" ht="11.25" x14ac:dyDescent="0.2">
      <c r="D8" s="487"/>
      <c r="I8" s="710"/>
      <c r="J8" s="784">
        <f t="shared" ref="J8:AB8" si="0">J9-CurrentFiscalYear</f>
        <v>-4</v>
      </c>
      <c r="K8" s="785">
        <f t="shared" si="0"/>
        <v>-3</v>
      </c>
      <c r="L8" s="785">
        <f t="shared" si="0"/>
        <v>-2</v>
      </c>
      <c r="M8" s="785">
        <f t="shared" si="0"/>
        <v>-1</v>
      </c>
      <c r="N8" s="785">
        <f t="shared" si="0"/>
        <v>0</v>
      </c>
      <c r="O8" s="785">
        <f t="shared" si="0"/>
        <v>1</v>
      </c>
      <c r="P8" s="785">
        <f t="shared" si="0"/>
        <v>2</v>
      </c>
      <c r="Q8" s="785">
        <f t="shared" si="0"/>
        <v>3</v>
      </c>
      <c r="R8" s="785">
        <f t="shared" si="0"/>
        <v>4</v>
      </c>
      <c r="S8" s="785">
        <f t="shared" si="0"/>
        <v>5</v>
      </c>
      <c r="T8" s="785">
        <f t="shared" si="0"/>
        <v>6</v>
      </c>
      <c r="U8" s="785">
        <f t="shared" si="0"/>
        <v>7</v>
      </c>
      <c r="V8" s="785">
        <f t="shared" si="0"/>
        <v>8</v>
      </c>
      <c r="W8" s="785">
        <f t="shared" si="0"/>
        <v>9</v>
      </c>
      <c r="X8" s="785">
        <f t="shared" si="0"/>
        <v>10</v>
      </c>
      <c r="Y8" s="785">
        <f t="shared" si="0"/>
        <v>11</v>
      </c>
      <c r="Z8" s="785">
        <f t="shared" si="0"/>
        <v>12</v>
      </c>
      <c r="AA8" s="785">
        <f t="shared" si="0"/>
        <v>13</v>
      </c>
      <c r="AB8" s="785">
        <f t="shared" si="0"/>
        <v>14</v>
      </c>
    </row>
    <row r="9" spans="1:37" s="215" customFormat="1" ht="11.25" x14ac:dyDescent="0.2">
      <c r="D9" s="487"/>
      <c r="I9" s="710"/>
      <c r="J9" s="786">
        <v>2012</v>
      </c>
      <c r="K9" s="280">
        <f t="shared" ref="K9:R9" si="1">J9+1</f>
        <v>2013</v>
      </c>
      <c r="L9" s="280">
        <f t="shared" si="1"/>
        <v>2014</v>
      </c>
      <c r="M9" s="280">
        <f t="shared" si="1"/>
        <v>2015</v>
      </c>
      <c r="N9" s="282">
        <f t="shared" si="1"/>
        <v>2016</v>
      </c>
      <c r="O9" s="282">
        <f t="shared" si="1"/>
        <v>2017</v>
      </c>
      <c r="P9" s="282">
        <f t="shared" si="1"/>
        <v>2018</v>
      </c>
      <c r="Q9" s="282">
        <f t="shared" si="1"/>
        <v>2019</v>
      </c>
      <c r="R9" s="282">
        <f t="shared" si="1"/>
        <v>2020</v>
      </c>
      <c r="S9" s="282">
        <f t="shared" ref="S9:AB9" si="2">R9+1</f>
        <v>2021</v>
      </c>
      <c r="T9" s="282">
        <f t="shared" si="2"/>
        <v>2022</v>
      </c>
      <c r="U9" s="282">
        <f t="shared" si="2"/>
        <v>2023</v>
      </c>
      <c r="V9" s="282">
        <f t="shared" si="2"/>
        <v>2024</v>
      </c>
      <c r="W9" s="282">
        <f t="shared" si="2"/>
        <v>2025</v>
      </c>
      <c r="X9" s="282">
        <f t="shared" si="2"/>
        <v>2026</v>
      </c>
      <c r="Y9" s="282">
        <f t="shared" si="2"/>
        <v>2027</v>
      </c>
      <c r="Z9" s="282">
        <f t="shared" si="2"/>
        <v>2028</v>
      </c>
      <c r="AA9" s="282">
        <f t="shared" si="2"/>
        <v>2029</v>
      </c>
      <c r="AB9" s="282">
        <f t="shared" si="2"/>
        <v>2030</v>
      </c>
    </row>
    <row r="10" spans="1:37" s="215" customFormat="1" ht="3" customHeight="1" x14ac:dyDescent="0.2">
      <c r="D10" s="487"/>
      <c r="I10" s="699"/>
      <c r="J10" s="757"/>
      <c r="K10" s="758"/>
      <c r="L10" s="758"/>
      <c r="M10" s="758"/>
      <c r="N10" s="758"/>
      <c r="O10" s="758"/>
      <c r="P10" s="758"/>
      <c r="Q10" s="758"/>
      <c r="R10" s="758"/>
      <c r="S10" s="758"/>
      <c r="T10" s="758"/>
      <c r="U10" s="758"/>
      <c r="V10" s="758"/>
      <c r="W10" s="758"/>
      <c r="X10" s="758"/>
      <c r="Y10" s="758"/>
      <c r="Z10" s="758"/>
      <c r="AA10" s="758"/>
      <c r="AB10" s="758"/>
    </row>
    <row r="11" spans="1:37" ht="11.25" x14ac:dyDescent="0.2">
      <c r="E11" s="787" t="s">
        <v>381</v>
      </c>
      <c r="F11" s="744"/>
      <c r="G11" s="744"/>
      <c r="H11" s="744"/>
      <c r="I11" s="745"/>
      <c r="J11" s="788">
        <v>1278528</v>
      </c>
      <c r="K11" s="788">
        <v>1319087</v>
      </c>
      <c r="L11" s="788">
        <f>1433550+79850</f>
        <v>1513400</v>
      </c>
      <c r="M11" s="788">
        <v>1501291</v>
      </c>
      <c r="N11" s="788">
        <f>M84</f>
        <v>1588795.4916956802</v>
      </c>
      <c r="O11" s="788">
        <f ca="1">N84</f>
        <v>1121135.3601046843</v>
      </c>
      <c r="P11" s="788">
        <f ca="1">O84</f>
        <v>619295.76560853631</v>
      </c>
      <c r="Q11" s="788">
        <f ca="1">P84</f>
        <v>72120.013384956634</v>
      </c>
      <c r="R11" s="788">
        <f ca="1">Q84</f>
        <v>-517217.61343424534</v>
      </c>
      <c r="S11" s="788">
        <f t="shared" ref="S11:AB11" ca="1" si="3">R84</f>
        <v>-1131485.9869572762</v>
      </c>
      <c r="T11" s="788">
        <f t="shared" ca="1" si="3"/>
        <v>-1775553.727622851</v>
      </c>
      <c r="U11" s="788">
        <f t="shared" ca="1" si="3"/>
        <v>-2438590.5095966752</v>
      </c>
      <c r="V11" s="788">
        <f t="shared" ca="1" si="3"/>
        <v>-3122198.5972368284</v>
      </c>
      <c r="W11" s="788">
        <f t="shared" ca="1" si="3"/>
        <v>-3826370.6736269551</v>
      </c>
      <c r="X11" s="788">
        <f t="shared" ca="1" si="3"/>
        <v>-4560212.160190993</v>
      </c>
      <c r="Y11" s="788">
        <f t="shared" ca="1" si="3"/>
        <v>-5324410.0122304335</v>
      </c>
      <c r="Z11" s="788">
        <f t="shared" ca="1" si="3"/>
        <v>-6114133.5089595057</v>
      </c>
      <c r="AA11" s="788">
        <f t="shared" ca="1" si="3"/>
        <v>-6930264.0242609503</v>
      </c>
      <c r="AB11" s="788">
        <f t="shared" ca="1" si="3"/>
        <v>-7772085.031690578</v>
      </c>
    </row>
    <row r="12" spans="1:37" ht="3" customHeight="1" x14ac:dyDescent="0.2">
      <c r="E12" s="738"/>
      <c r="J12" s="440"/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0"/>
      <c r="X12" s="440"/>
      <c r="Y12" s="440"/>
      <c r="Z12" s="440"/>
      <c r="AA12" s="440"/>
      <c r="AB12" s="440"/>
    </row>
    <row r="13" spans="1:37" s="215" customFormat="1" ht="11.25" x14ac:dyDescent="0.2">
      <c r="D13" s="487"/>
      <c r="E13" s="719" t="s">
        <v>126</v>
      </c>
      <c r="I13" s="699"/>
      <c r="J13" s="757"/>
      <c r="K13" s="758"/>
      <c r="L13" s="758"/>
      <c r="M13" s="758"/>
      <c r="N13" s="758"/>
      <c r="O13" s="758"/>
      <c r="P13" s="758"/>
      <c r="Q13" s="758"/>
      <c r="R13" s="758"/>
      <c r="S13" s="758"/>
      <c r="T13" s="758"/>
      <c r="U13" s="758"/>
      <c r="V13" s="758"/>
      <c r="W13" s="758"/>
      <c r="X13" s="758"/>
      <c r="Y13" s="758"/>
      <c r="Z13" s="758"/>
      <c r="AA13" s="758"/>
      <c r="AB13" s="758"/>
    </row>
    <row r="14" spans="1:37" s="215" customFormat="1" ht="3" customHeight="1" x14ac:dyDescent="0.2">
      <c r="D14" s="487"/>
      <c r="I14" s="699"/>
      <c r="J14" s="757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</row>
    <row r="15" spans="1:37" ht="11.25" outlineLevel="1" x14ac:dyDescent="0.2">
      <c r="E15" s="687" t="s">
        <v>24</v>
      </c>
      <c r="H15" s="720"/>
      <c r="J15" s="440">
        <f>'1. SRECNA'!P13</f>
        <v>420000</v>
      </c>
      <c r="K15" s="440">
        <f>'1. SRECNA'!Q13</f>
        <v>440000</v>
      </c>
      <c r="L15" s="440">
        <f>'1. SRECNA'!R13</f>
        <v>460000</v>
      </c>
      <c r="M15" s="440">
        <f>'1. SRECNA'!S13</f>
        <v>460000</v>
      </c>
      <c r="N15" s="440">
        <f ca="1">'1. SRECNA'!T13</f>
        <v>-168989.43780000161</v>
      </c>
      <c r="O15" s="440">
        <f ca="1">'1. SRECNA'!U13</f>
        <v>-168969.70516345365</v>
      </c>
      <c r="P15" s="440">
        <f ca="1">'1. SRECNA'!V13</f>
        <v>-168949.27107262224</v>
      </c>
      <c r="Q15" s="440">
        <f ca="1">'1. SRECNA'!W13</f>
        <v>-168928.15629328266</v>
      </c>
      <c r="R15" s="440">
        <f ca="1">'1. SRECNA'!X13</f>
        <v>-168906.33832844891</v>
      </c>
      <c r="S15" s="440">
        <f ca="1">'2. MD&amp;A'!Y13</f>
        <v>-168887.33157291831</v>
      </c>
      <c r="T15" s="440">
        <f ca="1">'2. MD&amp;A'!Z13</f>
        <v>-168868.07235005967</v>
      </c>
      <c r="U15" s="440">
        <f ca="1">'2. MD&amp;A'!AA13</f>
        <v>-168842.9211355953</v>
      </c>
      <c r="V15" s="440">
        <f ca="1">'2. MD&amp;A'!AB13</f>
        <v>-168815.9459442909</v>
      </c>
      <c r="W15" s="440">
        <f ca="1">'2. MD&amp;A'!AC13</f>
        <v>-168786.89405977342</v>
      </c>
      <c r="X15" s="440">
        <f ca="1">'2. MD&amp;A'!AD13</f>
        <v>-168755.47391148011</v>
      </c>
      <c r="Y15" s="440">
        <f ca="1">'2. MD&amp;A'!AE13</f>
        <v>-168721.34762016509</v>
      </c>
      <c r="Z15" s="440">
        <f ca="1">'2. MD&amp;A'!AF13</f>
        <v>-168684.12209471193</v>
      </c>
      <c r="AA15" s="440">
        <f ca="1">'2. MD&amp;A'!AG13</f>
        <v>-168643.33835853369</v>
      </c>
      <c r="AB15" s="440">
        <f ca="1">'2. MD&amp;A'!AH13</f>
        <v>-168598.4587106999</v>
      </c>
      <c r="AC15" s="686"/>
      <c r="AD15" s="686"/>
      <c r="AE15" s="686"/>
      <c r="AF15" s="686"/>
      <c r="AG15" s="686"/>
      <c r="AH15" s="686"/>
      <c r="AI15" s="686"/>
      <c r="AJ15" s="686"/>
      <c r="AK15" s="686"/>
    </row>
    <row r="16" spans="1:37" ht="11.25" outlineLevel="1" x14ac:dyDescent="0.2">
      <c r="E16" s="687" t="s">
        <v>25</v>
      </c>
      <c r="J16" s="440">
        <f>'1. SRECNA'!P70</f>
        <v>110000</v>
      </c>
      <c r="K16" s="440">
        <f>'1. SRECNA'!Q70</f>
        <v>115000</v>
      </c>
      <c r="L16" s="440">
        <f>'1. SRECNA'!R70</f>
        <v>120000</v>
      </c>
      <c r="M16" s="440">
        <f>'1. SRECNA'!S70</f>
        <v>120000</v>
      </c>
      <c r="N16" s="440">
        <f>'1. SRECNA'!T70</f>
        <v>344600</v>
      </c>
      <c r="O16" s="440">
        <f ca="1">'1. SRECNA'!U70</f>
        <v>354938</v>
      </c>
      <c r="P16" s="440">
        <f ca="1">'1. SRECNA'!V70</f>
        <v>365586.14</v>
      </c>
      <c r="Q16" s="440">
        <f ca="1">'1. SRECNA'!W70</f>
        <v>376553.7242</v>
      </c>
      <c r="R16" s="440">
        <f ca="1">'1. SRECNA'!X70</f>
        <v>387850.33592600003</v>
      </c>
      <c r="S16" s="440">
        <f ca="1">'2. MD&amp;A'!Y14</f>
        <v>399485.84600378003</v>
      </c>
      <c r="T16" s="440">
        <f ca="1">'2. MD&amp;A'!Z14</f>
        <v>411470.42138389341</v>
      </c>
      <c r="U16" s="440">
        <f ca="1">'2. MD&amp;A'!AA14</f>
        <v>423814.53402541025</v>
      </c>
      <c r="V16" s="440">
        <f ca="1">'2. MD&amp;A'!AB14</f>
        <v>436528.97004617256</v>
      </c>
      <c r="W16" s="440">
        <f ca="1">'2. MD&amp;A'!AC14</f>
        <v>449624.83914755774</v>
      </c>
      <c r="X16" s="440">
        <f ca="1">'2. MD&amp;A'!AD14</f>
        <v>463113.5843219845</v>
      </c>
      <c r="Y16" s="440">
        <f ca="1">'2. MD&amp;A'!AE14</f>
        <v>477006.99185164407</v>
      </c>
      <c r="Z16" s="440">
        <f ca="1">'2. MD&amp;A'!AF14</f>
        <v>491317.20160719339</v>
      </c>
      <c r="AA16" s="440">
        <f ca="1">'2. MD&amp;A'!AG14</f>
        <v>506056.71765540919</v>
      </c>
      <c r="AB16" s="440">
        <f ca="1">'2. MD&amp;A'!AH14</f>
        <v>521238.41918507149</v>
      </c>
      <c r="AC16" s="686"/>
      <c r="AD16" s="686"/>
      <c r="AE16" s="686"/>
      <c r="AF16" s="686"/>
      <c r="AG16" s="686"/>
      <c r="AH16" s="686"/>
      <c r="AI16" s="686"/>
      <c r="AJ16" s="686"/>
      <c r="AK16" s="686"/>
    </row>
    <row r="17" spans="5:37" ht="11.25" outlineLevel="1" x14ac:dyDescent="0.2">
      <c r="E17" s="687" t="s">
        <v>78</v>
      </c>
      <c r="I17" s="643" t="s">
        <v>98</v>
      </c>
      <c r="J17" s="440">
        <f>'1. SRECNA'!P74</f>
        <v>5000</v>
      </c>
      <c r="K17" s="440">
        <f>'1. SRECNA'!Q74</f>
        <v>5000</v>
      </c>
      <c r="L17" s="440">
        <f>'1. SRECNA'!R74</f>
        <v>5000</v>
      </c>
      <c r="M17" s="440">
        <f>'1. SRECNA'!S74</f>
        <v>5000</v>
      </c>
      <c r="N17" s="440">
        <f ca="1">'1. SRECNA'!T74</f>
        <v>5125</v>
      </c>
      <c r="O17" s="440">
        <f ca="1">'1. SRECNA'!U74</f>
        <v>5253.1249999999991</v>
      </c>
      <c r="P17" s="440">
        <f ca="1">'1. SRECNA'!V74</f>
        <v>5384.4531249999982</v>
      </c>
      <c r="Q17" s="440">
        <f ca="1">'1. SRECNA'!W74</f>
        <v>5519.0644531249973</v>
      </c>
      <c r="R17" s="440">
        <f ca="1">'1. SRECNA'!X74</f>
        <v>5657.0410644531221</v>
      </c>
      <c r="S17" s="440">
        <f ca="1">'2. MD&amp;A'!Y15</f>
        <v>5798.46709106445</v>
      </c>
      <c r="T17" s="440">
        <f ca="1">'2. MD&amp;A'!Z15</f>
        <v>5943.4287683410603</v>
      </c>
      <c r="U17" s="440">
        <f ca="1">'2. MD&amp;A'!AA15</f>
        <v>6092.0144875495862</v>
      </c>
      <c r="V17" s="440">
        <f ca="1">'2. MD&amp;A'!AB15</f>
        <v>6244.3148497383254</v>
      </c>
      <c r="W17" s="440">
        <f ca="1">'2. MD&amp;A'!AC15</f>
        <v>6400.4227209817827</v>
      </c>
      <c r="X17" s="440">
        <f ca="1">'2. MD&amp;A'!AD15</f>
        <v>6560.433289006327</v>
      </c>
      <c r="Y17" s="440">
        <f ca="1">'2. MD&amp;A'!AE15</f>
        <v>6724.4441212314841</v>
      </c>
      <c r="Z17" s="440">
        <f ca="1">'2. MD&amp;A'!AF15</f>
        <v>6892.5552242622707</v>
      </c>
      <c r="AA17" s="440">
        <f ca="1">'2. MD&amp;A'!AG15</f>
        <v>7064.869104868827</v>
      </c>
      <c r="AB17" s="440">
        <f ca="1">'2. MD&amp;A'!AH15</f>
        <v>7241.4908324905473</v>
      </c>
      <c r="AC17" s="686"/>
      <c r="AD17" s="686"/>
      <c r="AE17" s="686"/>
      <c r="AF17" s="686"/>
      <c r="AG17" s="686"/>
      <c r="AH17" s="686"/>
      <c r="AI17" s="686"/>
      <c r="AJ17" s="686"/>
      <c r="AK17" s="686"/>
    </row>
    <row r="18" spans="5:37" ht="11.25" outlineLevel="1" x14ac:dyDescent="0.2">
      <c r="E18" s="687" t="s">
        <v>173</v>
      </c>
      <c r="H18" s="722"/>
      <c r="I18" s="643" t="s">
        <v>98</v>
      </c>
      <c r="J18" s="440">
        <f>'1. SRECNA'!P24</f>
        <v>210000</v>
      </c>
      <c r="K18" s="440">
        <f>'1. SRECNA'!Q24</f>
        <v>215000</v>
      </c>
      <c r="L18" s="440">
        <f>'1. SRECNA'!R24</f>
        <v>220000</v>
      </c>
      <c r="M18" s="440">
        <f>'1. SRECNA'!S24</f>
        <v>220000</v>
      </c>
      <c r="N18" s="440">
        <f ca="1">'1. SRECNA'!T24</f>
        <v>225499.99999999997</v>
      </c>
      <c r="O18" s="440">
        <f ca="1">'1. SRECNA'!U24</f>
        <v>231137.49999999994</v>
      </c>
      <c r="P18" s="440">
        <f ca="1">'1. SRECNA'!V24</f>
        <v>236915.93749999991</v>
      </c>
      <c r="Q18" s="440">
        <f ca="1">'1. SRECNA'!W24</f>
        <v>242838.83593749988</v>
      </c>
      <c r="R18" s="440">
        <f ca="1">'1. SRECNA'!X24</f>
        <v>248909.80683593737</v>
      </c>
      <c r="S18" s="440">
        <f ca="1">'2. MD&amp;A'!Y16</f>
        <v>255132.55200683579</v>
      </c>
      <c r="T18" s="440">
        <f ca="1">'2. MD&amp;A'!Z16</f>
        <v>261510.86580700666</v>
      </c>
      <c r="U18" s="440">
        <f ca="1">'2. MD&amp;A'!AA16</f>
        <v>268048.63745218178</v>
      </c>
      <c r="V18" s="440">
        <f ca="1">'2. MD&amp;A'!AB16</f>
        <v>274749.85338848631</v>
      </c>
      <c r="W18" s="440">
        <f ca="1">'2. MD&amp;A'!AC16</f>
        <v>281618.59972319845</v>
      </c>
      <c r="X18" s="440">
        <f ca="1">'2. MD&amp;A'!AD16</f>
        <v>288659.0647162784</v>
      </c>
      <c r="Y18" s="440">
        <f ca="1">'2. MD&amp;A'!AE16</f>
        <v>295875.54133418534</v>
      </c>
      <c r="Z18" s="440">
        <f ca="1">'2. MD&amp;A'!AF16</f>
        <v>303272.42986753996</v>
      </c>
      <c r="AA18" s="440">
        <f ca="1">'2. MD&amp;A'!AG16</f>
        <v>310854.24061422842</v>
      </c>
      <c r="AB18" s="440">
        <f ca="1">'2. MD&amp;A'!AH16</f>
        <v>318625.59662958409</v>
      </c>
      <c r="AC18" s="686"/>
      <c r="AD18" s="686"/>
      <c r="AE18" s="686"/>
      <c r="AF18" s="686"/>
      <c r="AG18" s="686"/>
      <c r="AH18" s="686"/>
      <c r="AI18" s="686"/>
      <c r="AJ18" s="686"/>
      <c r="AK18" s="686"/>
    </row>
    <row r="19" spans="5:37" ht="11.25" outlineLevel="1" x14ac:dyDescent="0.2">
      <c r="E19" s="687" t="s">
        <v>174</v>
      </c>
      <c r="H19" s="722"/>
      <c r="J19" s="440">
        <f>SUM('1. SRECNA'!P25:P27)</f>
        <v>230000</v>
      </c>
      <c r="K19" s="440">
        <f>SUM('1. SRECNA'!Q25:Q27)</f>
        <v>245000</v>
      </c>
      <c r="L19" s="440">
        <f>SUM('1. SRECNA'!R25:R27)</f>
        <v>260000</v>
      </c>
      <c r="M19" s="440">
        <f>SUM('1. SRECNA'!S25:S27)</f>
        <v>260000</v>
      </c>
      <c r="N19" s="440">
        <f ca="1">SUM('1. SRECNA'!T25:T27)</f>
        <v>266500</v>
      </c>
      <c r="O19" s="440">
        <f ca="1">SUM('1. SRECNA'!U25:U27)</f>
        <v>273162.49999999994</v>
      </c>
      <c r="P19" s="440">
        <f ca="1">SUM('1. SRECNA'!V25:V27)</f>
        <v>279991.56249999988</v>
      </c>
      <c r="Q19" s="440">
        <f ca="1">SUM('1. SRECNA'!W25:W27)</f>
        <v>286991.35156249988</v>
      </c>
      <c r="R19" s="440">
        <f ca="1">SUM('1. SRECNA'!X25:X27)</f>
        <v>294166.13535156235</v>
      </c>
      <c r="S19" s="440">
        <f ca="1">'2. MD&amp;A'!Y17</f>
        <v>301520.28873535141</v>
      </c>
      <c r="T19" s="440">
        <f ca="1">'2. MD&amp;A'!Z17</f>
        <v>309058.29595373519</v>
      </c>
      <c r="U19" s="440">
        <f ca="1">'2. MD&amp;A'!AA17</f>
        <v>316784.7533525785</v>
      </c>
      <c r="V19" s="440">
        <f ca="1">'2. MD&amp;A'!AB17</f>
        <v>324704.37218639295</v>
      </c>
      <c r="W19" s="440">
        <f ca="1">'2. MD&amp;A'!AC17</f>
        <v>332821.98149105278</v>
      </c>
      <c r="X19" s="440">
        <f ca="1">'2. MD&amp;A'!AD17</f>
        <v>341142.53102832905</v>
      </c>
      <c r="Y19" s="440">
        <f ca="1">'2. MD&amp;A'!AE17</f>
        <v>349671.09430403722</v>
      </c>
      <c r="Z19" s="440">
        <f ca="1">'2. MD&amp;A'!AF17</f>
        <v>358412.87166163808</v>
      </c>
      <c r="AA19" s="440">
        <f ca="1">'2. MD&amp;A'!AG17</f>
        <v>367373.19345317897</v>
      </c>
      <c r="AB19" s="440">
        <f ca="1">'2. MD&amp;A'!AH17</f>
        <v>376557.52328950848</v>
      </c>
      <c r="AC19" s="686"/>
      <c r="AD19" s="686"/>
      <c r="AE19" s="686"/>
      <c r="AF19" s="686"/>
      <c r="AG19" s="686"/>
      <c r="AH19" s="686"/>
      <c r="AI19" s="686"/>
      <c r="AJ19" s="686"/>
      <c r="AK19" s="686"/>
    </row>
    <row r="20" spans="5:37" ht="11.25" outlineLevel="1" x14ac:dyDescent="0.2">
      <c r="E20" s="687" t="s">
        <v>211</v>
      </c>
      <c r="H20" s="722"/>
      <c r="I20" s="643" t="s">
        <v>98</v>
      </c>
      <c r="J20" s="440">
        <f>'1. SRECNA'!P29+'1. SRECNA'!P30</f>
        <v>170000</v>
      </c>
      <c r="K20" s="440">
        <f>'1. SRECNA'!Q29+'1. SRECNA'!Q30</f>
        <v>180000</v>
      </c>
      <c r="L20" s="440">
        <f>'1. SRECNA'!R29+'1. SRECNA'!R30</f>
        <v>190000</v>
      </c>
      <c r="M20" s="440">
        <f>'1. SRECNA'!S29+'1. SRECNA'!S30</f>
        <v>190000</v>
      </c>
      <c r="N20" s="440">
        <f ca="1">'1. SRECNA'!T29+'1. SRECNA'!T30</f>
        <v>197450</v>
      </c>
      <c r="O20" s="440">
        <f ca="1">'1. SRECNA'!U29+'1. SRECNA'!U30</f>
        <v>205234.74999999997</v>
      </c>
      <c r="P20" s="440">
        <f ca="1">'1. SRECNA'!V29+'1. SRECNA'!V30</f>
        <v>213370.78624999995</v>
      </c>
      <c r="Q20" s="440">
        <f ca="1">'1. SRECNA'!W29+'1. SRECNA'!W30</f>
        <v>221875.50761874992</v>
      </c>
      <c r="R20" s="440">
        <f ca="1">'1. SRECNA'!X29+'1. SRECNA'!X30</f>
        <v>230767.22186590615</v>
      </c>
      <c r="S20" s="440">
        <f ca="1">'2. MD&amp;A'!Y18</f>
        <v>240065.19442985911</v>
      </c>
      <c r="T20" s="440">
        <f ca="1">'2. MD&amp;A'!Z18</f>
        <v>249789.69986886266</v>
      </c>
      <c r="U20" s="440">
        <f ca="1">'2. MD&amp;A'!AA18</f>
        <v>259962.07610064547</v>
      </c>
      <c r="V20" s="440">
        <f ca="1">'2. MD&amp;A'!AB18</f>
        <v>270604.78159365116</v>
      </c>
      <c r="W20" s="440">
        <f ca="1">'2. MD&amp;A'!AC18</f>
        <v>281741.45567145897</v>
      </c>
      <c r="X20" s="440">
        <f ca="1">'2. MD&amp;A'!AD18</f>
        <v>293396.98210080015</v>
      </c>
      <c r="Y20" s="440">
        <f ca="1">'2. MD&amp;A'!AE18</f>
        <v>305597.5561429403</v>
      </c>
      <c r="Z20" s="440">
        <f ca="1">'2. MD&amp;A'!AF18</f>
        <v>318370.75525806309</v>
      </c>
      <c r="AA20" s="440">
        <f ca="1">'2. MD&amp;A'!AG18</f>
        <v>331745.61366269918</v>
      </c>
      <c r="AB20" s="440">
        <f ca="1">'2. MD&amp;A'!AH18</f>
        <v>345752.70095122629</v>
      </c>
      <c r="AC20" s="686"/>
      <c r="AD20" s="686"/>
      <c r="AE20" s="686"/>
      <c r="AF20" s="686"/>
      <c r="AG20" s="686"/>
      <c r="AH20" s="686"/>
      <c r="AI20" s="686"/>
      <c r="AJ20" s="686"/>
      <c r="AK20" s="686"/>
    </row>
    <row r="21" spans="5:37" ht="11.25" outlineLevel="1" x14ac:dyDescent="0.2">
      <c r="E21" s="687" t="s">
        <v>27</v>
      </c>
      <c r="J21" s="440">
        <f>'1. SRECNA'!P75</f>
        <v>90000</v>
      </c>
      <c r="K21" s="440">
        <f>'1. SRECNA'!Q75</f>
        <v>95000</v>
      </c>
      <c r="L21" s="440">
        <f>'1. SRECNA'!R75</f>
        <v>100000</v>
      </c>
      <c r="M21" s="440">
        <f>'1. SRECNA'!S75</f>
        <v>100000</v>
      </c>
      <c r="N21" s="440">
        <f ca="1">'1. SRECNA'!T75</f>
        <v>103499.99999999999</v>
      </c>
      <c r="O21" s="440">
        <f ca="1">'1. SRECNA'!U75</f>
        <v>107122.49999999997</v>
      </c>
      <c r="P21" s="440">
        <f ca="1">'1. SRECNA'!V75</f>
        <v>110871.78749999996</v>
      </c>
      <c r="Q21" s="440">
        <f ca="1">'1. SRECNA'!W75</f>
        <v>114752.30006249995</v>
      </c>
      <c r="R21" s="440">
        <f ca="1">'1. SRECNA'!X75</f>
        <v>118768.63056468744</v>
      </c>
      <c r="S21" s="440">
        <f ca="1">'2. MD&amp;A'!Y19</f>
        <v>122925.53263445149</v>
      </c>
      <c r="T21" s="440">
        <f ca="1">'2. MD&amp;A'!Z19</f>
        <v>127227.92627665728</v>
      </c>
      <c r="U21" s="440">
        <f ca="1">'2. MD&amp;A'!AA19</f>
        <v>131680.90369634028</v>
      </c>
      <c r="V21" s="440">
        <f ca="1">'2. MD&amp;A'!AB19</f>
        <v>136289.73532571219</v>
      </c>
      <c r="W21" s="440">
        <f ca="1">'2. MD&amp;A'!AC19</f>
        <v>141059.8760621121</v>
      </c>
      <c r="X21" s="440">
        <f ca="1">'2. MD&amp;A'!AD19</f>
        <v>145996.97172428601</v>
      </c>
      <c r="Y21" s="440">
        <f ca="1">'2. MD&amp;A'!AE19</f>
        <v>151106.865734636</v>
      </c>
      <c r="Z21" s="440">
        <f ca="1">'2. MD&amp;A'!AF19</f>
        <v>156395.60603534823</v>
      </c>
      <c r="AA21" s="440">
        <f ca="1">'2. MD&amp;A'!AG19</f>
        <v>161869.4522465854</v>
      </c>
      <c r="AB21" s="440">
        <f ca="1">'2. MD&amp;A'!AH19</f>
        <v>167534.88307521588</v>
      </c>
      <c r="AC21" s="686"/>
      <c r="AD21" s="686"/>
      <c r="AE21" s="686"/>
      <c r="AF21" s="686"/>
      <c r="AG21" s="686"/>
      <c r="AH21" s="686"/>
      <c r="AI21" s="686"/>
      <c r="AJ21" s="686"/>
      <c r="AK21" s="686"/>
    </row>
    <row r="22" spans="5:37" ht="11.25" outlineLevel="2" x14ac:dyDescent="0.2">
      <c r="E22" s="750" t="s">
        <v>376</v>
      </c>
      <c r="J22" s="765">
        <v>37100</v>
      </c>
      <c r="K22" s="765">
        <v>41800</v>
      </c>
      <c r="L22" s="765">
        <v>45000</v>
      </c>
      <c r="M22" s="765"/>
      <c r="N22" s="765"/>
      <c r="O22" s="765"/>
      <c r="P22" s="765"/>
      <c r="Q22" s="765"/>
      <c r="R22" s="765"/>
      <c r="S22" s="765"/>
      <c r="T22" s="765"/>
      <c r="U22" s="765"/>
      <c r="V22" s="765"/>
      <c r="W22" s="765"/>
      <c r="X22" s="765"/>
      <c r="Y22" s="765"/>
      <c r="Z22" s="765"/>
      <c r="AA22" s="765"/>
      <c r="AB22" s="765"/>
      <c r="AC22" s="686"/>
      <c r="AD22" s="686"/>
      <c r="AE22" s="686"/>
      <c r="AF22" s="686"/>
      <c r="AG22" s="686"/>
      <c r="AH22" s="686"/>
      <c r="AI22" s="686"/>
      <c r="AJ22" s="686"/>
      <c r="AK22" s="686"/>
    </row>
    <row r="23" spans="5:37" ht="11.25" outlineLevel="2" x14ac:dyDescent="0.2">
      <c r="E23" s="750" t="s">
        <v>84</v>
      </c>
      <c r="J23" s="765">
        <f>'1. SRECNA'!P75-Simplified_Cash_Flow!J22</f>
        <v>52900</v>
      </c>
      <c r="K23" s="765">
        <f>'2. MD&amp;A'!Q19-K22</f>
        <v>53200</v>
      </c>
      <c r="L23" s="765">
        <f>'2. MD&amp;A'!R19-L22</f>
        <v>55000</v>
      </c>
      <c r="M23" s="765"/>
      <c r="N23" s="765"/>
      <c r="O23" s="765"/>
      <c r="P23" s="765"/>
      <c r="Q23" s="765"/>
      <c r="R23" s="765"/>
      <c r="S23" s="765"/>
      <c r="T23" s="765"/>
      <c r="U23" s="765"/>
      <c r="V23" s="765"/>
      <c r="W23" s="765"/>
      <c r="X23" s="765"/>
      <c r="Y23" s="765"/>
      <c r="Z23" s="765"/>
      <c r="AA23" s="765"/>
      <c r="AB23" s="765"/>
      <c r="AC23" s="686"/>
      <c r="AD23" s="686"/>
      <c r="AE23" s="686"/>
      <c r="AF23" s="686"/>
      <c r="AG23" s="686"/>
      <c r="AH23" s="686"/>
      <c r="AI23" s="686"/>
      <c r="AJ23" s="686"/>
      <c r="AK23" s="686"/>
    </row>
    <row r="24" spans="5:37" ht="11.25" outlineLevel="1" x14ac:dyDescent="0.2">
      <c r="E24" s="687" t="s">
        <v>128</v>
      </c>
      <c r="J24" s="440">
        <f>SUM(J25:J27)</f>
        <v>98000</v>
      </c>
      <c r="K24" s="440">
        <f t="shared" ref="K24:R24" si="4">SUM(K25:K27)</f>
        <v>98000</v>
      </c>
      <c r="L24" s="440">
        <f t="shared" si="4"/>
        <v>98000</v>
      </c>
      <c r="M24" s="440">
        <f t="shared" si="4"/>
        <v>75000</v>
      </c>
      <c r="N24" s="440">
        <f t="shared" si="4"/>
        <v>68408.337126305603</v>
      </c>
      <c r="O24" s="440">
        <f t="shared" ca="1" si="4"/>
        <v>57032.491204710794</v>
      </c>
      <c r="P24" s="440">
        <f t="shared" ca="1" si="4"/>
        <v>35601.107252384136</v>
      </c>
      <c r="Q24" s="440">
        <f t="shared" ca="1" si="4"/>
        <v>18527.95327137435</v>
      </c>
      <c r="R24" s="440">
        <f t="shared" ca="1" si="4"/>
        <v>9958.6219897025185</v>
      </c>
      <c r="S24" s="440">
        <f t="shared" ref="S24:AB24" ca="1" si="5">SUM(S25:S27)</f>
        <v>571.66060907156498</v>
      </c>
      <c r="T24" s="440">
        <f t="shared" ca="1" si="5"/>
        <v>-9284.8294083629298</v>
      </c>
      <c r="U24" s="440">
        <f t="shared" ca="1" si="5"/>
        <v>-19434.21499433809</v>
      </c>
      <c r="V24" s="440">
        <f t="shared" ca="1" si="5"/>
        <v>-29889.578575408206</v>
      </c>
      <c r="W24" s="440">
        <f t="shared" ca="1" si="5"/>
        <v>-40643.269584450885</v>
      </c>
      <c r="X24" s="440">
        <f t="shared" ca="1" si="5"/>
        <v>-51827.870204810926</v>
      </c>
      <c r="Y24" s="440">
        <f t="shared" ca="1" si="5"/>
        <v>-63453.302963381022</v>
      </c>
      <c r="Z24" s="440">
        <f t="shared" ca="1" si="5"/>
        <v>-75447.012635835781</v>
      </c>
      <c r="AA24" s="440">
        <f t="shared" ca="1" si="5"/>
        <v>-87822.30288163168</v>
      </c>
      <c r="AB24" s="440">
        <f t="shared" ca="1" si="5"/>
        <v>-100568.59968364872</v>
      </c>
      <c r="AC24" s="686"/>
      <c r="AD24" s="686"/>
      <c r="AE24" s="686"/>
      <c r="AF24" s="686"/>
      <c r="AG24" s="686"/>
      <c r="AH24" s="686"/>
      <c r="AI24" s="686"/>
      <c r="AJ24" s="686"/>
      <c r="AK24" s="686"/>
    </row>
    <row r="25" spans="5:37" ht="11.25" outlineLevel="2" x14ac:dyDescent="0.2">
      <c r="E25" s="750" t="s">
        <v>377</v>
      </c>
      <c r="J25" s="765">
        <f>'1. SRECNA'!P77</f>
        <v>60000</v>
      </c>
      <c r="K25" s="765">
        <f>'1. SRECNA'!Q77</f>
        <v>60000</v>
      </c>
      <c r="L25" s="765">
        <f>'1. SRECNA'!R77</f>
        <v>60000</v>
      </c>
      <c r="M25" s="765">
        <f>'1. SRECNA'!S77</f>
        <v>60000</v>
      </c>
      <c r="N25" s="765">
        <f>'1. SRECNA'!T77</f>
        <v>14000</v>
      </c>
      <c r="O25" s="765">
        <f>'1. SRECNA'!U77</f>
        <v>15581.4</v>
      </c>
      <c r="P25" s="765">
        <f>'1. SRECNA'!V77</f>
        <v>16732.7978</v>
      </c>
      <c r="Q25" s="765">
        <f>'1. SRECNA'!W77</f>
        <v>17446.153070600001</v>
      </c>
      <c r="R25" s="765">
        <f>'1. SRECNA'!X77</f>
        <v>17716.886191216199</v>
      </c>
      <c r="S25" s="765">
        <f>'1. SRECNA'!Y77</f>
        <v>17543.950413430706</v>
      </c>
      <c r="T25" s="765">
        <f>'1. SRECNA'!Z77</f>
        <v>17348.476505979834</v>
      </c>
      <c r="U25" s="765">
        <f>'1. SRECNA'!AA77</f>
        <v>17144.642649612037</v>
      </c>
      <c r="V25" s="765">
        <f>'1. SRECNA'!AB77</f>
        <v>16943.400383144221</v>
      </c>
      <c r="W25" s="765">
        <f>'1. SRECNA'!AC77</f>
        <v>16752.29051995344</v>
      </c>
      <c r="X25" s="765">
        <f>'1. SRECNA'!AD77</f>
        <v>16575.312198053976</v>
      </c>
      <c r="Y25" s="765">
        <f>'1. SRECNA'!AE77</f>
        <v>16412.847220075477</v>
      </c>
      <c r="Z25" s="765">
        <f>'1. SRECNA'!AF77</f>
        <v>16264.989998556804</v>
      </c>
      <c r="AA25" s="765">
        <f>'1. SRECNA'!AG77</f>
        <v>16131.657482282568</v>
      </c>
      <c r="AB25" s="765">
        <f>'1. SRECNA'!AH77</f>
        <v>16012.67579170994</v>
      </c>
      <c r="AC25" s="686"/>
      <c r="AD25" s="686"/>
      <c r="AE25" s="686"/>
      <c r="AF25" s="686"/>
      <c r="AG25" s="686"/>
      <c r="AH25" s="686"/>
      <c r="AI25" s="686"/>
      <c r="AJ25" s="686"/>
      <c r="AK25" s="686"/>
    </row>
    <row r="26" spans="5:37" ht="11.25" outlineLevel="2" x14ac:dyDescent="0.2">
      <c r="E26" s="750" t="s">
        <v>68</v>
      </c>
      <c r="J26" s="765">
        <f>'1. SRECNA'!P78</f>
        <v>5000</v>
      </c>
      <c r="K26" s="765">
        <f>'1. SRECNA'!Q78</f>
        <v>5000</v>
      </c>
      <c r="L26" s="765">
        <f>'1. SRECNA'!R78</f>
        <v>5000</v>
      </c>
      <c r="M26" s="765">
        <f>'1. SRECNA'!S78</f>
        <v>5000</v>
      </c>
      <c r="N26" s="765">
        <f>Simplified_Cash_Flow!M87*0.015</f>
        <v>8543.73</v>
      </c>
      <c r="O26" s="765">
        <f ca="1">Simplified_Cash_Flow!N87*0.015</f>
        <v>4500</v>
      </c>
      <c r="P26" s="765">
        <f ca="1">Simplified_Cash_Flow!O87*0.015</f>
        <v>4500</v>
      </c>
      <c r="Q26" s="765">
        <f ca="1">Simplified_Cash_Flow!P87*0.015</f>
        <v>1081.8002007743494</v>
      </c>
      <c r="R26" s="765">
        <f ca="1">Simplified_Cash_Flow!Q87*0.015</f>
        <v>-7758.2642015136798</v>
      </c>
      <c r="S26" s="765">
        <f ca="1">Simplified_Cash_Flow!R87*0.015</f>
        <v>-16972.289804359141</v>
      </c>
      <c r="T26" s="765">
        <f ca="1">Simplified_Cash_Flow!S87*0.015</f>
        <v>-26633.305914342764</v>
      </c>
      <c r="U26" s="765">
        <f ca="1">Simplified_Cash_Flow!T87*0.015</f>
        <v>-36578.857643950127</v>
      </c>
      <c r="V26" s="765">
        <f ca="1">Simplified_Cash_Flow!U87*0.015</f>
        <v>-46832.978958552427</v>
      </c>
      <c r="W26" s="765">
        <f ca="1">Simplified_Cash_Flow!V87*0.015</f>
        <v>-57395.560104404321</v>
      </c>
      <c r="X26" s="765">
        <f ca="1">Simplified_Cash_Flow!W87*0.015</f>
        <v>-68403.182402864899</v>
      </c>
      <c r="Y26" s="765">
        <f ca="1">Simplified_Cash_Flow!X87*0.015</f>
        <v>-79866.150183456499</v>
      </c>
      <c r="Z26" s="765">
        <f ca="1">Simplified_Cash_Flow!Y87*0.015</f>
        <v>-91712.002634392586</v>
      </c>
      <c r="AA26" s="765">
        <f ca="1">Simplified_Cash_Flow!Z87*0.015</f>
        <v>-103953.96036391424</v>
      </c>
      <c r="AB26" s="765">
        <f ca="1">Simplified_Cash_Flow!AA87*0.015</f>
        <v>-116581.27547535866</v>
      </c>
      <c r="AC26" s="686"/>
      <c r="AD26" s="686"/>
      <c r="AE26" s="686"/>
      <c r="AF26" s="686"/>
      <c r="AG26" s="686"/>
      <c r="AH26" s="686"/>
      <c r="AI26" s="686"/>
      <c r="AJ26" s="686"/>
      <c r="AK26" s="686"/>
    </row>
    <row r="27" spans="5:37" ht="11.25" outlineLevel="2" x14ac:dyDescent="0.2">
      <c r="E27" s="750" t="s">
        <v>399</v>
      </c>
      <c r="J27" s="765">
        <f>'1. SRECNA'!P79+23000</f>
        <v>33000</v>
      </c>
      <c r="K27" s="765">
        <f>'1. SRECNA'!Q79+23000</f>
        <v>33000</v>
      </c>
      <c r="L27" s="765">
        <f>'1. SRECNA'!R79+23000</f>
        <v>33000</v>
      </c>
      <c r="M27" s="765">
        <f>'1. SRECNA'!S79</f>
        <v>10000</v>
      </c>
      <c r="N27" s="765">
        <f>Simplified_Cash_Flow!M88*0.045</f>
        <v>45864.607126305607</v>
      </c>
      <c r="O27" s="765">
        <f ca="1">Simplified_Cash_Flow!N88*0.045</f>
        <v>36951.091204710792</v>
      </c>
      <c r="P27" s="765">
        <f ca="1">Simplified_Cash_Flow!O88*0.045</f>
        <v>14368.309452384134</v>
      </c>
      <c r="Q27" s="765">
        <f ca="1">Simplified_Cash_Flow!P88*0.045</f>
        <v>0</v>
      </c>
      <c r="R27" s="765">
        <f ca="1">Simplified_Cash_Flow!Q88*0.045</f>
        <v>0</v>
      </c>
      <c r="S27" s="765">
        <f ca="1">Simplified_Cash_Flow!R88*0.045</f>
        <v>0</v>
      </c>
      <c r="T27" s="765">
        <f ca="1">Simplified_Cash_Flow!S88*0.045</f>
        <v>0</v>
      </c>
      <c r="U27" s="765">
        <f ca="1">Simplified_Cash_Flow!T88*0.045</f>
        <v>0</v>
      </c>
      <c r="V27" s="765">
        <f ca="1">Simplified_Cash_Flow!U88*0.045</f>
        <v>0</v>
      </c>
      <c r="W27" s="765">
        <f ca="1">Simplified_Cash_Flow!V88*0.045</f>
        <v>0</v>
      </c>
      <c r="X27" s="765">
        <f ca="1">Simplified_Cash_Flow!W88*0.045</f>
        <v>0</v>
      </c>
      <c r="Y27" s="765">
        <f ca="1">Simplified_Cash_Flow!X88*0.045</f>
        <v>0</v>
      </c>
      <c r="Z27" s="765">
        <f ca="1">Simplified_Cash_Flow!Y88*0.045</f>
        <v>0</v>
      </c>
      <c r="AA27" s="765">
        <f ca="1">Simplified_Cash_Flow!Z88*0.045</f>
        <v>0</v>
      </c>
      <c r="AB27" s="765">
        <f ca="1">Simplified_Cash_Flow!AA88*0.045</f>
        <v>0</v>
      </c>
      <c r="AC27" s="686"/>
      <c r="AD27" s="686"/>
      <c r="AE27" s="686"/>
      <c r="AF27" s="686"/>
      <c r="AG27" s="686"/>
      <c r="AH27" s="686"/>
      <c r="AI27" s="686"/>
      <c r="AJ27" s="686"/>
      <c r="AK27" s="686"/>
    </row>
    <row r="28" spans="5:37" ht="11.25" outlineLevel="1" x14ac:dyDescent="0.2">
      <c r="E28" s="687" t="s">
        <v>127</v>
      </c>
      <c r="H28" s="720"/>
      <c r="J28" s="440">
        <f>SUM(J29:J32)</f>
        <v>112679</v>
      </c>
      <c r="K28" s="440">
        <f>SUM(K29:K32)</f>
        <v>95000</v>
      </c>
      <c r="L28" s="440">
        <f>SUM(L29:L32)</f>
        <v>100000</v>
      </c>
      <c r="M28" s="440">
        <f>'1. SRECNA'!S38</f>
        <v>100000</v>
      </c>
      <c r="N28" s="440">
        <f ca="1">'1. SRECNA'!T38</f>
        <v>105500</v>
      </c>
      <c r="O28" s="440">
        <f ca="1">'1. SRECNA'!U38</f>
        <v>111302.5</v>
      </c>
      <c r="P28" s="440">
        <f ca="1">'1. SRECNA'!V38</f>
        <v>117424.1375</v>
      </c>
      <c r="Q28" s="440">
        <f ca="1">'1. SRECNA'!W38</f>
        <v>123882.46506249999</v>
      </c>
      <c r="R28" s="440">
        <f ca="1">'1. SRECNA'!X38</f>
        <v>130696.00064093749</v>
      </c>
      <c r="S28" s="440">
        <f ca="1">'1. SRECNA'!Y38</f>
        <v>137884.28067618905</v>
      </c>
      <c r="T28" s="440">
        <f ca="1">'1. SRECNA'!Z38</f>
        <v>145467.91611337944</v>
      </c>
      <c r="U28" s="440">
        <f ca="1">'1. SRECNA'!AA38</f>
        <v>153468.65149961531</v>
      </c>
      <c r="V28" s="440">
        <f ca="1">'1. SRECNA'!AB38</f>
        <v>161909.42733209414</v>
      </c>
      <c r="W28" s="440">
        <f ca="1">'1. SRECNA'!AC38</f>
        <v>170814.44583535931</v>
      </c>
      <c r="X28" s="440">
        <f ca="1">'1. SRECNA'!AD38</f>
        <v>180209.24035630407</v>
      </c>
      <c r="Y28" s="440">
        <f ca="1">'1. SRECNA'!AE38</f>
        <v>190120.7485759008</v>
      </c>
      <c r="Z28" s="440">
        <f ca="1">'1. SRECNA'!AF38</f>
        <v>200577.38974757533</v>
      </c>
      <c r="AA28" s="440">
        <f ca="1">'1. SRECNA'!AG38</f>
        <v>211609.14618369198</v>
      </c>
      <c r="AB28" s="440">
        <f ca="1">'1. SRECNA'!AH38</f>
        <v>223247.64922379502</v>
      </c>
      <c r="AC28" s="686"/>
      <c r="AD28" s="686"/>
      <c r="AE28" s="686"/>
      <c r="AF28" s="686"/>
      <c r="AG28" s="686"/>
      <c r="AH28" s="686"/>
      <c r="AI28" s="686"/>
      <c r="AJ28" s="686"/>
      <c r="AK28" s="686"/>
    </row>
    <row r="29" spans="5:37" ht="11.25" customHeight="1" outlineLevel="2" x14ac:dyDescent="0.2">
      <c r="E29" s="750" t="s">
        <v>378</v>
      </c>
      <c r="H29" s="720"/>
      <c r="J29" s="765">
        <v>12185.285539999999</v>
      </c>
      <c r="K29" s="765">
        <v>11242.826929999999</v>
      </c>
      <c r="L29" s="765">
        <v>14643.692479999998</v>
      </c>
      <c r="M29" s="440"/>
      <c r="N29" s="440"/>
      <c r="O29" s="440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</row>
    <row r="30" spans="5:37" ht="11.25" customHeight="1" outlineLevel="2" x14ac:dyDescent="0.2">
      <c r="E30" s="750" t="s">
        <v>375</v>
      </c>
      <c r="H30" s="720"/>
      <c r="J30" s="765">
        <v>6976.6756499999992</v>
      </c>
      <c r="K30" s="765">
        <v>7041.8161099999998</v>
      </c>
      <c r="L30" s="765">
        <v>7011.9277600000005</v>
      </c>
      <c r="M30" s="440"/>
      <c r="N30" s="440"/>
      <c r="O30" s="440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</row>
    <row r="31" spans="5:37" ht="11.25" customHeight="1" outlineLevel="2" x14ac:dyDescent="0.2">
      <c r="E31" s="750" t="s">
        <v>374</v>
      </c>
      <c r="H31" s="720"/>
      <c r="J31" s="765">
        <v>6472.06333</v>
      </c>
      <c r="K31" s="765">
        <v>6496.7160599999997</v>
      </c>
      <c r="L31" s="765">
        <v>5735.9161100000001</v>
      </c>
      <c r="M31" s="440"/>
      <c r="N31" s="440"/>
      <c r="O31" s="440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</row>
    <row r="32" spans="5:37" ht="11.25" customHeight="1" outlineLevel="2" x14ac:dyDescent="0.2">
      <c r="E32" s="750" t="s">
        <v>379</v>
      </c>
      <c r="H32" s="720"/>
      <c r="J32" s="765">
        <f>'1. SRECNA'!P38+22679-SUM(J29:J31)</f>
        <v>87044.975479999994</v>
      </c>
      <c r="K32" s="765">
        <f>'1. SRECNA'!Q38-SUM(K29:K31)</f>
        <v>70218.640899999999</v>
      </c>
      <c r="L32" s="765">
        <f>'1. SRECNA'!R38-SUM(L29:L31)</f>
        <v>72608.463650000005</v>
      </c>
      <c r="M32" s="440"/>
      <c r="N32" s="440"/>
      <c r="O32" s="440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</row>
    <row r="33" spans="5:37" ht="10.5" customHeight="1" outlineLevel="1" x14ac:dyDescent="0.2">
      <c r="J33" s="766"/>
      <c r="S33" s="766"/>
      <c r="T33" s="766"/>
      <c r="U33" s="766"/>
      <c r="V33" s="766"/>
      <c r="W33" s="766"/>
      <c r="X33" s="766"/>
      <c r="Y33" s="766"/>
      <c r="Z33" s="766"/>
      <c r="AA33" s="766"/>
      <c r="AB33" s="766"/>
    </row>
    <row r="34" spans="5:37" ht="11.25" x14ac:dyDescent="0.2">
      <c r="E34" s="723" t="s">
        <v>129</v>
      </c>
      <c r="F34" s="724"/>
      <c r="G34" s="724"/>
      <c r="H34" s="724"/>
      <c r="I34" s="725"/>
      <c r="J34" s="767">
        <f>SUM(J15:J21)+J24+J28</f>
        <v>1445679</v>
      </c>
      <c r="K34" s="767">
        <f t="shared" ref="K34:R34" si="6">SUM(K15:K21)+K24+K28</f>
        <v>1488000</v>
      </c>
      <c r="L34" s="767">
        <f t="shared" si="6"/>
        <v>1553000</v>
      </c>
      <c r="M34" s="767">
        <f t="shared" si="6"/>
        <v>1530000</v>
      </c>
      <c r="N34" s="767">
        <f t="shared" ca="1" si="6"/>
        <v>1147593.899326304</v>
      </c>
      <c r="O34" s="767">
        <f t="shared" ca="1" si="6"/>
        <v>1176213.661041257</v>
      </c>
      <c r="P34" s="767">
        <f t="shared" ca="1" si="6"/>
        <v>1196196.6405547615</v>
      </c>
      <c r="Q34" s="767">
        <f t="shared" ca="1" si="6"/>
        <v>1222013.0458749663</v>
      </c>
      <c r="R34" s="767">
        <f t="shared" ca="1" si="6"/>
        <v>1257867.4559107379</v>
      </c>
      <c r="S34" s="767">
        <f t="shared" ref="S34:AB34" ca="1" si="7">SUM(S15:S21)+S24+S28</f>
        <v>1294496.4906136848</v>
      </c>
      <c r="T34" s="767">
        <f t="shared" ca="1" si="7"/>
        <v>1332315.652413453</v>
      </c>
      <c r="U34" s="767">
        <f t="shared" ca="1" si="7"/>
        <v>1371574.4344843877</v>
      </c>
      <c r="V34" s="767">
        <f t="shared" ca="1" si="7"/>
        <v>1412325.9302025484</v>
      </c>
      <c r="W34" s="767">
        <f t="shared" ca="1" si="7"/>
        <v>1454651.4570074969</v>
      </c>
      <c r="X34" s="767">
        <f t="shared" ca="1" si="7"/>
        <v>1498495.4634206975</v>
      </c>
      <c r="Y34" s="767">
        <f t="shared" ca="1" si="7"/>
        <v>1543928.5914810291</v>
      </c>
      <c r="Z34" s="767">
        <f t="shared" ca="1" si="7"/>
        <v>1591107.674671073</v>
      </c>
      <c r="AA34" s="767">
        <f t="shared" ca="1" si="7"/>
        <v>1640107.5916804965</v>
      </c>
      <c r="AB34" s="767">
        <f t="shared" ca="1" si="7"/>
        <v>1691031.2047925431</v>
      </c>
      <c r="AC34" s="686"/>
      <c r="AD34" s="686"/>
      <c r="AE34" s="686"/>
      <c r="AF34" s="686"/>
      <c r="AG34" s="686"/>
      <c r="AH34" s="686"/>
      <c r="AI34" s="686"/>
    </row>
    <row r="35" spans="5:37" ht="4.5" customHeight="1" x14ac:dyDescent="0.2">
      <c r="J35" s="768"/>
      <c r="K35" s="768"/>
      <c r="L35" s="768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</row>
    <row r="36" spans="5:37" ht="11.25" x14ac:dyDescent="0.2">
      <c r="E36" s="719" t="s">
        <v>130</v>
      </c>
      <c r="J36" s="769"/>
      <c r="K36" s="769"/>
      <c r="L36" s="769"/>
      <c r="M36" s="769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769"/>
      <c r="Y36" s="769"/>
      <c r="Z36" s="769"/>
      <c r="AA36" s="769"/>
      <c r="AB36" s="769"/>
    </row>
    <row r="37" spans="5:37" ht="3" customHeight="1" x14ac:dyDescent="0.2">
      <c r="S37" s="766"/>
      <c r="T37" s="766"/>
      <c r="U37" s="766"/>
      <c r="V37" s="766"/>
      <c r="W37" s="766"/>
      <c r="X37" s="766"/>
      <c r="Y37" s="766"/>
      <c r="Z37" s="766"/>
      <c r="AA37" s="766"/>
      <c r="AB37" s="766"/>
    </row>
    <row r="38" spans="5:37" ht="11.25" outlineLevel="1" x14ac:dyDescent="0.2">
      <c r="E38" s="687" t="s">
        <v>20</v>
      </c>
      <c r="H38" s="722"/>
      <c r="I38" s="643" t="s">
        <v>98</v>
      </c>
      <c r="J38" s="440">
        <f>'1. SRECNA'!P44</f>
        <v>310000</v>
      </c>
      <c r="K38" s="440">
        <f>'1. SRECNA'!Q44</f>
        <v>315000</v>
      </c>
      <c r="L38" s="440">
        <f>'1. SRECNA'!R44</f>
        <v>320000</v>
      </c>
      <c r="M38" s="440">
        <f>'2. MD&amp;A'!S27</f>
        <v>320000</v>
      </c>
      <c r="N38" s="440">
        <f ca="1">'2. MD&amp;A'!T27</f>
        <v>329600</v>
      </c>
      <c r="O38" s="440">
        <f ca="1">'2. MD&amp;A'!U27</f>
        <v>339488</v>
      </c>
      <c r="P38" s="440">
        <f ca="1">'2. MD&amp;A'!V27</f>
        <v>349672.64</v>
      </c>
      <c r="Q38" s="440">
        <f ca="1">'2. MD&amp;A'!W27</f>
        <v>360162.81920000003</v>
      </c>
      <c r="R38" s="440">
        <f ca="1">'2. MD&amp;A'!X27</f>
        <v>370967.70377600001</v>
      </c>
      <c r="S38" s="440">
        <f ca="1">'2. MD&amp;A'!Y27</f>
        <v>382096.73488927999</v>
      </c>
      <c r="T38" s="440">
        <f ca="1">'2. MD&amp;A'!Z27</f>
        <v>393559.63693595841</v>
      </c>
      <c r="U38" s="440">
        <f ca="1">'2. MD&amp;A'!AA27</f>
        <v>405366.42604403716</v>
      </c>
      <c r="V38" s="440">
        <f ca="1">'2. MD&amp;A'!AB27</f>
        <v>417527.41882535827</v>
      </c>
      <c r="W38" s="440">
        <f ca="1">'2. MD&amp;A'!AC27</f>
        <v>430053.24139011902</v>
      </c>
      <c r="X38" s="440">
        <f ca="1">'2. MD&amp;A'!AD27</f>
        <v>442954.83863182261</v>
      </c>
      <c r="Y38" s="440">
        <f ca="1">'2. MD&amp;A'!AE27</f>
        <v>456243.48379077727</v>
      </c>
      <c r="Z38" s="440">
        <f ca="1">'2. MD&amp;A'!AF27</f>
        <v>469930.78830450063</v>
      </c>
      <c r="AA38" s="440">
        <f ca="1">'2. MD&amp;A'!AG27</f>
        <v>484028.71195363568</v>
      </c>
      <c r="AB38" s="440">
        <f ca="1">'2. MD&amp;A'!AH27</f>
        <v>498549.57331224479</v>
      </c>
      <c r="AC38" s="686"/>
      <c r="AD38" s="686"/>
      <c r="AE38" s="686"/>
      <c r="AF38" s="686"/>
      <c r="AG38" s="686"/>
      <c r="AH38" s="686"/>
      <c r="AI38" s="686"/>
      <c r="AJ38" s="686"/>
      <c r="AK38" s="686"/>
    </row>
    <row r="39" spans="5:37" ht="11.25" outlineLevel="1" x14ac:dyDescent="0.2">
      <c r="E39" s="687" t="s">
        <v>8</v>
      </c>
      <c r="H39" s="722"/>
      <c r="J39" s="440">
        <f>'1. SRECNA'!P45</f>
        <v>110000</v>
      </c>
      <c r="K39" s="440">
        <f>'1. SRECNA'!Q45</f>
        <v>115000</v>
      </c>
      <c r="L39" s="440">
        <f>'1. SRECNA'!R45</f>
        <v>120000</v>
      </c>
      <c r="M39" s="440">
        <f>'2. MD&amp;A'!S28</f>
        <v>120000</v>
      </c>
      <c r="N39" s="440">
        <f ca="1">'2. MD&amp;A'!T28</f>
        <v>296504.03091729997</v>
      </c>
      <c r="O39" s="440">
        <f ca="1">'2. MD&amp;A'!U28</f>
        <v>311080.00553740497</v>
      </c>
      <c r="P39" s="440">
        <f ca="1">'2. MD&amp;A'!V28</f>
        <v>326583.23902834154</v>
      </c>
      <c r="Q39" s="440">
        <f ca="1">'2. MD&amp;A'!W28</f>
        <v>343078.80136291857</v>
      </c>
      <c r="R39" s="440">
        <f ca="1">'2. MD&amp;A'!X28</f>
        <v>360636.54455867509</v>
      </c>
      <c r="S39" s="440">
        <f ca="1">'2. MD&amp;A'!Y28</f>
        <v>371455.64089543535</v>
      </c>
      <c r="T39" s="440">
        <f ca="1">'2. MD&amp;A'!Z28</f>
        <v>382599.31012229843</v>
      </c>
      <c r="U39" s="440">
        <f ca="1">'2. MD&amp;A'!AA28</f>
        <v>394077.28942596738</v>
      </c>
      <c r="V39" s="440">
        <f ca="1">'2. MD&amp;A'!AB28</f>
        <v>405899.60810874635</v>
      </c>
      <c r="W39" s="440">
        <f ca="1">'2. MD&amp;A'!AC28</f>
        <v>418076.59635200875</v>
      </c>
      <c r="X39" s="440">
        <f ca="1">'2. MD&amp;A'!AD28</f>
        <v>430618.89424256905</v>
      </c>
      <c r="Y39" s="440">
        <f ca="1">'2. MD&amp;A'!AE28</f>
        <v>443537.46106984612</v>
      </c>
      <c r="Z39" s="440">
        <f ca="1">'2. MD&amp;A'!AF28</f>
        <v>456843.58490194153</v>
      </c>
      <c r="AA39" s="440">
        <f ca="1">'2. MD&amp;A'!AG28</f>
        <v>470548.8924489998</v>
      </c>
      <c r="AB39" s="440">
        <f ca="1">'2. MD&amp;A'!AH28</f>
        <v>484665.35922246985</v>
      </c>
      <c r="AC39" s="686"/>
      <c r="AD39" s="686"/>
      <c r="AE39" s="686"/>
      <c r="AF39" s="686"/>
      <c r="AG39" s="686"/>
      <c r="AH39" s="686"/>
      <c r="AI39" s="686"/>
      <c r="AJ39" s="686"/>
      <c r="AK39" s="686"/>
    </row>
    <row r="40" spans="5:37" ht="11.25" outlineLevel="1" x14ac:dyDescent="0.2">
      <c r="E40" s="687" t="s">
        <v>177</v>
      </c>
      <c r="H40" s="722"/>
      <c r="J40" s="440">
        <f>'1. SRECNA'!P58</f>
        <v>60000</v>
      </c>
      <c r="K40" s="440">
        <f>'1. SRECNA'!Q58</f>
        <v>65000</v>
      </c>
      <c r="L40" s="440">
        <f>'1. SRECNA'!R58</f>
        <v>70000</v>
      </c>
      <c r="M40" s="440">
        <f>'2. MD&amp;A'!S29</f>
        <v>70000</v>
      </c>
      <c r="N40" s="440">
        <f ca="1">'2. MD&amp;A'!T29</f>
        <v>73850</v>
      </c>
      <c r="O40" s="440">
        <f ca="1">'2. MD&amp;A'!U29</f>
        <v>75696.25</v>
      </c>
      <c r="P40" s="440">
        <f ca="1">'2. MD&amp;A'!V29</f>
        <v>77588.65625</v>
      </c>
      <c r="Q40" s="440">
        <f ca="1">'2. MD&amp;A'!W29</f>
        <v>79528.372656249994</v>
      </c>
      <c r="R40" s="440">
        <f ca="1">'2. MD&amp;A'!X29</f>
        <v>81516.581972656233</v>
      </c>
      <c r="S40" s="440">
        <f ca="1">'2. MD&amp;A'!Y29</f>
        <v>83554.496521972629</v>
      </c>
      <c r="T40" s="440">
        <f ca="1">'2. MD&amp;A'!Z29</f>
        <v>85643.358935021941</v>
      </c>
      <c r="U40" s="440">
        <f ca="1">'2. MD&amp;A'!AA29</f>
        <v>87784.442908397483</v>
      </c>
      <c r="V40" s="440">
        <f ca="1">'2. MD&amp;A'!AB29</f>
        <v>89979.053981107412</v>
      </c>
      <c r="W40" s="440">
        <f ca="1">'2. MD&amp;A'!AC29</f>
        <v>92228.530330635083</v>
      </c>
      <c r="X40" s="440">
        <f ca="1">'2. MD&amp;A'!AD29</f>
        <v>94534.24358890095</v>
      </c>
      <c r="Y40" s="440">
        <f ca="1">'2. MD&amp;A'!AE29</f>
        <v>96897.599678623461</v>
      </c>
      <c r="Z40" s="440">
        <f ca="1">'2. MD&amp;A'!AF29</f>
        <v>99320.039670589045</v>
      </c>
      <c r="AA40" s="440">
        <f ca="1">'2. MD&amp;A'!AG29</f>
        <v>101803.04066235376</v>
      </c>
      <c r="AB40" s="440">
        <f ca="1">'2. MD&amp;A'!AH29</f>
        <v>104348.11667891259</v>
      </c>
      <c r="AC40" s="686"/>
      <c r="AD40" s="686"/>
      <c r="AE40" s="686"/>
      <c r="AF40" s="686"/>
      <c r="AG40" s="686"/>
      <c r="AH40" s="686"/>
      <c r="AI40" s="686"/>
      <c r="AJ40" s="686"/>
      <c r="AK40" s="686"/>
    </row>
    <row r="41" spans="5:37" ht="11.25" outlineLevel="1" x14ac:dyDescent="0.2">
      <c r="E41" s="687" t="s">
        <v>384</v>
      </c>
      <c r="H41" s="643" t="s">
        <v>12</v>
      </c>
      <c r="J41" s="440">
        <f>'1. SRECNA'!P47</f>
        <v>210000</v>
      </c>
      <c r="K41" s="440">
        <f>'1. SRECNA'!Q47</f>
        <v>215000</v>
      </c>
      <c r="L41" s="440">
        <f>'1. SRECNA'!R47</f>
        <v>220000</v>
      </c>
      <c r="M41" s="440">
        <f>'2. MD&amp;A'!S30</f>
        <v>220000</v>
      </c>
      <c r="N41" s="440">
        <f ca="1">'2. MD&amp;A'!T30</f>
        <v>225499.99999999997</v>
      </c>
      <c r="O41" s="440">
        <f ca="1">'2. MD&amp;A'!U30</f>
        <v>231137.49999999994</v>
      </c>
      <c r="P41" s="440">
        <f ca="1">'2. MD&amp;A'!V30</f>
        <v>236915.93749999991</v>
      </c>
      <c r="Q41" s="440">
        <f ca="1">'2. MD&amp;A'!W30</f>
        <v>242838.83593749988</v>
      </c>
      <c r="R41" s="440">
        <f ca="1">'2. MD&amp;A'!X30</f>
        <v>248909.80683593737</v>
      </c>
      <c r="S41" s="440">
        <f ca="1">'2. MD&amp;A'!Y30</f>
        <v>255132.55200683579</v>
      </c>
      <c r="T41" s="440">
        <f ca="1">'2. MD&amp;A'!Z30</f>
        <v>261510.86580700666</v>
      </c>
      <c r="U41" s="440">
        <f ca="1">'2. MD&amp;A'!AA30</f>
        <v>268048.63745218178</v>
      </c>
      <c r="V41" s="440">
        <f ca="1">'2. MD&amp;A'!AB30</f>
        <v>274749.85338848631</v>
      </c>
      <c r="W41" s="440">
        <f ca="1">'2. MD&amp;A'!AC30</f>
        <v>281618.59972319845</v>
      </c>
      <c r="X41" s="440">
        <f ca="1">'2. MD&amp;A'!AD30</f>
        <v>288659.0647162784</v>
      </c>
      <c r="Y41" s="440">
        <f ca="1">'2. MD&amp;A'!AE30</f>
        <v>295875.54133418534</v>
      </c>
      <c r="Z41" s="440">
        <f ca="1">'2. MD&amp;A'!AF30</f>
        <v>303272.42986753996</v>
      </c>
      <c r="AA41" s="440">
        <f ca="1">'2. MD&amp;A'!AG30</f>
        <v>310854.24061422842</v>
      </c>
      <c r="AB41" s="440">
        <f ca="1">'2. MD&amp;A'!AH30</f>
        <v>318625.59662958409</v>
      </c>
      <c r="AC41" s="686"/>
      <c r="AD41" s="686"/>
      <c r="AE41" s="686"/>
      <c r="AF41" s="686"/>
      <c r="AG41" s="686"/>
      <c r="AH41" s="686"/>
      <c r="AI41" s="686"/>
      <c r="AJ41" s="686"/>
      <c r="AK41" s="686"/>
    </row>
    <row r="42" spans="5:37" ht="11.25" outlineLevel="1" x14ac:dyDescent="0.2">
      <c r="E42" s="687" t="s">
        <v>4</v>
      </c>
      <c r="H42" s="643" t="s">
        <v>15</v>
      </c>
      <c r="J42" s="440">
        <f>'1. SRECNA'!P48</f>
        <v>60000</v>
      </c>
      <c r="K42" s="440">
        <f>'1. SRECNA'!Q48</f>
        <v>65000</v>
      </c>
      <c r="L42" s="440">
        <f>'1. SRECNA'!R48</f>
        <v>70000</v>
      </c>
      <c r="M42" s="440">
        <f>'2. MD&amp;A'!S31</f>
        <v>70000</v>
      </c>
      <c r="N42" s="440">
        <f ca="1">'2. MD&amp;A'!T31</f>
        <v>71750</v>
      </c>
      <c r="O42" s="440">
        <f ca="1">'2. MD&amp;A'!U31</f>
        <v>73543.75</v>
      </c>
      <c r="P42" s="440">
        <f ca="1">'2. MD&amp;A'!V31</f>
        <v>75382.34375</v>
      </c>
      <c r="Q42" s="440">
        <f ca="1">'2. MD&amp;A'!W31</f>
        <v>77266.90234375</v>
      </c>
      <c r="R42" s="440">
        <f ca="1">'2. MD&amp;A'!X31</f>
        <v>79198.574902343738</v>
      </c>
      <c r="S42" s="440">
        <f ca="1">'2. MD&amp;A'!Y31</f>
        <v>81178.53927490233</v>
      </c>
      <c r="T42" s="440">
        <f ca="1">'2. MD&amp;A'!Z31</f>
        <v>83208.002756774877</v>
      </c>
      <c r="U42" s="440">
        <f ca="1">'2. MD&amp;A'!AA31</f>
        <v>85288.202825694243</v>
      </c>
      <c r="V42" s="440">
        <f ca="1">'2. MD&amp;A'!AB31</f>
        <v>87420.40789633659</v>
      </c>
      <c r="W42" s="440">
        <f ca="1">'2. MD&amp;A'!AC31</f>
        <v>89605.918093745</v>
      </c>
      <c r="X42" s="440">
        <f ca="1">'2. MD&amp;A'!AD31</f>
        <v>91846.066046088614</v>
      </c>
      <c r="Y42" s="440">
        <f ca="1">'2. MD&amp;A'!AE31</f>
        <v>94142.21769724082</v>
      </c>
      <c r="Z42" s="440">
        <f ca="1">'2. MD&amp;A'!AF31</f>
        <v>96495.77313967183</v>
      </c>
      <c r="AA42" s="440">
        <f ca="1">'2. MD&amp;A'!AG31</f>
        <v>98908.167468163621</v>
      </c>
      <c r="AB42" s="440">
        <f ca="1">'2. MD&amp;A'!AH31</f>
        <v>101380.8716548677</v>
      </c>
      <c r="AC42" s="686"/>
      <c r="AD42" s="686"/>
      <c r="AE42" s="686"/>
      <c r="AF42" s="686"/>
      <c r="AG42" s="686"/>
      <c r="AH42" s="686"/>
      <c r="AI42" s="686"/>
      <c r="AJ42" s="686"/>
      <c r="AK42" s="686"/>
    </row>
    <row r="43" spans="5:37" ht="11.25" outlineLevel="1" x14ac:dyDescent="0.2">
      <c r="E43" s="687" t="s">
        <v>10</v>
      </c>
      <c r="H43" s="643" t="s">
        <v>16</v>
      </c>
      <c r="J43" s="440">
        <f>'1. SRECNA'!P49</f>
        <v>110000</v>
      </c>
      <c r="K43" s="440">
        <f>'1. SRECNA'!Q49</f>
        <v>115000</v>
      </c>
      <c r="L43" s="440">
        <f>'1. SRECNA'!R49</f>
        <v>120000</v>
      </c>
      <c r="M43" s="440">
        <f>'2. MD&amp;A'!S32</f>
        <v>120000</v>
      </c>
      <c r="N43" s="440">
        <f ca="1">'2. MD&amp;A'!T32</f>
        <v>122999.99999999999</v>
      </c>
      <c r="O43" s="440">
        <f ca="1">'2. MD&amp;A'!U32</f>
        <v>126074.99999999997</v>
      </c>
      <c r="P43" s="440">
        <f ca="1">'2. MD&amp;A'!V32</f>
        <v>129226.87499999996</v>
      </c>
      <c r="Q43" s="440">
        <f ca="1">'2. MD&amp;A'!W32</f>
        <v>132457.54687499994</v>
      </c>
      <c r="R43" s="440">
        <f ca="1">'2. MD&amp;A'!X32</f>
        <v>135768.98554687493</v>
      </c>
      <c r="S43" s="440">
        <f ca="1">'2. MD&amp;A'!Y32</f>
        <v>139163.21018554678</v>
      </c>
      <c r="T43" s="440">
        <f ca="1">'2. MD&amp;A'!Z32</f>
        <v>142642.29044018543</v>
      </c>
      <c r="U43" s="440">
        <f ca="1">'2. MD&amp;A'!AA32</f>
        <v>146208.34770119007</v>
      </c>
      <c r="V43" s="440">
        <f ca="1">'2. MD&amp;A'!AB32</f>
        <v>149863.5563937198</v>
      </c>
      <c r="W43" s="440">
        <f ca="1">'2. MD&amp;A'!AC32</f>
        <v>153610.14530356278</v>
      </c>
      <c r="X43" s="440">
        <f ca="1">'2. MD&amp;A'!AD32</f>
        <v>157450.39893615185</v>
      </c>
      <c r="Y43" s="440">
        <f ca="1">'2. MD&amp;A'!AE32</f>
        <v>161386.65890955564</v>
      </c>
      <c r="Z43" s="440">
        <f ca="1">'2. MD&amp;A'!AF32</f>
        <v>165421.32538229451</v>
      </c>
      <c r="AA43" s="440">
        <f ca="1">'2. MD&amp;A'!AG32</f>
        <v>169556.85851685185</v>
      </c>
      <c r="AB43" s="440">
        <f ca="1">'2. MD&amp;A'!AH32</f>
        <v>173795.77997977313</v>
      </c>
      <c r="AC43" s="686"/>
      <c r="AD43" s="686"/>
      <c r="AE43" s="686"/>
      <c r="AF43" s="686"/>
      <c r="AG43" s="686"/>
      <c r="AH43" s="686"/>
      <c r="AI43" s="686"/>
      <c r="AJ43" s="686"/>
      <c r="AK43" s="686"/>
    </row>
    <row r="44" spans="5:37" ht="11.25" outlineLevel="1" x14ac:dyDescent="0.2">
      <c r="E44" s="687" t="s">
        <v>11</v>
      </c>
      <c r="H44" s="643" t="s">
        <v>13</v>
      </c>
      <c r="J44" s="440">
        <f>SUM(J45:J51)</f>
        <v>216991</v>
      </c>
      <c r="K44" s="440">
        <f>SUM(K45:K51)</f>
        <v>255000</v>
      </c>
      <c r="L44" s="440">
        <f>SUM(L45:L51)</f>
        <v>280000</v>
      </c>
      <c r="M44" s="440">
        <f>'1. SRECNA'!S51-Simplified_Cash_Flow!M40</f>
        <v>280000</v>
      </c>
      <c r="N44" s="440">
        <f ca="1">'1. SRECNA'!T51-Simplified_Cash_Flow!N40</f>
        <v>295050</v>
      </c>
      <c r="O44" s="440">
        <f ca="1">'1. SRECNA'!U51-Simplified_Cash_Flow!O40</f>
        <v>311032.75</v>
      </c>
      <c r="P44" s="440">
        <f ca="1">'1. SRECNA'!V51-Simplified_Cash_Flow!P40</f>
        <v>328002.70124999993</v>
      </c>
      <c r="Q44" s="440">
        <f ca="1">'1. SRECNA'!W51-Simplified_Cash_Flow!Q40</f>
        <v>346017.3943187499</v>
      </c>
      <c r="R44" s="440">
        <f ca="1">'1. SRECNA'!X51-Simplified_Cash_Flow!R40</f>
        <v>365137.63184128114</v>
      </c>
      <c r="S44" s="440">
        <f ca="1">'2. MD&amp;A'!Y35</f>
        <v>385427.66085260146</v>
      </c>
      <c r="T44" s="440">
        <f ca="1">'2. MD&amp;A'!Z35</f>
        <v>406955.36523734615</v>
      </c>
      <c r="U44" s="440">
        <f ca="1">'2. MD&amp;A'!AA35</f>
        <v>429792.46885438729</v>
      </c>
      <c r="V44" s="440">
        <f ca="1">'2. MD&amp;A'!AB35</f>
        <v>454014.74992623506</v>
      </c>
      <c r="W44" s="440">
        <f ca="1">'2. MD&amp;A'!AC35</f>
        <v>479702.26731558033</v>
      </c>
      <c r="X44" s="440">
        <f ca="1">'2. MD&amp;A'!AD35</f>
        <v>506939.59934564173</v>
      </c>
      <c r="Y44" s="440">
        <f ca="1">'2. MD&amp;A'!AE35</f>
        <v>535816.09585718741</v>
      </c>
      <c r="Z44" s="440">
        <f ca="1">'2. MD&amp;A'!AF35</f>
        <v>566426.14423329441</v>
      </c>
      <c r="AA44" s="440">
        <f ca="1">'2. MD&amp;A'!AG35</f>
        <v>598869.45016320597</v>
      </c>
      <c r="AB44" s="440">
        <f ca="1">'2. MD&amp;A'!AH35</f>
        <v>633251.33395917516</v>
      </c>
      <c r="AC44" s="686"/>
      <c r="AD44" s="686"/>
      <c r="AE44" s="686"/>
      <c r="AF44" s="686"/>
      <c r="AG44" s="686"/>
      <c r="AH44" s="686"/>
      <c r="AI44" s="686"/>
      <c r="AJ44" s="686"/>
      <c r="AK44" s="686"/>
    </row>
    <row r="45" spans="5:37" ht="11.25" customHeight="1" outlineLevel="2" x14ac:dyDescent="0.2">
      <c r="E45" s="750" t="s">
        <v>116</v>
      </c>
      <c r="H45" s="643"/>
      <c r="J45" s="765">
        <v>116573</v>
      </c>
      <c r="K45" s="765">
        <v>102484</v>
      </c>
      <c r="L45" s="765">
        <v>117751</v>
      </c>
      <c r="M45" s="765"/>
      <c r="N45" s="765"/>
      <c r="O45" s="765"/>
      <c r="P45" s="765"/>
      <c r="Q45" s="765"/>
      <c r="R45" s="765"/>
      <c r="S45" s="765"/>
      <c r="T45" s="765"/>
      <c r="U45" s="765"/>
      <c r="V45" s="765"/>
      <c r="W45" s="765"/>
      <c r="X45" s="765"/>
      <c r="Y45" s="765"/>
      <c r="Z45" s="765"/>
      <c r="AA45" s="765"/>
      <c r="AB45" s="765"/>
    </row>
    <row r="46" spans="5:37" ht="11.25" customHeight="1" outlineLevel="2" x14ac:dyDescent="0.2">
      <c r="E46" s="750" t="s">
        <v>385</v>
      </c>
      <c r="H46" s="643"/>
      <c r="J46" s="765">
        <v>66481.837770000042</v>
      </c>
      <c r="K46" s="765">
        <v>81686.709760000027</v>
      </c>
      <c r="L46" s="765">
        <v>66661.264110000018</v>
      </c>
      <c r="M46" s="765"/>
      <c r="N46" s="765"/>
      <c r="O46" s="765"/>
      <c r="P46" s="765"/>
      <c r="Q46" s="765"/>
      <c r="R46" s="765"/>
      <c r="S46" s="765"/>
      <c r="T46" s="765"/>
      <c r="U46" s="765"/>
      <c r="V46" s="765"/>
      <c r="W46" s="765"/>
      <c r="X46" s="765"/>
      <c r="Y46" s="765"/>
      <c r="Z46" s="765"/>
      <c r="AA46" s="765"/>
      <c r="AB46" s="765"/>
    </row>
    <row r="47" spans="5:37" ht="11.25" customHeight="1" outlineLevel="2" x14ac:dyDescent="0.2">
      <c r="E47" s="750" t="s">
        <v>382</v>
      </c>
      <c r="H47" s="643"/>
      <c r="J47" s="765">
        <v>40551.627240000002</v>
      </c>
      <c r="K47" s="765">
        <v>46900.097700000006</v>
      </c>
      <c r="L47" s="765">
        <v>55291.200930000006</v>
      </c>
      <c r="M47" s="765"/>
      <c r="N47" s="765"/>
      <c r="O47" s="765"/>
      <c r="P47" s="765"/>
      <c r="Q47" s="765"/>
      <c r="R47" s="765"/>
      <c r="S47" s="765"/>
      <c r="T47" s="765"/>
      <c r="U47" s="765"/>
      <c r="V47" s="765"/>
      <c r="W47" s="765"/>
      <c r="X47" s="765"/>
      <c r="Y47" s="765"/>
      <c r="Z47" s="765"/>
      <c r="AA47" s="765"/>
      <c r="AB47" s="765"/>
    </row>
    <row r="48" spans="5:37" ht="11.25" customHeight="1" outlineLevel="2" x14ac:dyDescent="0.2">
      <c r="E48" s="750" t="s">
        <v>118</v>
      </c>
      <c r="H48" s="643"/>
      <c r="J48" s="765">
        <v>39344</v>
      </c>
      <c r="K48" s="765">
        <v>38106</v>
      </c>
      <c r="L48" s="765">
        <v>40426</v>
      </c>
      <c r="M48" s="765"/>
      <c r="N48" s="765"/>
      <c r="O48" s="765"/>
      <c r="P48" s="765"/>
      <c r="Q48" s="765"/>
      <c r="R48" s="765"/>
      <c r="S48" s="765"/>
      <c r="T48" s="765"/>
      <c r="U48" s="765"/>
      <c r="V48" s="765"/>
      <c r="W48" s="765"/>
      <c r="X48" s="765"/>
      <c r="Y48" s="765"/>
      <c r="Z48" s="765"/>
      <c r="AA48" s="765"/>
      <c r="AB48" s="765"/>
    </row>
    <row r="49" spans="1:16378" ht="11.25" customHeight="1" outlineLevel="2" x14ac:dyDescent="0.2">
      <c r="E49" s="750" t="s">
        <v>215</v>
      </c>
      <c r="H49" s="643"/>
      <c r="J49" s="765">
        <v>27430.458289999999</v>
      </c>
      <c r="K49" s="765">
        <v>29318.981490000006</v>
      </c>
      <c r="L49" s="765">
        <f>8921.24678+20000</f>
        <v>28921.246780000001</v>
      </c>
      <c r="M49" s="765"/>
      <c r="N49" s="765"/>
      <c r="O49" s="765"/>
      <c r="P49" s="765"/>
      <c r="Q49" s="765"/>
      <c r="R49" s="765"/>
      <c r="S49" s="765"/>
      <c r="T49" s="765"/>
      <c r="U49" s="765"/>
      <c r="V49" s="765"/>
      <c r="W49" s="765"/>
      <c r="X49" s="765"/>
      <c r="Y49" s="765"/>
      <c r="Z49" s="765"/>
      <c r="AA49" s="765"/>
      <c r="AB49" s="765"/>
    </row>
    <row r="50" spans="1:16378" ht="11.25" customHeight="1" outlineLevel="2" x14ac:dyDescent="0.2">
      <c r="E50" s="750" t="s">
        <v>383</v>
      </c>
      <c r="H50" s="643"/>
      <c r="J50" s="765">
        <v>24909.343299999997</v>
      </c>
      <c r="K50" s="765">
        <v>27153.591409999997</v>
      </c>
      <c r="L50" s="765">
        <v>22012.560340000004</v>
      </c>
      <c r="M50" s="765"/>
      <c r="N50" s="765"/>
      <c r="O50" s="765"/>
      <c r="P50" s="765"/>
      <c r="Q50" s="765"/>
      <c r="R50" s="765"/>
      <c r="S50" s="765"/>
      <c r="T50" s="765"/>
      <c r="U50" s="765"/>
      <c r="V50" s="765"/>
      <c r="W50" s="765"/>
      <c r="X50" s="765"/>
      <c r="Y50" s="765"/>
      <c r="Z50" s="765"/>
      <c r="AA50" s="765"/>
      <c r="AB50" s="765"/>
    </row>
    <row r="51" spans="1:16378" ht="11.25" customHeight="1" outlineLevel="2" x14ac:dyDescent="0.2">
      <c r="A51" s="310"/>
      <c r="B51" s="310"/>
      <c r="C51" s="310"/>
      <c r="D51" s="310"/>
      <c r="E51" s="750" t="s">
        <v>386</v>
      </c>
      <c r="F51" s="310"/>
      <c r="G51" s="310"/>
      <c r="H51" s="310"/>
      <c r="I51" s="310"/>
      <c r="J51" s="765">
        <f>'2. MD&amp;A'!P35-13009-SUM(J45:J50)</f>
        <v>-98299.266600000032</v>
      </c>
      <c r="K51" s="765">
        <f>'2. MD&amp;A'!Q35-SUM(K45:K50)</f>
        <v>-70649.380360000068</v>
      </c>
      <c r="L51" s="765">
        <f>'2. MD&amp;A'!R35-SUM(L45:L50)</f>
        <v>-51063.272160000051</v>
      </c>
      <c r="M51" s="771"/>
      <c r="N51" s="771"/>
      <c r="O51" s="771"/>
      <c r="P51" s="771"/>
      <c r="Q51" s="771"/>
      <c r="R51" s="771"/>
      <c r="S51" s="771"/>
      <c r="T51" s="771"/>
      <c r="U51" s="771"/>
      <c r="V51" s="771"/>
      <c r="W51" s="771"/>
      <c r="X51" s="771"/>
      <c r="Y51" s="771"/>
      <c r="Z51" s="771"/>
      <c r="AA51" s="771"/>
      <c r="AB51" s="771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310"/>
      <c r="BC51" s="310"/>
      <c r="BD51" s="310"/>
      <c r="BE51" s="310"/>
      <c r="BF51" s="310"/>
      <c r="BG51" s="310"/>
      <c r="BH51" s="310"/>
      <c r="BI51" s="310"/>
      <c r="BJ51" s="310"/>
      <c r="BK51" s="310"/>
      <c r="BL51" s="310"/>
      <c r="BM51" s="310"/>
      <c r="BN51" s="310"/>
      <c r="BO51" s="310"/>
      <c r="BP51" s="310"/>
      <c r="BQ51" s="310"/>
      <c r="BR51" s="310"/>
      <c r="BS51" s="310"/>
      <c r="BT51" s="310"/>
      <c r="BU51" s="310"/>
      <c r="BV51" s="310"/>
      <c r="BW51" s="310"/>
      <c r="BX51" s="310"/>
      <c r="BY51" s="310"/>
      <c r="BZ51" s="310"/>
      <c r="CA51" s="310"/>
      <c r="CB51" s="310"/>
      <c r="CC51" s="310"/>
      <c r="CD51" s="310"/>
      <c r="CE51" s="310"/>
      <c r="CF51" s="310"/>
      <c r="CG51" s="310"/>
      <c r="CH51" s="310"/>
      <c r="CI51" s="310"/>
      <c r="CJ51" s="310"/>
      <c r="CK51" s="310"/>
      <c r="CL51" s="310"/>
      <c r="CM51" s="310"/>
      <c r="CN51" s="310"/>
      <c r="CO51" s="310"/>
      <c r="CP51" s="310"/>
      <c r="CQ51" s="310"/>
      <c r="CR51" s="310"/>
      <c r="CS51" s="310"/>
      <c r="CT51" s="310"/>
      <c r="CU51" s="310"/>
      <c r="CV51" s="310"/>
      <c r="CW51" s="310"/>
      <c r="CX51" s="310"/>
      <c r="CY51" s="310"/>
      <c r="CZ51" s="310"/>
      <c r="DA51" s="310"/>
      <c r="DB51" s="310"/>
      <c r="DC51" s="310"/>
      <c r="DD51" s="310"/>
      <c r="DE51" s="310"/>
      <c r="DF51" s="310"/>
      <c r="DG51" s="310"/>
      <c r="DH51" s="310"/>
      <c r="DI51" s="310"/>
      <c r="DJ51" s="310"/>
      <c r="DK51" s="310"/>
      <c r="DL51" s="310"/>
      <c r="DM51" s="310"/>
      <c r="DN51" s="310"/>
      <c r="DO51" s="310"/>
      <c r="DP51" s="310"/>
      <c r="DQ51" s="310"/>
      <c r="DR51" s="310"/>
      <c r="DS51" s="310"/>
      <c r="DT51" s="310"/>
      <c r="DU51" s="310"/>
      <c r="DV51" s="310"/>
      <c r="DW51" s="310"/>
      <c r="DX51" s="310"/>
      <c r="DY51" s="310"/>
      <c r="DZ51" s="310"/>
      <c r="EA51" s="310"/>
      <c r="EB51" s="310"/>
      <c r="EC51" s="310"/>
      <c r="ED51" s="310"/>
      <c r="EE51" s="310"/>
      <c r="EF51" s="310"/>
      <c r="EG51" s="310"/>
      <c r="EH51" s="310"/>
      <c r="EI51" s="310"/>
      <c r="EJ51" s="310"/>
      <c r="EK51" s="310"/>
      <c r="EL51" s="310"/>
      <c r="EM51" s="310"/>
      <c r="EN51" s="310"/>
      <c r="EO51" s="310"/>
      <c r="EP51" s="310"/>
      <c r="EQ51" s="310"/>
      <c r="ER51" s="310"/>
      <c r="ES51" s="310"/>
      <c r="ET51" s="310"/>
      <c r="EU51" s="310"/>
      <c r="EV51" s="310"/>
      <c r="EW51" s="310"/>
      <c r="EX51" s="310"/>
      <c r="EY51" s="310"/>
      <c r="EZ51" s="310"/>
      <c r="FA51" s="310"/>
      <c r="FB51" s="310"/>
      <c r="FC51" s="310"/>
      <c r="FD51" s="310"/>
      <c r="FE51" s="310"/>
      <c r="FF51" s="310"/>
      <c r="FG51" s="310"/>
      <c r="FH51" s="310"/>
      <c r="FI51" s="310"/>
      <c r="FJ51" s="310"/>
      <c r="FK51" s="310"/>
      <c r="FL51" s="310"/>
      <c r="FM51" s="310"/>
      <c r="FN51" s="310"/>
      <c r="FO51" s="310"/>
      <c r="FP51" s="310"/>
      <c r="FQ51" s="310"/>
      <c r="FR51" s="310"/>
      <c r="FS51" s="310"/>
      <c r="FT51" s="310"/>
      <c r="FU51" s="310"/>
      <c r="FV51" s="310"/>
      <c r="FW51" s="310"/>
      <c r="FX51" s="310"/>
      <c r="FY51" s="310"/>
      <c r="FZ51" s="310"/>
      <c r="GA51" s="310"/>
      <c r="GB51" s="310"/>
      <c r="GC51" s="310"/>
      <c r="GD51" s="310"/>
      <c r="GE51" s="310"/>
      <c r="GF51" s="310"/>
      <c r="GG51" s="310"/>
      <c r="GH51" s="310"/>
      <c r="GI51" s="310"/>
      <c r="GJ51" s="310"/>
      <c r="GK51" s="310"/>
      <c r="GL51" s="310"/>
      <c r="GM51" s="310"/>
      <c r="GN51" s="310"/>
      <c r="GO51" s="310"/>
      <c r="GP51" s="310"/>
      <c r="GQ51" s="310"/>
      <c r="GR51" s="310"/>
      <c r="GS51" s="310"/>
      <c r="GT51" s="310"/>
      <c r="GU51" s="310"/>
      <c r="GV51" s="310"/>
      <c r="GW51" s="310"/>
      <c r="GX51" s="310"/>
      <c r="GY51" s="310"/>
      <c r="GZ51" s="310"/>
      <c r="HA51" s="310"/>
      <c r="HB51" s="310"/>
      <c r="HC51" s="310"/>
      <c r="HD51" s="310"/>
      <c r="HE51" s="310"/>
      <c r="HF51" s="310"/>
      <c r="HG51" s="310"/>
      <c r="HH51" s="310"/>
      <c r="HI51" s="310"/>
      <c r="HJ51" s="310"/>
      <c r="HK51" s="310"/>
      <c r="HL51" s="310"/>
      <c r="HM51" s="310"/>
      <c r="HN51" s="310"/>
      <c r="HO51" s="310"/>
      <c r="HP51" s="310"/>
      <c r="HQ51" s="310"/>
      <c r="HR51" s="310"/>
      <c r="HS51" s="310"/>
      <c r="HT51" s="310"/>
      <c r="HU51" s="310"/>
      <c r="HV51" s="310"/>
      <c r="HW51" s="310"/>
      <c r="HX51" s="310"/>
      <c r="HY51" s="310"/>
      <c r="HZ51" s="310"/>
      <c r="IA51" s="310"/>
      <c r="IB51" s="310"/>
      <c r="IC51" s="310"/>
      <c r="ID51" s="310"/>
      <c r="IE51" s="310"/>
      <c r="IF51" s="310"/>
      <c r="IG51" s="310"/>
      <c r="IH51" s="310"/>
      <c r="II51" s="310"/>
      <c r="IJ51" s="310"/>
      <c r="IK51" s="310"/>
      <c r="IL51" s="310"/>
      <c r="IM51" s="310"/>
      <c r="IN51" s="310"/>
      <c r="IO51" s="310"/>
      <c r="IP51" s="310"/>
      <c r="IQ51" s="310"/>
      <c r="IR51" s="310"/>
      <c r="IS51" s="310"/>
      <c r="IT51" s="310"/>
      <c r="IU51" s="310"/>
      <c r="IV51" s="310"/>
      <c r="IW51" s="310"/>
      <c r="IX51" s="310"/>
      <c r="IY51" s="310"/>
      <c r="IZ51" s="310"/>
      <c r="JA51" s="310"/>
      <c r="JB51" s="310"/>
      <c r="JC51" s="310"/>
      <c r="JD51" s="310"/>
      <c r="JE51" s="310"/>
      <c r="JF51" s="310"/>
      <c r="JG51" s="310"/>
      <c r="JH51" s="310"/>
      <c r="JI51" s="310"/>
      <c r="JJ51" s="310"/>
      <c r="JK51" s="310"/>
      <c r="JL51" s="310"/>
      <c r="JM51" s="310"/>
      <c r="JN51" s="310"/>
      <c r="JO51" s="310"/>
      <c r="JP51" s="310"/>
      <c r="JQ51" s="310"/>
      <c r="JR51" s="310"/>
      <c r="JS51" s="310"/>
      <c r="JT51" s="310"/>
      <c r="JU51" s="310"/>
      <c r="JV51" s="310"/>
      <c r="JW51" s="310"/>
      <c r="JX51" s="310"/>
      <c r="JY51" s="310"/>
      <c r="JZ51" s="310"/>
      <c r="KA51" s="310"/>
      <c r="KB51" s="310"/>
      <c r="KC51" s="310"/>
      <c r="KD51" s="310"/>
      <c r="KE51" s="310"/>
      <c r="KF51" s="310"/>
      <c r="KG51" s="310"/>
      <c r="KH51" s="310"/>
      <c r="KI51" s="310"/>
      <c r="KJ51" s="310"/>
      <c r="KK51" s="310"/>
      <c r="KL51" s="310"/>
      <c r="KM51" s="310"/>
      <c r="KN51" s="310"/>
      <c r="KO51" s="310"/>
      <c r="KP51" s="310"/>
      <c r="KQ51" s="310"/>
      <c r="KR51" s="310"/>
      <c r="KS51" s="310"/>
      <c r="KT51" s="310"/>
      <c r="KU51" s="310"/>
      <c r="KV51" s="310"/>
      <c r="KW51" s="310"/>
      <c r="KX51" s="310"/>
      <c r="KY51" s="310"/>
      <c r="KZ51" s="310"/>
      <c r="LA51" s="310"/>
      <c r="LB51" s="310"/>
      <c r="LC51" s="310"/>
      <c r="LD51" s="310"/>
      <c r="LE51" s="310"/>
      <c r="LF51" s="310"/>
      <c r="LG51" s="310"/>
      <c r="LH51" s="310"/>
      <c r="LI51" s="310"/>
      <c r="LJ51" s="310"/>
      <c r="LK51" s="310"/>
      <c r="LL51" s="310"/>
      <c r="LM51" s="310"/>
      <c r="LN51" s="310"/>
      <c r="LO51" s="310"/>
      <c r="LP51" s="310"/>
      <c r="LQ51" s="310"/>
      <c r="LR51" s="310"/>
      <c r="LS51" s="310"/>
      <c r="LT51" s="310"/>
      <c r="LU51" s="310"/>
      <c r="LV51" s="310"/>
      <c r="LW51" s="310"/>
      <c r="LX51" s="310"/>
      <c r="LY51" s="310"/>
      <c r="LZ51" s="310"/>
      <c r="MA51" s="310"/>
      <c r="MB51" s="310"/>
      <c r="MC51" s="310"/>
      <c r="MD51" s="310"/>
      <c r="ME51" s="310"/>
      <c r="MF51" s="310"/>
      <c r="MG51" s="310"/>
      <c r="MH51" s="310"/>
      <c r="MI51" s="310"/>
      <c r="MJ51" s="310"/>
      <c r="MK51" s="310"/>
      <c r="ML51" s="310"/>
      <c r="MM51" s="310"/>
      <c r="MN51" s="310"/>
      <c r="MO51" s="310"/>
      <c r="MP51" s="310"/>
      <c r="MQ51" s="310"/>
      <c r="MR51" s="310"/>
      <c r="MS51" s="310"/>
      <c r="MT51" s="310"/>
      <c r="MU51" s="310"/>
      <c r="MV51" s="310"/>
      <c r="MW51" s="310"/>
      <c r="MX51" s="310"/>
      <c r="MY51" s="310"/>
      <c r="MZ51" s="310"/>
      <c r="NA51" s="310"/>
      <c r="NB51" s="310"/>
      <c r="NC51" s="310"/>
      <c r="ND51" s="310"/>
      <c r="NE51" s="310"/>
      <c r="NF51" s="310"/>
      <c r="NG51" s="310"/>
      <c r="NH51" s="310"/>
      <c r="NI51" s="310"/>
      <c r="NJ51" s="310"/>
      <c r="NK51" s="310"/>
      <c r="NL51" s="310"/>
      <c r="NM51" s="310"/>
      <c r="NN51" s="310"/>
      <c r="NO51" s="310"/>
      <c r="NP51" s="310"/>
      <c r="NQ51" s="310"/>
      <c r="NR51" s="310"/>
      <c r="NS51" s="310"/>
      <c r="NT51" s="310"/>
      <c r="NU51" s="310"/>
      <c r="NV51" s="310"/>
      <c r="NW51" s="310"/>
      <c r="NX51" s="310"/>
      <c r="NY51" s="310"/>
      <c r="NZ51" s="310"/>
      <c r="OA51" s="310"/>
      <c r="OB51" s="310"/>
      <c r="OC51" s="310"/>
      <c r="OD51" s="310"/>
      <c r="OE51" s="310"/>
      <c r="OF51" s="310"/>
      <c r="OG51" s="310"/>
      <c r="OH51" s="310"/>
      <c r="OI51" s="310"/>
      <c r="OJ51" s="310"/>
      <c r="OK51" s="310"/>
      <c r="OL51" s="310"/>
      <c r="OM51" s="310"/>
      <c r="ON51" s="310"/>
      <c r="OO51" s="310"/>
      <c r="OP51" s="310"/>
      <c r="OQ51" s="310"/>
      <c r="OR51" s="310"/>
      <c r="OS51" s="310"/>
      <c r="OT51" s="310"/>
      <c r="OU51" s="310"/>
      <c r="OV51" s="310"/>
      <c r="OW51" s="310"/>
      <c r="OX51" s="310"/>
      <c r="OY51" s="310"/>
      <c r="OZ51" s="310"/>
      <c r="PA51" s="310"/>
      <c r="PB51" s="310"/>
      <c r="PC51" s="310"/>
      <c r="PD51" s="310"/>
      <c r="PE51" s="310"/>
      <c r="PF51" s="310"/>
      <c r="PG51" s="310"/>
      <c r="PH51" s="310"/>
      <c r="PI51" s="310"/>
      <c r="PJ51" s="310"/>
      <c r="PK51" s="310"/>
      <c r="PL51" s="310"/>
      <c r="PM51" s="310"/>
      <c r="PN51" s="310"/>
      <c r="PO51" s="310"/>
      <c r="PP51" s="310"/>
      <c r="PQ51" s="310"/>
      <c r="PR51" s="310"/>
      <c r="PS51" s="310"/>
      <c r="PT51" s="310"/>
      <c r="PU51" s="310"/>
      <c r="PV51" s="310"/>
      <c r="PW51" s="310"/>
      <c r="PX51" s="310"/>
      <c r="PY51" s="310"/>
      <c r="PZ51" s="310"/>
      <c r="QA51" s="310"/>
      <c r="QB51" s="310"/>
      <c r="QC51" s="310"/>
      <c r="QD51" s="310"/>
      <c r="QE51" s="310"/>
      <c r="QF51" s="310"/>
      <c r="QG51" s="310"/>
      <c r="QH51" s="310"/>
      <c r="QI51" s="310"/>
      <c r="QJ51" s="310"/>
      <c r="QK51" s="310"/>
      <c r="QL51" s="310"/>
      <c r="QM51" s="310"/>
      <c r="QN51" s="310"/>
      <c r="QO51" s="310"/>
      <c r="QP51" s="310"/>
      <c r="QQ51" s="310"/>
      <c r="QR51" s="310"/>
      <c r="QS51" s="310"/>
      <c r="QT51" s="310"/>
      <c r="QU51" s="310"/>
      <c r="QV51" s="310"/>
      <c r="QW51" s="310"/>
      <c r="QX51" s="310"/>
      <c r="QY51" s="310"/>
      <c r="QZ51" s="310"/>
      <c r="RA51" s="310"/>
      <c r="RB51" s="310"/>
      <c r="RC51" s="310"/>
      <c r="RD51" s="310"/>
      <c r="RE51" s="310"/>
      <c r="RF51" s="310"/>
      <c r="RG51" s="310"/>
      <c r="RH51" s="310"/>
      <c r="RI51" s="310"/>
      <c r="RJ51" s="310"/>
      <c r="RK51" s="310"/>
      <c r="RL51" s="310"/>
      <c r="RM51" s="310"/>
      <c r="RN51" s="310"/>
      <c r="RO51" s="310"/>
      <c r="RP51" s="310"/>
      <c r="RQ51" s="310"/>
      <c r="RR51" s="310"/>
      <c r="RS51" s="310"/>
      <c r="RT51" s="310"/>
      <c r="RU51" s="310"/>
      <c r="RV51" s="310"/>
      <c r="RW51" s="310"/>
      <c r="RX51" s="310"/>
      <c r="RY51" s="310"/>
      <c r="RZ51" s="310"/>
      <c r="SA51" s="310"/>
      <c r="SB51" s="310"/>
      <c r="SC51" s="310"/>
      <c r="SD51" s="310"/>
      <c r="SE51" s="310"/>
      <c r="SF51" s="310"/>
      <c r="SG51" s="310"/>
      <c r="SH51" s="310"/>
      <c r="SI51" s="310"/>
      <c r="SJ51" s="310"/>
      <c r="SK51" s="310"/>
      <c r="SL51" s="310"/>
      <c r="SM51" s="310"/>
      <c r="SN51" s="310"/>
      <c r="SO51" s="310"/>
      <c r="SP51" s="310"/>
      <c r="SQ51" s="310"/>
      <c r="SR51" s="310"/>
      <c r="SS51" s="310"/>
      <c r="ST51" s="310"/>
      <c r="SU51" s="310"/>
      <c r="SV51" s="310"/>
      <c r="SW51" s="310"/>
      <c r="SX51" s="310"/>
      <c r="SY51" s="310"/>
      <c r="SZ51" s="310"/>
      <c r="TA51" s="310"/>
      <c r="TB51" s="310"/>
      <c r="TC51" s="310"/>
      <c r="TD51" s="310"/>
      <c r="TE51" s="310"/>
      <c r="TF51" s="310"/>
      <c r="TG51" s="310"/>
      <c r="TH51" s="310"/>
      <c r="TI51" s="310"/>
      <c r="TJ51" s="310"/>
      <c r="TK51" s="310"/>
      <c r="TL51" s="310"/>
      <c r="TM51" s="310"/>
      <c r="TN51" s="310"/>
      <c r="TO51" s="310"/>
      <c r="TP51" s="310"/>
      <c r="TQ51" s="310"/>
      <c r="TR51" s="310"/>
      <c r="TS51" s="310"/>
      <c r="TT51" s="310"/>
      <c r="TU51" s="310"/>
      <c r="TV51" s="310"/>
      <c r="TW51" s="310"/>
      <c r="TX51" s="310"/>
      <c r="TY51" s="310"/>
      <c r="TZ51" s="310"/>
      <c r="UA51" s="310"/>
      <c r="UB51" s="310"/>
      <c r="UC51" s="310"/>
      <c r="UD51" s="310"/>
      <c r="UE51" s="310"/>
      <c r="UF51" s="310"/>
      <c r="UG51" s="310"/>
      <c r="UH51" s="310"/>
      <c r="UI51" s="310"/>
      <c r="UJ51" s="310"/>
      <c r="UK51" s="310"/>
      <c r="UL51" s="310"/>
      <c r="UM51" s="310"/>
      <c r="UN51" s="310"/>
      <c r="UO51" s="310"/>
      <c r="UP51" s="310"/>
      <c r="UQ51" s="310"/>
      <c r="UR51" s="310"/>
      <c r="US51" s="310"/>
      <c r="UT51" s="310"/>
      <c r="UU51" s="310"/>
      <c r="UV51" s="310"/>
      <c r="UW51" s="310"/>
      <c r="UX51" s="310"/>
      <c r="UY51" s="310"/>
      <c r="UZ51" s="310"/>
      <c r="VA51" s="310"/>
      <c r="VB51" s="310"/>
      <c r="VC51" s="310"/>
      <c r="VD51" s="310"/>
      <c r="VE51" s="310"/>
      <c r="VF51" s="310"/>
      <c r="VG51" s="310"/>
      <c r="VH51" s="310"/>
      <c r="VI51" s="310"/>
      <c r="VJ51" s="310"/>
      <c r="VK51" s="310"/>
      <c r="VL51" s="310"/>
      <c r="VM51" s="310"/>
      <c r="VN51" s="310"/>
      <c r="VO51" s="310"/>
      <c r="VP51" s="310"/>
      <c r="VQ51" s="310"/>
      <c r="VR51" s="310"/>
      <c r="VS51" s="310"/>
      <c r="VT51" s="310"/>
      <c r="VU51" s="310"/>
      <c r="VV51" s="310"/>
      <c r="VW51" s="310"/>
      <c r="VX51" s="310"/>
      <c r="VY51" s="310"/>
      <c r="VZ51" s="310"/>
      <c r="WA51" s="310"/>
      <c r="WB51" s="310"/>
      <c r="WC51" s="310"/>
      <c r="WD51" s="310"/>
      <c r="WE51" s="310"/>
      <c r="WF51" s="310"/>
      <c r="WG51" s="310"/>
      <c r="WH51" s="310"/>
      <c r="WI51" s="310"/>
      <c r="WJ51" s="310"/>
      <c r="WK51" s="310"/>
      <c r="WL51" s="310"/>
      <c r="WM51" s="310"/>
      <c r="WN51" s="310"/>
      <c r="WO51" s="310"/>
      <c r="WP51" s="310"/>
      <c r="WQ51" s="310"/>
      <c r="WR51" s="310"/>
      <c r="WS51" s="310"/>
      <c r="WT51" s="310"/>
      <c r="WU51" s="310"/>
      <c r="WV51" s="310"/>
      <c r="WW51" s="310"/>
      <c r="WX51" s="310"/>
      <c r="WY51" s="310"/>
      <c r="WZ51" s="310"/>
      <c r="XA51" s="310"/>
      <c r="XB51" s="310"/>
      <c r="XC51" s="310"/>
      <c r="XD51" s="310"/>
      <c r="XE51" s="310"/>
      <c r="XF51" s="310"/>
      <c r="XG51" s="310"/>
      <c r="XH51" s="310"/>
      <c r="XI51" s="310"/>
      <c r="XJ51" s="310"/>
      <c r="XK51" s="310"/>
      <c r="XL51" s="310"/>
      <c r="XM51" s="310"/>
      <c r="XN51" s="310"/>
      <c r="XO51" s="310"/>
      <c r="XP51" s="310"/>
      <c r="XQ51" s="310"/>
      <c r="XR51" s="310"/>
      <c r="XS51" s="310"/>
      <c r="XT51" s="310"/>
      <c r="XU51" s="310"/>
      <c r="XV51" s="310"/>
      <c r="XW51" s="310"/>
      <c r="XX51" s="310"/>
      <c r="XY51" s="310"/>
      <c r="XZ51" s="310"/>
      <c r="YA51" s="310"/>
      <c r="YB51" s="310"/>
      <c r="YC51" s="310"/>
      <c r="YD51" s="310"/>
      <c r="YE51" s="310"/>
      <c r="YF51" s="310"/>
      <c r="YG51" s="310"/>
      <c r="YH51" s="310"/>
      <c r="YI51" s="310"/>
      <c r="YJ51" s="310"/>
      <c r="YK51" s="310"/>
      <c r="YL51" s="310"/>
      <c r="YM51" s="310"/>
      <c r="YN51" s="310"/>
      <c r="YO51" s="310"/>
      <c r="YP51" s="310"/>
      <c r="YQ51" s="310"/>
      <c r="YR51" s="310"/>
      <c r="YS51" s="310"/>
      <c r="YT51" s="310"/>
      <c r="YU51" s="310"/>
      <c r="YV51" s="310"/>
      <c r="YW51" s="310"/>
      <c r="YX51" s="310"/>
      <c r="YY51" s="310"/>
      <c r="YZ51" s="310"/>
      <c r="ZA51" s="310"/>
      <c r="ZB51" s="310"/>
      <c r="ZC51" s="310"/>
      <c r="ZD51" s="310"/>
      <c r="ZE51" s="310"/>
      <c r="ZF51" s="310"/>
      <c r="ZG51" s="310"/>
      <c r="ZH51" s="310"/>
      <c r="ZI51" s="310"/>
      <c r="ZJ51" s="310"/>
      <c r="ZK51" s="310"/>
      <c r="ZL51" s="310"/>
      <c r="ZM51" s="310"/>
      <c r="ZN51" s="310"/>
      <c r="ZO51" s="310"/>
      <c r="ZP51" s="310"/>
      <c r="ZQ51" s="310"/>
      <c r="ZR51" s="310"/>
      <c r="ZS51" s="310"/>
      <c r="ZT51" s="310"/>
      <c r="ZU51" s="310"/>
      <c r="ZV51" s="310"/>
      <c r="ZW51" s="310"/>
      <c r="ZX51" s="310"/>
      <c r="ZY51" s="310"/>
      <c r="ZZ51" s="310"/>
      <c r="AAA51" s="310"/>
      <c r="AAB51" s="310"/>
      <c r="AAC51" s="310"/>
      <c r="AAD51" s="310"/>
      <c r="AAE51" s="310"/>
      <c r="AAF51" s="310"/>
      <c r="AAG51" s="310"/>
      <c r="AAH51" s="310"/>
      <c r="AAI51" s="310"/>
      <c r="AAJ51" s="310"/>
      <c r="AAK51" s="310"/>
      <c r="AAL51" s="310"/>
      <c r="AAM51" s="310"/>
      <c r="AAN51" s="310"/>
      <c r="AAO51" s="310"/>
      <c r="AAP51" s="310"/>
      <c r="AAQ51" s="310"/>
      <c r="AAR51" s="310"/>
      <c r="AAS51" s="310"/>
      <c r="AAT51" s="310"/>
      <c r="AAU51" s="310"/>
      <c r="AAV51" s="310"/>
      <c r="AAW51" s="310"/>
      <c r="AAX51" s="310"/>
      <c r="AAY51" s="310"/>
      <c r="AAZ51" s="310"/>
      <c r="ABA51" s="310"/>
      <c r="ABB51" s="310"/>
      <c r="ABC51" s="310"/>
      <c r="ABD51" s="310"/>
      <c r="ABE51" s="310"/>
      <c r="ABF51" s="310"/>
      <c r="ABG51" s="310"/>
      <c r="ABH51" s="310"/>
      <c r="ABI51" s="310"/>
      <c r="ABJ51" s="310"/>
      <c r="ABK51" s="310"/>
      <c r="ABL51" s="310"/>
      <c r="ABM51" s="310"/>
      <c r="ABN51" s="310"/>
      <c r="ABO51" s="310"/>
      <c r="ABP51" s="310"/>
      <c r="ABQ51" s="310"/>
      <c r="ABR51" s="310"/>
      <c r="ABS51" s="310"/>
      <c r="ABT51" s="310"/>
      <c r="ABU51" s="310"/>
      <c r="ABV51" s="310"/>
      <c r="ABW51" s="310"/>
      <c r="ABX51" s="310"/>
      <c r="ABY51" s="310"/>
      <c r="ABZ51" s="310"/>
      <c r="ACA51" s="310"/>
      <c r="ACB51" s="310"/>
      <c r="ACC51" s="310"/>
      <c r="ACD51" s="310"/>
      <c r="ACE51" s="310"/>
      <c r="ACF51" s="310"/>
      <c r="ACG51" s="310"/>
      <c r="ACH51" s="310"/>
      <c r="ACI51" s="310"/>
      <c r="ACJ51" s="310"/>
      <c r="ACK51" s="310"/>
      <c r="ACL51" s="310"/>
      <c r="ACM51" s="310"/>
      <c r="ACN51" s="310"/>
      <c r="ACO51" s="310"/>
      <c r="ACP51" s="310"/>
      <c r="ACQ51" s="310"/>
      <c r="ACR51" s="310"/>
      <c r="ACS51" s="310"/>
      <c r="ACT51" s="310"/>
      <c r="ACU51" s="310"/>
      <c r="ACV51" s="310"/>
      <c r="ACW51" s="310"/>
      <c r="ACX51" s="310"/>
      <c r="ACY51" s="310"/>
      <c r="ACZ51" s="310"/>
      <c r="ADA51" s="310"/>
      <c r="ADB51" s="310"/>
      <c r="ADC51" s="310"/>
      <c r="ADD51" s="310"/>
      <c r="ADE51" s="310"/>
      <c r="ADF51" s="310"/>
      <c r="ADG51" s="310"/>
      <c r="ADH51" s="310"/>
      <c r="ADI51" s="310"/>
      <c r="ADJ51" s="310"/>
      <c r="ADK51" s="310"/>
      <c r="ADL51" s="310"/>
      <c r="ADM51" s="310"/>
      <c r="ADN51" s="310"/>
      <c r="ADO51" s="310"/>
      <c r="ADP51" s="310"/>
      <c r="ADQ51" s="310"/>
      <c r="ADR51" s="310"/>
      <c r="ADS51" s="310"/>
      <c r="ADT51" s="310"/>
      <c r="ADU51" s="310"/>
      <c r="ADV51" s="310"/>
      <c r="ADW51" s="310"/>
      <c r="ADX51" s="310"/>
      <c r="ADY51" s="310"/>
      <c r="ADZ51" s="310"/>
      <c r="AEA51" s="310"/>
      <c r="AEB51" s="310"/>
      <c r="AEC51" s="310"/>
      <c r="AED51" s="310"/>
      <c r="AEE51" s="310"/>
      <c r="AEF51" s="310"/>
      <c r="AEG51" s="310"/>
      <c r="AEH51" s="310"/>
      <c r="AEI51" s="310"/>
      <c r="AEJ51" s="310"/>
      <c r="AEK51" s="310"/>
      <c r="AEL51" s="310"/>
      <c r="AEM51" s="310"/>
      <c r="AEN51" s="310"/>
      <c r="AEO51" s="310"/>
      <c r="AEP51" s="310"/>
      <c r="AEQ51" s="310"/>
      <c r="AER51" s="310"/>
      <c r="AES51" s="310"/>
      <c r="AET51" s="310"/>
      <c r="AEU51" s="310"/>
      <c r="AEV51" s="310"/>
      <c r="AEW51" s="310"/>
      <c r="AEX51" s="310"/>
      <c r="AEY51" s="310"/>
      <c r="AEZ51" s="310"/>
      <c r="AFA51" s="310"/>
      <c r="AFB51" s="310"/>
      <c r="AFC51" s="310"/>
      <c r="AFD51" s="310"/>
      <c r="AFE51" s="310"/>
      <c r="AFF51" s="310"/>
      <c r="AFG51" s="310"/>
      <c r="AFH51" s="310"/>
      <c r="AFI51" s="310"/>
      <c r="AFJ51" s="310"/>
      <c r="AFK51" s="310"/>
      <c r="AFL51" s="310"/>
      <c r="AFM51" s="310"/>
      <c r="AFN51" s="310"/>
      <c r="AFO51" s="310"/>
      <c r="AFP51" s="310"/>
      <c r="AFQ51" s="310"/>
      <c r="AFR51" s="310"/>
      <c r="AFS51" s="310"/>
      <c r="AFT51" s="310"/>
      <c r="AFU51" s="310"/>
      <c r="AFV51" s="310"/>
      <c r="AFW51" s="310"/>
      <c r="AFX51" s="310"/>
      <c r="AFY51" s="310"/>
      <c r="AFZ51" s="310"/>
      <c r="AGA51" s="310"/>
      <c r="AGB51" s="310"/>
      <c r="AGC51" s="310"/>
      <c r="AGD51" s="310"/>
      <c r="AGE51" s="310"/>
      <c r="AGF51" s="310"/>
      <c r="AGG51" s="310"/>
      <c r="AGH51" s="310"/>
      <c r="AGI51" s="310"/>
      <c r="AGJ51" s="310"/>
      <c r="AGK51" s="310"/>
      <c r="AGL51" s="310"/>
      <c r="AGM51" s="310"/>
      <c r="AGN51" s="310"/>
      <c r="AGO51" s="310"/>
      <c r="AGP51" s="310"/>
      <c r="AGQ51" s="310"/>
      <c r="AGR51" s="310"/>
      <c r="AGS51" s="310"/>
      <c r="AGT51" s="310"/>
      <c r="AGU51" s="310"/>
      <c r="AGV51" s="310"/>
      <c r="AGW51" s="310"/>
      <c r="AGX51" s="310"/>
      <c r="AGY51" s="310"/>
      <c r="AGZ51" s="310"/>
      <c r="AHA51" s="310"/>
      <c r="AHB51" s="310"/>
      <c r="AHC51" s="310"/>
      <c r="AHD51" s="310"/>
      <c r="AHE51" s="310"/>
      <c r="AHF51" s="310"/>
      <c r="AHG51" s="310"/>
      <c r="AHH51" s="310"/>
      <c r="AHI51" s="310"/>
      <c r="AHJ51" s="310"/>
      <c r="AHK51" s="310"/>
      <c r="AHL51" s="310"/>
      <c r="AHM51" s="310"/>
      <c r="AHN51" s="310"/>
      <c r="AHO51" s="310"/>
      <c r="AHP51" s="310"/>
      <c r="AHQ51" s="310"/>
      <c r="AHR51" s="310"/>
      <c r="AHS51" s="310"/>
      <c r="AHT51" s="310"/>
      <c r="AHU51" s="310"/>
      <c r="AHV51" s="310"/>
      <c r="AHW51" s="310"/>
      <c r="AHX51" s="310"/>
      <c r="AHY51" s="310"/>
      <c r="AHZ51" s="310"/>
      <c r="AIA51" s="310"/>
      <c r="AIB51" s="310"/>
      <c r="AIC51" s="310"/>
      <c r="AID51" s="310"/>
      <c r="AIE51" s="310"/>
      <c r="AIF51" s="310"/>
      <c r="AIG51" s="310"/>
      <c r="AIH51" s="310"/>
      <c r="AII51" s="310"/>
      <c r="AIJ51" s="310"/>
      <c r="AIK51" s="310"/>
      <c r="AIL51" s="310"/>
      <c r="AIM51" s="310"/>
      <c r="AIN51" s="310"/>
      <c r="AIO51" s="310"/>
      <c r="AIP51" s="310"/>
      <c r="AIQ51" s="310"/>
      <c r="AIR51" s="310"/>
      <c r="AIS51" s="310"/>
      <c r="AIT51" s="310"/>
      <c r="AIU51" s="310"/>
      <c r="AIV51" s="310"/>
      <c r="AIW51" s="310"/>
      <c r="AIX51" s="310"/>
      <c r="AIY51" s="310"/>
      <c r="AIZ51" s="310"/>
      <c r="AJA51" s="310"/>
      <c r="AJB51" s="310"/>
      <c r="AJC51" s="310"/>
      <c r="AJD51" s="310"/>
      <c r="AJE51" s="310"/>
      <c r="AJF51" s="310"/>
      <c r="AJG51" s="310"/>
      <c r="AJH51" s="310"/>
      <c r="AJI51" s="310"/>
      <c r="AJJ51" s="310"/>
      <c r="AJK51" s="310"/>
      <c r="AJL51" s="310"/>
      <c r="AJM51" s="310"/>
      <c r="AJN51" s="310"/>
      <c r="AJO51" s="310"/>
      <c r="AJP51" s="310"/>
      <c r="AJQ51" s="310"/>
      <c r="AJR51" s="310"/>
      <c r="AJS51" s="310"/>
      <c r="AJT51" s="310"/>
      <c r="AJU51" s="310"/>
      <c r="AJV51" s="310"/>
      <c r="AJW51" s="310"/>
      <c r="AJX51" s="310"/>
      <c r="AJY51" s="310"/>
      <c r="AJZ51" s="310"/>
      <c r="AKA51" s="310"/>
      <c r="AKB51" s="310"/>
      <c r="AKC51" s="310"/>
      <c r="AKD51" s="310"/>
      <c r="AKE51" s="310"/>
      <c r="AKF51" s="310"/>
      <c r="AKG51" s="310"/>
      <c r="AKH51" s="310"/>
      <c r="AKI51" s="310"/>
      <c r="AKJ51" s="310"/>
      <c r="AKK51" s="310"/>
      <c r="AKL51" s="310"/>
      <c r="AKM51" s="310"/>
      <c r="AKN51" s="310"/>
      <c r="AKO51" s="310"/>
      <c r="AKP51" s="310"/>
      <c r="AKQ51" s="310"/>
      <c r="AKR51" s="310"/>
      <c r="AKS51" s="310"/>
      <c r="AKT51" s="310"/>
      <c r="AKU51" s="310"/>
      <c r="AKV51" s="310"/>
      <c r="AKW51" s="310"/>
      <c r="AKX51" s="310"/>
      <c r="AKY51" s="310"/>
      <c r="AKZ51" s="310"/>
      <c r="ALA51" s="310"/>
      <c r="ALB51" s="310"/>
      <c r="ALC51" s="310"/>
      <c r="ALD51" s="310"/>
      <c r="ALE51" s="310"/>
      <c r="ALF51" s="310"/>
      <c r="ALG51" s="310"/>
      <c r="ALH51" s="310"/>
      <c r="ALI51" s="310"/>
      <c r="ALJ51" s="310"/>
      <c r="ALK51" s="310"/>
      <c r="ALL51" s="310"/>
      <c r="ALM51" s="310"/>
      <c r="ALN51" s="310"/>
      <c r="ALO51" s="310"/>
      <c r="ALP51" s="310"/>
      <c r="ALQ51" s="310"/>
      <c r="ALR51" s="310"/>
      <c r="ALS51" s="310"/>
      <c r="ALT51" s="310"/>
      <c r="ALU51" s="310"/>
      <c r="ALV51" s="310"/>
      <c r="ALW51" s="310"/>
      <c r="ALX51" s="310"/>
      <c r="ALY51" s="310"/>
      <c r="ALZ51" s="310"/>
      <c r="AMA51" s="310"/>
      <c r="AMB51" s="310"/>
      <c r="AMC51" s="310"/>
      <c r="AMD51" s="310"/>
      <c r="AME51" s="310"/>
      <c r="AMF51" s="310"/>
      <c r="AMG51" s="310"/>
      <c r="AMH51" s="310"/>
      <c r="AMI51" s="310"/>
      <c r="AMJ51" s="310"/>
      <c r="AMK51" s="310"/>
      <c r="AML51" s="310"/>
      <c r="AMM51" s="310"/>
      <c r="AMN51" s="310"/>
      <c r="AMO51" s="310"/>
      <c r="AMP51" s="310"/>
      <c r="AMQ51" s="310"/>
      <c r="AMR51" s="310"/>
      <c r="AMS51" s="310"/>
      <c r="AMT51" s="310"/>
      <c r="AMU51" s="310"/>
      <c r="AMV51" s="310"/>
      <c r="AMW51" s="310"/>
      <c r="AMX51" s="310"/>
      <c r="AMY51" s="310"/>
      <c r="AMZ51" s="310"/>
      <c r="ANA51" s="310"/>
      <c r="ANB51" s="310"/>
      <c r="ANC51" s="310"/>
      <c r="AND51" s="310"/>
      <c r="ANE51" s="310"/>
      <c r="ANF51" s="310"/>
      <c r="ANG51" s="310"/>
      <c r="ANH51" s="310"/>
      <c r="ANI51" s="310"/>
      <c r="ANJ51" s="310"/>
      <c r="ANK51" s="310"/>
      <c r="ANL51" s="310"/>
      <c r="ANM51" s="310"/>
      <c r="ANN51" s="310"/>
      <c r="ANO51" s="310"/>
      <c r="ANP51" s="310"/>
      <c r="ANQ51" s="310"/>
      <c r="ANR51" s="310"/>
      <c r="ANS51" s="310"/>
      <c r="ANT51" s="310"/>
      <c r="ANU51" s="310"/>
      <c r="ANV51" s="310"/>
      <c r="ANW51" s="310"/>
      <c r="ANX51" s="310"/>
      <c r="ANY51" s="310"/>
      <c r="ANZ51" s="310"/>
      <c r="AOA51" s="310"/>
      <c r="AOB51" s="310"/>
      <c r="AOC51" s="310"/>
      <c r="AOD51" s="310"/>
      <c r="AOE51" s="310"/>
      <c r="AOF51" s="310"/>
      <c r="AOG51" s="310"/>
      <c r="AOH51" s="310"/>
      <c r="AOI51" s="310"/>
      <c r="AOJ51" s="310"/>
      <c r="AOK51" s="310"/>
      <c r="AOL51" s="310"/>
      <c r="AOM51" s="310"/>
      <c r="AON51" s="310"/>
      <c r="AOO51" s="310"/>
      <c r="AOP51" s="310"/>
      <c r="AOQ51" s="310"/>
      <c r="AOR51" s="310"/>
      <c r="AOS51" s="310"/>
      <c r="AOT51" s="310"/>
      <c r="AOU51" s="310"/>
      <c r="AOV51" s="310"/>
      <c r="AOW51" s="310"/>
      <c r="AOX51" s="310"/>
      <c r="AOY51" s="310"/>
      <c r="AOZ51" s="310"/>
      <c r="APA51" s="310"/>
      <c r="APB51" s="310"/>
      <c r="APC51" s="310"/>
      <c r="APD51" s="310"/>
      <c r="APE51" s="310"/>
      <c r="APF51" s="310"/>
      <c r="APG51" s="310"/>
      <c r="APH51" s="310"/>
      <c r="API51" s="310"/>
      <c r="APJ51" s="310"/>
      <c r="APK51" s="310"/>
      <c r="APL51" s="310"/>
      <c r="APM51" s="310"/>
      <c r="APN51" s="310"/>
      <c r="APO51" s="310"/>
      <c r="APP51" s="310"/>
      <c r="APQ51" s="310"/>
      <c r="APR51" s="310"/>
      <c r="APS51" s="310"/>
      <c r="APT51" s="310"/>
      <c r="APU51" s="310"/>
      <c r="APV51" s="310"/>
      <c r="APW51" s="310"/>
      <c r="APX51" s="310"/>
      <c r="APY51" s="310"/>
      <c r="APZ51" s="310"/>
      <c r="AQA51" s="310"/>
      <c r="AQB51" s="310"/>
      <c r="AQC51" s="310"/>
      <c r="AQD51" s="310"/>
      <c r="AQE51" s="310"/>
      <c r="AQF51" s="310"/>
      <c r="AQG51" s="310"/>
      <c r="AQH51" s="310"/>
      <c r="AQI51" s="310"/>
      <c r="AQJ51" s="310"/>
      <c r="AQK51" s="310"/>
      <c r="AQL51" s="310"/>
      <c r="AQM51" s="310"/>
      <c r="AQN51" s="310"/>
      <c r="AQO51" s="310"/>
      <c r="AQP51" s="310"/>
      <c r="AQQ51" s="310"/>
      <c r="AQR51" s="310"/>
      <c r="AQS51" s="310"/>
      <c r="AQT51" s="310"/>
      <c r="AQU51" s="310"/>
      <c r="AQV51" s="310"/>
      <c r="AQW51" s="310"/>
      <c r="AQX51" s="310"/>
      <c r="AQY51" s="310"/>
      <c r="AQZ51" s="310"/>
      <c r="ARA51" s="310"/>
      <c r="ARB51" s="310"/>
      <c r="ARC51" s="310"/>
      <c r="ARD51" s="310"/>
      <c r="ARE51" s="310"/>
      <c r="ARF51" s="310"/>
      <c r="ARG51" s="310"/>
      <c r="ARH51" s="310"/>
      <c r="ARI51" s="310"/>
      <c r="ARJ51" s="310"/>
      <c r="ARK51" s="310"/>
      <c r="ARL51" s="310"/>
      <c r="ARM51" s="310"/>
      <c r="ARN51" s="310"/>
      <c r="ARO51" s="310"/>
      <c r="ARP51" s="310"/>
      <c r="ARQ51" s="310"/>
      <c r="ARR51" s="310"/>
      <c r="ARS51" s="310"/>
      <c r="ART51" s="310"/>
      <c r="ARU51" s="310"/>
      <c r="ARV51" s="310"/>
      <c r="ARW51" s="310"/>
      <c r="ARX51" s="310"/>
      <c r="ARY51" s="310"/>
      <c r="ARZ51" s="310"/>
      <c r="ASA51" s="310"/>
      <c r="ASB51" s="310"/>
      <c r="ASC51" s="310"/>
      <c r="ASD51" s="310"/>
      <c r="ASE51" s="310"/>
      <c r="ASF51" s="310"/>
      <c r="ASG51" s="310"/>
      <c r="ASH51" s="310"/>
      <c r="ASI51" s="310"/>
      <c r="ASJ51" s="310"/>
      <c r="ASK51" s="310"/>
      <c r="ASL51" s="310"/>
      <c r="ASM51" s="310"/>
      <c r="ASN51" s="310"/>
      <c r="ASO51" s="310"/>
      <c r="ASP51" s="310"/>
      <c r="ASQ51" s="310"/>
      <c r="ASR51" s="310"/>
      <c r="ASS51" s="310"/>
      <c r="AST51" s="310"/>
      <c r="ASU51" s="310"/>
      <c r="ASV51" s="310"/>
      <c r="ASW51" s="310"/>
      <c r="ASX51" s="310"/>
      <c r="ASY51" s="310"/>
      <c r="ASZ51" s="310"/>
      <c r="ATA51" s="310"/>
      <c r="ATB51" s="310"/>
      <c r="ATC51" s="310"/>
      <c r="ATD51" s="310"/>
      <c r="ATE51" s="310"/>
      <c r="ATF51" s="310"/>
      <c r="ATG51" s="310"/>
      <c r="ATH51" s="310"/>
      <c r="ATI51" s="310"/>
      <c r="ATJ51" s="310"/>
      <c r="ATK51" s="310"/>
      <c r="ATL51" s="310"/>
      <c r="ATM51" s="310"/>
      <c r="ATN51" s="310"/>
      <c r="ATO51" s="310"/>
      <c r="ATP51" s="310"/>
      <c r="ATQ51" s="310"/>
      <c r="ATR51" s="310"/>
      <c r="ATS51" s="310"/>
      <c r="ATT51" s="310"/>
      <c r="ATU51" s="310"/>
      <c r="ATV51" s="310"/>
      <c r="ATW51" s="310"/>
      <c r="ATX51" s="310"/>
      <c r="ATY51" s="310"/>
      <c r="ATZ51" s="310"/>
      <c r="AUA51" s="310"/>
      <c r="AUB51" s="310"/>
      <c r="AUC51" s="310"/>
      <c r="AUD51" s="310"/>
      <c r="AUE51" s="310"/>
      <c r="AUF51" s="310"/>
      <c r="AUG51" s="310"/>
      <c r="AUH51" s="310"/>
      <c r="AUI51" s="310"/>
      <c r="AUJ51" s="310"/>
      <c r="AUK51" s="310"/>
      <c r="AUL51" s="310"/>
      <c r="AUM51" s="310"/>
      <c r="AUN51" s="310"/>
      <c r="AUO51" s="310"/>
      <c r="AUP51" s="310"/>
      <c r="AUQ51" s="310"/>
      <c r="AUR51" s="310"/>
      <c r="AUS51" s="310"/>
      <c r="AUT51" s="310"/>
      <c r="AUU51" s="310"/>
      <c r="AUV51" s="310"/>
      <c r="AUW51" s="310"/>
      <c r="AUX51" s="310"/>
      <c r="AUY51" s="310"/>
      <c r="AUZ51" s="310"/>
      <c r="AVA51" s="310"/>
      <c r="AVB51" s="310"/>
      <c r="AVC51" s="310"/>
      <c r="AVD51" s="310"/>
      <c r="AVE51" s="310"/>
      <c r="AVF51" s="310"/>
      <c r="AVG51" s="310"/>
      <c r="AVH51" s="310"/>
      <c r="AVI51" s="310"/>
      <c r="AVJ51" s="310"/>
      <c r="AVK51" s="310"/>
      <c r="AVL51" s="310"/>
      <c r="AVM51" s="310"/>
      <c r="AVN51" s="310"/>
      <c r="AVO51" s="310"/>
      <c r="AVP51" s="310"/>
      <c r="AVQ51" s="310"/>
      <c r="AVR51" s="310"/>
      <c r="AVS51" s="310"/>
      <c r="AVT51" s="310"/>
      <c r="AVU51" s="310"/>
      <c r="AVV51" s="310"/>
      <c r="AVW51" s="310"/>
      <c r="AVX51" s="310"/>
      <c r="AVY51" s="310"/>
      <c r="AVZ51" s="310"/>
      <c r="AWA51" s="310"/>
      <c r="AWB51" s="310"/>
      <c r="AWC51" s="310"/>
      <c r="AWD51" s="310"/>
      <c r="AWE51" s="310"/>
      <c r="AWF51" s="310"/>
      <c r="AWG51" s="310"/>
      <c r="AWH51" s="310"/>
      <c r="AWI51" s="310"/>
      <c r="AWJ51" s="310"/>
      <c r="AWK51" s="310"/>
      <c r="AWL51" s="310"/>
      <c r="AWM51" s="310"/>
      <c r="AWN51" s="310"/>
      <c r="AWO51" s="310"/>
      <c r="AWP51" s="310"/>
      <c r="AWQ51" s="310"/>
      <c r="AWR51" s="310"/>
      <c r="AWS51" s="310"/>
      <c r="AWT51" s="310"/>
      <c r="AWU51" s="310"/>
      <c r="AWV51" s="310"/>
      <c r="AWW51" s="310"/>
      <c r="AWX51" s="310"/>
      <c r="AWY51" s="310"/>
      <c r="AWZ51" s="310"/>
      <c r="AXA51" s="310"/>
      <c r="AXB51" s="310"/>
      <c r="AXC51" s="310"/>
      <c r="AXD51" s="310"/>
      <c r="AXE51" s="310"/>
      <c r="AXF51" s="310"/>
      <c r="AXG51" s="310"/>
      <c r="AXH51" s="310"/>
      <c r="AXI51" s="310"/>
      <c r="AXJ51" s="310"/>
      <c r="AXK51" s="310"/>
      <c r="AXL51" s="310"/>
      <c r="AXM51" s="310"/>
      <c r="AXN51" s="310"/>
      <c r="AXO51" s="310"/>
      <c r="AXP51" s="310"/>
      <c r="AXQ51" s="310"/>
      <c r="AXR51" s="310"/>
      <c r="AXS51" s="310"/>
      <c r="AXT51" s="310"/>
      <c r="AXU51" s="310"/>
      <c r="AXV51" s="310"/>
      <c r="AXW51" s="310"/>
      <c r="AXX51" s="310"/>
      <c r="AXY51" s="310"/>
      <c r="AXZ51" s="310"/>
      <c r="AYA51" s="310"/>
      <c r="AYB51" s="310"/>
      <c r="AYC51" s="310"/>
      <c r="AYD51" s="310"/>
      <c r="AYE51" s="310"/>
      <c r="AYF51" s="310"/>
      <c r="AYG51" s="310"/>
      <c r="AYH51" s="310"/>
      <c r="AYI51" s="310"/>
      <c r="AYJ51" s="310"/>
      <c r="AYK51" s="310"/>
      <c r="AYL51" s="310"/>
      <c r="AYM51" s="310"/>
      <c r="AYN51" s="310"/>
      <c r="AYO51" s="310"/>
      <c r="AYP51" s="310"/>
      <c r="AYQ51" s="310"/>
      <c r="AYR51" s="310"/>
      <c r="AYS51" s="310"/>
      <c r="AYT51" s="310"/>
      <c r="AYU51" s="310"/>
      <c r="AYV51" s="310"/>
      <c r="AYW51" s="310"/>
      <c r="AYX51" s="310"/>
      <c r="AYY51" s="310"/>
      <c r="AYZ51" s="310"/>
      <c r="AZA51" s="310"/>
      <c r="AZB51" s="310"/>
      <c r="AZC51" s="310"/>
      <c r="AZD51" s="310"/>
      <c r="AZE51" s="310"/>
      <c r="AZF51" s="310"/>
      <c r="AZG51" s="310"/>
      <c r="AZH51" s="310"/>
      <c r="AZI51" s="310"/>
      <c r="AZJ51" s="310"/>
      <c r="AZK51" s="310"/>
      <c r="AZL51" s="310"/>
      <c r="AZM51" s="310"/>
      <c r="AZN51" s="310"/>
      <c r="AZO51" s="310"/>
      <c r="AZP51" s="310"/>
      <c r="AZQ51" s="310"/>
      <c r="AZR51" s="310"/>
      <c r="AZS51" s="310"/>
      <c r="AZT51" s="310"/>
      <c r="AZU51" s="310"/>
      <c r="AZV51" s="310"/>
      <c r="AZW51" s="310"/>
      <c r="AZX51" s="310"/>
      <c r="AZY51" s="310"/>
      <c r="AZZ51" s="310"/>
      <c r="BAA51" s="310"/>
      <c r="BAB51" s="310"/>
      <c r="BAC51" s="310"/>
      <c r="BAD51" s="310"/>
      <c r="BAE51" s="310"/>
      <c r="BAF51" s="310"/>
      <c r="BAG51" s="310"/>
      <c r="BAH51" s="310"/>
      <c r="BAI51" s="310"/>
      <c r="BAJ51" s="310"/>
      <c r="BAK51" s="310"/>
      <c r="BAL51" s="310"/>
      <c r="BAM51" s="310"/>
      <c r="BAN51" s="310"/>
      <c r="BAO51" s="310"/>
      <c r="BAP51" s="310"/>
      <c r="BAQ51" s="310"/>
      <c r="BAR51" s="310"/>
      <c r="BAS51" s="310"/>
      <c r="BAT51" s="310"/>
      <c r="BAU51" s="310"/>
      <c r="BAV51" s="310"/>
      <c r="BAW51" s="310"/>
      <c r="BAX51" s="310"/>
      <c r="BAY51" s="310"/>
      <c r="BAZ51" s="310"/>
      <c r="BBA51" s="310"/>
      <c r="BBB51" s="310"/>
      <c r="BBC51" s="310"/>
      <c r="BBD51" s="310"/>
      <c r="BBE51" s="310"/>
      <c r="BBF51" s="310"/>
      <c r="BBG51" s="310"/>
      <c r="BBH51" s="310"/>
      <c r="BBI51" s="310"/>
      <c r="BBJ51" s="310"/>
      <c r="BBK51" s="310"/>
      <c r="BBL51" s="310"/>
      <c r="BBM51" s="310"/>
      <c r="BBN51" s="310"/>
      <c r="BBO51" s="310"/>
      <c r="BBP51" s="310"/>
      <c r="BBQ51" s="310"/>
      <c r="BBR51" s="310"/>
      <c r="BBS51" s="310"/>
      <c r="BBT51" s="310"/>
      <c r="BBU51" s="310"/>
      <c r="BBV51" s="310"/>
      <c r="BBW51" s="310"/>
      <c r="BBX51" s="310"/>
      <c r="BBY51" s="310"/>
      <c r="BBZ51" s="310"/>
      <c r="BCA51" s="310"/>
      <c r="BCB51" s="310"/>
      <c r="BCC51" s="310"/>
      <c r="BCD51" s="310"/>
      <c r="BCE51" s="310"/>
      <c r="BCF51" s="310"/>
      <c r="BCG51" s="310"/>
      <c r="BCH51" s="310"/>
      <c r="BCI51" s="310"/>
      <c r="BCJ51" s="310"/>
      <c r="BCK51" s="310"/>
      <c r="BCL51" s="310"/>
      <c r="BCM51" s="310"/>
      <c r="BCN51" s="310"/>
      <c r="BCO51" s="310"/>
      <c r="BCP51" s="310"/>
      <c r="BCQ51" s="310"/>
      <c r="BCR51" s="310"/>
      <c r="BCS51" s="310"/>
      <c r="BCT51" s="310"/>
      <c r="BCU51" s="310"/>
      <c r="BCV51" s="310"/>
      <c r="BCW51" s="310"/>
      <c r="BCX51" s="310"/>
      <c r="BCY51" s="310"/>
      <c r="BCZ51" s="310"/>
      <c r="BDA51" s="310"/>
      <c r="BDB51" s="310"/>
      <c r="BDC51" s="310"/>
      <c r="BDD51" s="310"/>
      <c r="BDE51" s="310"/>
      <c r="BDF51" s="310"/>
      <c r="BDG51" s="310"/>
      <c r="BDH51" s="310"/>
      <c r="BDI51" s="310"/>
      <c r="BDJ51" s="310"/>
      <c r="BDK51" s="310"/>
      <c r="BDL51" s="310"/>
      <c r="BDM51" s="310"/>
      <c r="BDN51" s="310"/>
      <c r="BDO51" s="310"/>
      <c r="BDP51" s="310"/>
      <c r="BDQ51" s="310"/>
      <c r="BDR51" s="310"/>
      <c r="BDS51" s="310"/>
      <c r="BDT51" s="310"/>
      <c r="BDU51" s="310"/>
      <c r="BDV51" s="310"/>
      <c r="BDW51" s="310"/>
      <c r="BDX51" s="310"/>
      <c r="BDY51" s="310"/>
      <c r="BDZ51" s="310"/>
      <c r="BEA51" s="310"/>
      <c r="BEB51" s="310"/>
      <c r="BEC51" s="310"/>
      <c r="BED51" s="310"/>
      <c r="BEE51" s="310"/>
      <c r="BEF51" s="310"/>
      <c r="BEG51" s="310"/>
      <c r="BEH51" s="310"/>
      <c r="BEI51" s="310"/>
      <c r="BEJ51" s="310"/>
      <c r="BEK51" s="310"/>
      <c r="BEL51" s="310"/>
      <c r="BEM51" s="310"/>
      <c r="BEN51" s="310"/>
      <c r="BEO51" s="310"/>
      <c r="BEP51" s="310"/>
      <c r="BEQ51" s="310"/>
      <c r="BER51" s="310"/>
      <c r="BES51" s="310"/>
      <c r="BET51" s="310"/>
      <c r="BEU51" s="310"/>
      <c r="BEV51" s="310"/>
      <c r="BEW51" s="310"/>
      <c r="BEX51" s="310"/>
      <c r="BEY51" s="310"/>
      <c r="BEZ51" s="310"/>
      <c r="BFA51" s="310"/>
      <c r="BFB51" s="310"/>
      <c r="BFC51" s="310"/>
      <c r="BFD51" s="310"/>
      <c r="BFE51" s="310"/>
      <c r="BFF51" s="310"/>
      <c r="BFG51" s="310"/>
      <c r="BFH51" s="310"/>
      <c r="BFI51" s="310"/>
      <c r="BFJ51" s="310"/>
      <c r="BFK51" s="310"/>
      <c r="BFL51" s="310"/>
      <c r="BFM51" s="310"/>
      <c r="BFN51" s="310"/>
      <c r="BFO51" s="310"/>
      <c r="BFP51" s="310"/>
      <c r="BFQ51" s="310"/>
      <c r="BFR51" s="310"/>
      <c r="BFS51" s="310"/>
      <c r="BFT51" s="310"/>
      <c r="BFU51" s="310"/>
      <c r="BFV51" s="310"/>
      <c r="BFW51" s="310"/>
      <c r="BFX51" s="310"/>
      <c r="BFY51" s="310"/>
      <c r="BFZ51" s="310"/>
      <c r="BGA51" s="310"/>
      <c r="BGB51" s="310"/>
      <c r="BGC51" s="310"/>
      <c r="BGD51" s="310"/>
      <c r="BGE51" s="310"/>
      <c r="BGF51" s="310"/>
      <c r="BGG51" s="310"/>
      <c r="BGH51" s="310"/>
      <c r="BGI51" s="310"/>
      <c r="BGJ51" s="310"/>
      <c r="BGK51" s="310"/>
      <c r="BGL51" s="310"/>
      <c r="BGM51" s="310"/>
      <c r="BGN51" s="310"/>
      <c r="BGO51" s="310"/>
      <c r="BGP51" s="310"/>
      <c r="BGQ51" s="310"/>
      <c r="BGR51" s="310"/>
      <c r="BGS51" s="310"/>
      <c r="BGT51" s="310"/>
      <c r="BGU51" s="310"/>
      <c r="BGV51" s="310"/>
      <c r="BGW51" s="310"/>
      <c r="BGX51" s="310"/>
      <c r="BGY51" s="310"/>
      <c r="BGZ51" s="310"/>
      <c r="BHA51" s="310"/>
      <c r="BHB51" s="310"/>
      <c r="BHC51" s="310"/>
      <c r="BHD51" s="310"/>
      <c r="BHE51" s="310"/>
      <c r="BHF51" s="310"/>
      <c r="BHG51" s="310"/>
      <c r="BHH51" s="310"/>
      <c r="BHI51" s="310"/>
      <c r="BHJ51" s="310"/>
      <c r="BHK51" s="310"/>
      <c r="BHL51" s="310"/>
      <c r="BHM51" s="310"/>
      <c r="BHN51" s="310"/>
      <c r="BHO51" s="310"/>
      <c r="BHP51" s="310"/>
      <c r="BHQ51" s="310"/>
      <c r="BHR51" s="310"/>
      <c r="BHS51" s="310"/>
      <c r="BHT51" s="310"/>
      <c r="BHU51" s="310"/>
      <c r="BHV51" s="310"/>
      <c r="BHW51" s="310"/>
      <c r="BHX51" s="310"/>
      <c r="BHY51" s="310"/>
      <c r="BHZ51" s="310"/>
      <c r="BIA51" s="310"/>
      <c r="BIB51" s="310"/>
      <c r="BIC51" s="310"/>
      <c r="BID51" s="310"/>
      <c r="BIE51" s="310"/>
      <c r="BIF51" s="310"/>
      <c r="BIG51" s="310"/>
      <c r="BIH51" s="310"/>
      <c r="BII51" s="310"/>
      <c r="BIJ51" s="310"/>
      <c r="BIK51" s="310"/>
      <c r="BIL51" s="310"/>
      <c r="BIM51" s="310"/>
      <c r="BIN51" s="310"/>
      <c r="BIO51" s="310"/>
      <c r="BIP51" s="310"/>
      <c r="BIQ51" s="310"/>
      <c r="BIR51" s="310"/>
      <c r="BIS51" s="310"/>
      <c r="BIT51" s="310"/>
      <c r="BIU51" s="310"/>
      <c r="BIV51" s="310"/>
      <c r="BIW51" s="310"/>
      <c r="BIX51" s="310"/>
      <c r="BIY51" s="310"/>
      <c r="BIZ51" s="310"/>
      <c r="BJA51" s="310"/>
      <c r="BJB51" s="310"/>
      <c r="BJC51" s="310"/>
      <c r="BJD51" s="310"/>
      <c r="BJE51" s="310"/>
      <c r="BJF51" s="310"/>
      <c r="BJG51" s="310"/>
      <c r="BJH51" s="310"/>
      <c r="BJI51" s="310"/>
      <c r="BJJ51" s="310"/>
      <c r="BJK51" s="310"/>
      <c r="BJL51" s="310"/>
      <c r="BJM51" s="310"/>
      <c r="BJN51" s="310"/>
      <c r="BJO51" s="310"/>
      <c r="BJP51" s="310"/>
      <c r="BJQ51" s="310"/>
      <c r="BJR51" s="310"/>
      <c r="BJS51" s="310"/>
      <c r="BJT51" s="310"/>
      <c r="BJU51" s="310"/>
      <c r="BJV51" s="310"/>
      <c r="BJW51" s="310"/>
      <c r="BJX51" s="310"/>
      <c r="BJY51" s="310"/>
      <c r="BJZ51" s="310"/>
      <c r="BKA51" s="310"/>
      <c r="BKB51" s="310"/>
      <c r="BKC51" s="310"/>
      <c r="BKD51" s="310"/>
      <c r="BKE51" s="310"/>
      <c r="BKF51" s="310"/>
      <c r="BKG51" s="310"/>
      <c r="BKH51" s="310"/>
      <c r="BKI51" s="310"/>
      <c r="BKJ51" s="310"/>
      <c r="BKK51" s="310"/>
      <c r="BKL51" s="310"/>
      <c r="BKM51" s="310"/>
      <c r="BKN51" s="310"/>
      <c r="BKO51" s="310"/>
      <c r="BKP51" s="310"/>
      <c r="BKQ51" s="310"/>
      <c r="BKR51" s="310"/>
      <c r="BKS51" s="310"/>
      <c r="BKT51" s="310"/>
      <c r="BKU51" s="310"/>
      <c r="BKV51" s="310"/>
      <c r="BKW51" s="310"/>
      <c r="BKX51" s="310"/>
      <c r="BKY51" s="310"/>
      <c r="BKZ51" s="310"/>
      <c r="BLA51" s="310"/>
      <c r="BLB51" s="310"/>
      <c r="BLC51" s="310"/>
      <c r="BLD51" s="310"/>
      <c r="BLE51" s="310"/>
      <c r="BLF51" s="310"/>
      <c r="BLG51" s="310"/>
      <c r="BLH51" s="310"/>
      <c r="BLI51" s="310"/>
      <c r="BLJ51" s="310"/>
      <c r="BLK51" s="310"/>
      <c r="BLL51" s="310"/>
      <c r="BLM51" s="310"/>
      <c r="BLN51" s="310"/>
      <c r="BLO51" s="310"/>
      <c r="BLP51" s="310"/>
      <c r="BLQ51" s="310"/>
      <c r="BLR51" s="310"/>
      <c r="BLS51" s="310"/>
      <c r="BLT51" s="310"/>
      <c r="BLU51" s="310"/>
      <c r="BLV51" s="310"/>
      <c r="BLW51" s="310"/>
      <c r="BLX51" s="310"/>
      <c r="BLY51" s="310"/>
      <c r="BLZ51" s="310"/>
      <c r="BMA51" s="310"/>
      <c r="BMB51" s="310"/>
      <c r="BMC51" s="310"/>
      <c r="BMD51" s="310"/>
      <c r="BME51" s="310"/>
      <c r="BMF51" s="310"/>
      <c r="BMG51" s="310"/>
      <c r="BMH51" s="310"/>
      <c r="BMI51" s="310"/>
      <c r="BMJ51" s="310"/>
      <c r="BMK51" s="310"/>
      <c r="BML51" s="310"/>
      <c r="BMM51" s="310"/>
      <c r="BMN51" s="310"/>
      <c r="BMO51" s="310"/>
      <c r="BMP51" s="310"/>
      <c r="BMQ51" s="310"/>
      <c r="BMR51" s="310"/>
      <c r="BMS51" s="310"/>
      <c r="BMT51" s="310"/>
      <c r="BMU51" s="310"/>
      <c r="BMV51" s="310"/>
      <c r="BMW51" s="310"/>
      <c r="BMX51" s="310"/>
      <c r="BMY51" s="310"/>
      <c r="BMZ51" s="310"/>
      <c r="BNA51" s="310"/>
      <c r="BNB51" s="310"/>
      <c r="BNC51" s="310"/>
      <c r="BND51" s="310"/>
      <c r="BNE51" s="310"/>
      <c r="BNF51" s="310"/>
      <c r="BNG51" s="310"/>
      <c r="BNH51" s="310"/>
      <c r="BNI51" s="310"/>
      <c r="BNJ51" s="310"/>
      <c r="BNK51" s="310"/>
      <c r="BNL51" s="310"/>
      <c r="BNM51" s="310"/>
      <c r="BNN51" s="310"/>
      <c r="BNO51" s="310"/>
      <c r="BNP51" s="310"/>
      <c r="BNQ51" s="310"/>
      <c r="BNR51" s="310"/>
      <c r="BNS51" s="310"/>
      <c r="BNT51" s="310"/>
      <c r="BNU51" s="310"/>
      <c r="BNV51" s="310"/>
      <c r="BNW51" s="310"/>
      <c r="BNX51" s="310"/>
      <c r="BNY51" s="310"/>
      <c r="BNZ51" s="310"/>
      <c r="BOA51" s="310"/>
      <c r="BOB51" s="310"/>
      <c r="BOC51" s="310"/>
      <c r="BOD51" s="310"/>
      <c r="BOE51" s="310"/>
      <c r="BOF51" s="310"/>
      <c r="BOG51" s="310"/>
      <c r="BOH51" s="310"/>
      <c r="BOI51" s="310"/>
      <c r="BOJ51" s="310"/>
      <c r="BOK51" s="310"/>
      <c r="BOL51" s="310"/>
      <c r="BOM51" s="310"/>
      <c r="BON51" s="310"/>
      <c r="BOO51" s="310"/>
      <c r="BOP51" s="310"/>
      <c r="BOQ51" s="310"/>
      <c r="BOR51" s="310"/>
      <c r="BOS51" s="310"/>
      <c r="BOT51" s="310"/>
      <c r="BOU51" s="310"/>
      <c r="BOV51" s="310"/>
      <c r="BOW51" s="310"/>
      <c r="BOX51" s="310"/>
      <c r="BOY51" s="310"/>
      <c r="BOZ51" s="310"/>
      <c r="BPA51" s="310"/>
      <c r="BPB51" s="310"/>
      <c r="BPC51" s="310"/>
      <c r="BPD51" s="310"/>
      <c r="BPE51" s="310"/>
      <c r="BPF51" s="310"/>
      <c r="BPG51" s="310"/>
      <c r="BPH51" s="310"/>
      <c r="BPI51" s="310"/>
      <c r="BPJ51" s="310"/>
      <c r="BPK51" s="310"/>
      <c r="BPL51" s="310"/>
      <c r="BPM51" s="310"/>
      <c r="BPN51" s="310"/>
      <c r="BPO51" s="310"/>
      <c r="BPP51" s="310"/>
      <c r="BPQ51" s="310"/>
      <c r="BPR51" s="310"/>
      <c r="BPS51" s="310"/>
      <c r="BPT51" s="310"/>
      <c r="BPU51" s="310"/>
      <c r="BPV51" s="310"/>
      <c r="BPW51" s="310"/>
      <c r="BPX51" s="310"/>
      <c r="BPY51" s="310"/>
      <c r="BPZ51" s="310"/>
      <c r="BQA51" s="310"/>
      <c r="BQB51" s="310"/>
      <c r="BQC51" s="310"/>
      <c r="BQD51" s="310"/>
      <c r="BQE51" s="310"/>
      <c r="BQF51" s="310"/>
      <c r="BQG51" s="310"/>
      <c r="BQH51" s="310"/>
      <c r="BQI51" s="310"/>
      <c r="BQJ51" s="310"/>
      <c r="BQK51" s="310"/>
      <c r="BQL51" s="310"/>
      <c r="BQM51" s="310"/>
      <c r="BQN51" s="310"/>
      <c r="BQO51" s="310"/>
      <c r="BQP51" s="310"/>
      <c r="BQQ51" s="310"/>
      <c r="BQR51" s="310"/>
      <c r="BQS51" s="310"/>
      <c r="BQT51" s="310"/>
      <c r="BQU51" s="310"/>
      <c r="BQV51" s="310"/>
      <c r="BQW51" s="310"/>
      <c r="BQX51" s="310"/>
      <c r="BQY51" s="310"/>
      <c r="BQZ51" s="310"/>
      <c r="BRA51" s="310"/>
      <c r="BRB51" s="310"/>
      <c r="BRC51" s="310"/>
      <c r="BRD51" s="310"/>
      <c r="BRE51" s="310"/>
      <c r="BRF51" s="310"/>
      <c r="BRG51" s="310"/>
      <c r="BRH51" s="310"/>
      <c r="BRI51" s="310"/>
      <c r="BRJ51" s="310"/>
      <c r="BRK51" s="310"/>
      <c r="BRL51" s="310"/>
      <c r="BRM51" s="310"/>
      <c r="BRN51" s="310"/>
      <c r="BRO51" s="310"/>
      <c r="BRP51" s="310"/>
      <c r="BRQ51" s="310"/>
      <c r="BRR51" s="310"/>
      <c r="BRS51" s="310"/>
      <c r="BRT51" s="310"/>
      <c r="BRU51" s="310"/>
      <c r="BRV51" s="310"/>
      <c r="BRW51" s="310"/>
      <c r="BRX51" s="310"/>
      <c r="BRY51" s="310"/>
      <c r="BRZ51" s="310"/>
      <c r="BSA51" s="310"/>
      <c r="BSB51" s="310"/>
      <c r="BSC51" s="310"/>
      <c r="BSD51" s="310"/>
      <c r="BSE51" s="310"/>
      <c r="BSF51" s="310"/>
      <c r="BSG51" s="310"/>
      <c r="BSH51" s="310"/>
      <c r="BSI51" s="310"/>
      <c r="BSJ51" s="310"/>
      <c r="BSK51" s="310"/>
      <c r="BSL51" s="310"/>
      <c r="BSM51" s="310"/>
      <c r="BSN51" s="310"/>
      <c r="BSO51" s="310"/>
      <c r="BSP51" s="310"/>
      <c r="BSQ51" s="310"/>
      <c r="BSR51" s="310"/>
      <c r="BSS51" s="310"/>
      <c r="BST51" s="310"/>
      <c r="BSU51" s="310"/>
      <c r="BSV51" s="310"/>
      <c r="BSW51" s="310"/>
      <c r="BSX51" s="310"/>
      <c r="BSY51" s="310"/>
      <c r="BSZ51" s="310"/>
      <c r="BTA51" s="310"/>
      <c r="BTB51" s="310"/>
      <c r="BTC51" s="310"/>
      <c r="BTD51" s="310"/>
      <c r="BTE51" s="310"/>
      <c r="BTF51" s="310"/>
      <c r="BTG51" s="310"/>
      <c r="BTH51" s="310"/>
      <c r="BTI51" s="310"/>
      <c r="BTJ51" s="310"/>
      <c r="BTK51" s="310"/>
      <c r="BTL51" s="310"/>
      <c r="BTM51" s="310"/>
      <c r="BTN51" s="310"/>
      <c r="BTO51" s="310"/>
      <c r="BTP51" s="310"/>
      <c r="BTQ51" s="310"/>
      <c r="BTR51" s="310"/>
      <c r="BTS51" s="310"/>
      <c r="BTT51" s="310"/>
      <c r="BTU51" s="310"/>
      <c r="BTV51" s="310"/>
      <c r="BTW51" s="310"/>
      <c r="BTX51" s="310"/>
      <c r="BTY51" s="310"/>
      <c r="BTZ51" s="310"/>
      <c r="BUA51" s="310"/>
      <c r="BUB51" s="310"/>
      <c r="BUC51" s="310"/>
      <c r="BUD51" s="310"/>
      <c r="BUE51" s="310"/>
      <c r="BUF51" s="310"/>
      <c r="BUG51" s="310"/>
      <c r="BUH51" s="310"/>
      <c r="BUI51" s="310"/>
      <c r="BUJ51" s="310"/>
      <c r="BUK51" s="310"/>
      <c r="BUL51" s="310"/>
      <c r="BUM51" s="310"/>
      <c r="BUN51" s="310"/>
      <c r="BUO51" s="310"/>
      <c r="BUP51" s="310"/>
      <c r="BUQ51" s="310"/>
      <c r="BUR51" s="310"/>
      <c r="BUS51" s="310"/>
      <c r="BUT51" s="310"/>
      <c r="BUU51" s="310"/>
      <c r="BUV51" s="310"/>
      <c r="BUW51" s="310"/>
      <c r="BUX51" s="310"/>
      <c r="BUY51" s="310"/>
      <c r="BUZ51" s="310"/>
      <c r="BVA51" s="310"/>
      <c r="BVB51" s="310"/>
      <c r="BVC51" s="310"/>
      <c r="BVD51" s="310"/>
      <c r="BVE51" s="310"/>
      <c r="BVF51" s="310"/>
      <c r="BVG51" s="310"/>
      <c r="BVH51" s="310"/>
      <c r="BVI51" s="310"/>
      <c r="BVJ51" s="310"/>
      <c r="BVK51" s="310"/>
      <c r="BVL51" s="310"/>
      <c r="BVM51" s="310"/>
      <c r="BVN51" s="310"/>
      <c r="BVO51" s="310"/>
      <c r="BVP51" s="310"/>
      <c r="BVQ51" s="310"/>
      <c r="BVR51" s="310"/>
      <c r="BVS51" s="310"/>
      <c r="BVT51" s="310"/>
      <c r="BVU51" s="310"/>
      <c r="BVV51" s="310"/>
      <c r="BVW51" s="310"/>
      <c r="BVX51" s="310"/>
      <c r="BVY51" s="310"/>
      <c r="BVZ51" s="310"/>
      <c r="BWA51" s="310"/>
      <c r="BWB51" s="310"/>
      <c r="BWC51" s="310"/>
      <c r="BWD51" s="310"/>
      <c r="BWE51" s="310"/>
      <c r="BWF51" s="310"/>
      <c r="BWG51" s="310"/>
      <c r="BWH51" s="310"/>
      <c r="BWI51" s="310"/>
      <c r="BWJ51" s="310"/>
      <c r="BWK51" s="310"/>
      <c r="BWL51" s="310"/>
      <c r="BWM51" s="310"/>
      <c r="BWN51" s="310"/>
      <c r="BWO51" s="310"/>
      <c r="BWP51" s="310"/>
      <c r="BWQ51" s="310"/>
      <c r="BWR51" s="310"/>
      <c r="BWS51" s="310"/>
      <c r="BWT51" s="310"/>
      <c r="BWU51" s="310"/>
      <c r="BWV51" s="310"/>
      <c r="BWW51" s="310"/>
      <c r="BWX51" s="310"/>
      <c r="BWY51" s="310"/>
      <c r="BWZ51" s="310"/>
      <c r="BXA51" s="310"/>
      <c r="BXB51" s="310"/>
      <c r="BXC51" s="310"/>
      <c r="BXD51" s="310"/>
      <c r="BXE51" s="310"/>
      <c r="BXF51" s="310"/>
      <c r="BXG51" s="310"/>
      <c r="BXH51" s="310"/>
      <c r="BXI51" s="310"/>
      <c r="BXJ51" s="310"/>
      <c r="BXK51" s="310"/>
      <c r="BXL51" s="310"/>
      <c r="BXM51" s="310"/>
      <c r="BXN51" s="310"/>
      <c r="BXO51" s="310"/>
      <c r="BXP51" s="310"/>
      <c r="BXQ51" s="310"/>
      <c r="BXR51" s="310"/>
      <c r="BXS51" s="310"/>
      <c r="BXT51" s="310"/>
      <c r="BXU51" s="310"/>
      <c r="BXV51" s="310"/>
      <c r="BXW51" s="310"/>
      <c r="BXX51" s="310"/>
      <c r="BXY51" s="310"/>
      <c r="BXZ51" s="310"/>
      <c r="BYA51" s="310"/>
      <c r="BYB51" s="310"/>
      <c r="BYC51" s="310"/>
      <c r="BYD51" s="310"/>
      <c r="BYE51" s="310"/>
      <c r="BYF51" s="310"/>
      <c r="BYG51" s="310"/>
      <c r="BYH51" s="310"/>
      <c r="BYI51" s="310"/>
      <c r="BYJ51" s="310"/>
      <c r="BYK51" s="310"/>
      <c r="BYL51" s="310"/>
      <c r="BYM51" s="310"/>
      <c r="BYN51" s="310"/>
      <c r="BYO51" s="310"/>
      <c r="BYP51" s="310"/>
      <c r="BYQ51" s="310"/>
      <c r="BYR51" s="310"/>
      <c r="BYS51" s="310"/>
      <c r="BYT51" s="310"/>
      <c r="BYU51" s="310"/>
      <c r="BYV51" s="310"/>
      <c r="BYW51" s="310"/>
      <c r="BYX51" s="310"/>
      <c r="BYY51" s="310"/>
      <c r="BYZ51" s="310"/>
      <c r="BZA51" s="310"/>
      <c r="BZB51" s="310"/>
      <c r="BZC51" s="310"/>
      <c r="BZD51" s="310"/>
      <c r="BZE51" s="310"/>
      <c r="BZF51" s="310"/>
      <c r="BZG51" s="310"/>
      <c r="BZH51" s="310"/>
      <c r="BZI51" s="310"/>
      <c r="BZJ51" s="310"/>
      <c r="BZK51" s="310"/>
      <c r="BZL51" s="310"/>
      <c r="BZM51" s="310"/>
      <c r="BZN51" s="310"/>
      <c r="BZO51" s="310"/>
      <c r="BZP51" s="310"/>
      <c r="BZQ51" s="310"/>
      <c r="BZR51" s="310"/>
      <c r="BZS51" s="310"/>
      <c r="BZT51" s="310"/>
      <c r="BZU51" s="310"/>
      <c r="BZV51" s="310"/>
      <c r="BZW51" s="310"/>
      <c r="BZX51" s="310"/>
      <c r="BZY51" s="310"/>
      <c r="BZZ51" s="310"/>
      <c r="CAA51" s="310"/>
      <c r="CAB51" s="310"/>
      <c r="CAC51" s="310"/>
      <c r="CAD51" s="310"/>
      <c r="CAE51" s="310"/>
      <c r="CAF51" s="310"/>
      <c r="CAG51" s="310"/>
      <c r="CAH51" s="310"/>
      <c r="CAI51" s="310"/>
      <c r="CAJ51" s="310"/>
      <c r="CAK51" s="310"/>
      <c r="CAL51" s="310"/>
      <c r="CAM51" s="310"/>
      <c r="CAN51" s="310"/>
      <c r="CAO51" s="310"/>
      <c r="CAP51" s="310"/>
      <c r="CAQ51" s="310"/>
      <c r="CAR51" s="310"/>
      <c r="CAS51" s="310"/>
      <c r="CAT51" s="310"/>
      <c r="CAU51" s="310"/>
      <c r="CAV51" s="310"/>
      <c r="CAW51" s="310"/>
      <c r="CAX51" s="310"/>
      <c r="CAY51" s="310"/>
      <c r="CAZ51" s="310"/>
      <c r="CBA51" s="310"/>
      <c r="CBB51" s="310"/>
      <c r="CBC51" s="310"/>
      <c r="CBD51" s="310"/>
      <c r="CBE51" s="310"/>
      <c r="CBF51" s="310"/>
      <c r="CBG51" s="310"/>
      <c r="CBH51" s="310"/>
      <c r="CBI51" s="310"/>
      <c r="CBJ51" s="310"/>
      <c r="CBK51" s="310"/>
      <c r="CBL51" s="310"/>
      <c r="CBM51" s="310"/>
      <c r="CBN51" s="310"/>
      <c r="CBO51" s="310"/>
      <c r="CBP51" s="310"/>
      <c r="CBQ51" s="310"/>
      <c r="CBR51" s="310"/>
      <c r="CBS51" s="310"/>
      <c r="CBT51" s="310"/>
      <c r="CBU51" s="310"/>
      <c r="CBV51" s="310"/>
      <c r="CBW51" s="310"/>
      <c r="CBX51" s="310"/>
      <c r="CBY51" s="310"/>
      <c r="CBZ51" s="310"/>
      <c r="CCA51" s="310"/>
      <c r="CCB51" s="310"/>
      <c r="CCC51" s="310"/>
      <c r="CCD51" s="310"/>
      <c r="CCE51" s="310"/>
      <c r="CCF51" s="310"/>
      <c r="CCG51" s="310"/>
      <c r="CCH51" s="310"/>
      <c r="CCI51" s="310"/>
      <c r="CCJ51" s="310"/>
      <c r="CCK51" s="310"/>
      <c r="CCL51" s="310"/>
      <c r="CCM51" s="310"/>
      <c r="CCN51" s="310"/>
      <c r="CCO51" s="310"/>
      <c r="CCP51" s="310"/>
      <c r="CCQ51" s="310"/>
      <c r="CCR51" s="310"/>
      <c r="CCS51" s="310"/>
      <c r="CCT51" s="310"/>
      <c r="CCU51" s="310"/>
      <c r="CCV51" s="310"/>
      <c r="CCW51" s="310"/>
      <c r="CCX51" s="310"/>
      <c r="CCY51" s="310"/>
      <c r="CCZ51" s="310"/>
      <c r="CDA51" s="310"/>
      <c r="CDB51" s="310"/>
      <c r="CDC51" s="310"/>
      <c r="CDD51" s="310"/>
      <c r="CDE51" s="310"/>
      <c r="CDF51" s="310"/>
      <c r="CDG51" s="310"/>
      <c r="CDH51" s="310"/>
      <c r="CDI51" s="310"/>
      <c r="CDJ51" s="310"/>
      <c r="CDK51" s="310"/>
      <c r="CDL51" s="310"/>
      <c r="CDM51" s="310"/>
      <c r="CDN51" s="310"/>
      <c r="CDO51" s="310"/>
      <c r="CDP51" s="310"/>
      <c r="CDQ51" s="310"/>
      <c r="CDR51" s="310"/>
      <c r="CDS51" s="310"/>
      <c r="CDT51" s="310"/>
      <c r="CDU51" s="310"/>
      <c r="CDV51" s="310"/>
      <c r="CDW51" s="310"/>
      <c r="CDX51" s="310"/>
      <c r="CDY51" s="310"/>
      <c r="CDZ51" s="310"/>
      <c r="CEA51" s="310"/>
      <c r="CEB51" s="310"/>
      <c r="CEC51" s="310"/>
      <c r="CED51" s="310"/>
      <c r="CEE51" s="310"/>
      <c r="CEF51" s="310"/>
      <c r="CEG51" s="310"/>
      <c r="CEH51" s="310"/>
      <c r="CEI51" s="310"/>
      <c r="CEJ51" s="310"/>
      <c r="CEK51" s="310"/>
      <c r="CEL51" s="310"/>
      <c r="CEM51" s="310"/>
      <c r="CEN51" s="310"/>
      <c r="CEO51" s="310"/>
      <c r="CEP51" s="310"/>
      <c r="CEQ51" s="310"/>
      <c r="CER51" s="310"/>
      <c r="CES51" s="310"/>
      <c r="CET51" s="310"/>
      <c r="CEU51" s="310"/>
      <c r="CEV51" s="310"/>
      <c r="CEW51" s="310"/>
      <c r="CEX51" s="310"/>
      <c r="CEY51" s="310"/>
      <c r="CEZ51" s="310"/>
      <c r="CFA51" s="310"/>
      <c r="CFB51" s="310"/>
      <c r="CFC51" s="310"/>
      <c r="CFD51" s="310"/>
      <c r="CFE51" s="310"/>
      <c r="CFF51" s="310"/>
      <c r="CFG51" s="310"/>
      <c r="CFH51" s="310"/>
      <c r="CFI51" s="310"/>
      <c r="CFJ51" s="310"/>
      <c r="CFK51" s="310"/>
      <c r="CFL51" s="310"/>
      <c r="CFM51" s="310"/>
      <c r="CFN51" s="310"/>
      <c r="CFO51" s="310"/>
      <c r="CFP51" s="310"/>
      <c r="CFQ51" s="310"/>
      <c r="CFR51" s="310"/>
      <c r="CFS51" s="310"/>
      <c r="CFT51" s="310"/>
      <c r="CFU51" s="310"/>
      <c r="CFV51" s="310"/>
      <c r="CFW51" s="310"/>
      <c r="CFX51" s="310"/>
      <c r="CFY51" s="310"/>
      <c r="CFZ51" s="310"/>
      <c r="CGA51" s="310"/>
      <c r="CGB51" s="310"/>
      <c r="CGC51" s="310"/>
      <c r="CGD51" s="310"/>
      <c r="CGE51" s="310"/>
      <c r="CGF51" s="310"/>
      <c r="CGG51" s="310"/>
      <c r="CGH51" s="310"/>
      <c r="CGI51" s="310"/>
      <c r="CGJ51" s="310"/>
      <c r="CGK51" s="310"/>
      <c r="CGL51" s="310"/>
      <c r="CGM51" s="310"/>
      <c r="CGN51" s="310"/>
      <c r="CGO51" s="310"/>
      <c r="CGP51" s="310"/>
      <c r="CGQ51" s="310"/>
      <c r="CGR51" s="310"/>
      <c r="CGS51" s="310"/>
      <c r="CGT51" s="310"/>
      <c r="CGU51" s="310"/>
      <c r="CGV51" s="310"/>
      <c r="CGW51" s="310"/>
      <c r="CGX51" s="310"/>
      <c r="CGY51" s="310"/>
      <c r="CGZ51" s="310"/>
      <c r="CHA51" s="310"/>
      <c r="CHB51" s="310"/>
      <c r="CHC51" s="310"/>
      <c r="CHD51" s="310"/>
      <c r="CHE51" s="310"/>
      <c r="CHF51" s="310"/>
      <c r="CHG51" s="310"/>
      <c r="CHH51" s="310"/>
      <c r="CHI51" s="310"/>
      <c r="CHJ51" s="310"/>
      <c r="CHK51" s="310"/>
      <c r="CHL51" s="310"/>
      <c r="CHM51" s="310"/>
      <c r="CHN51" s="310"/>
      <c r="CHO51" s="310"/>
      <c r="CHP51" s="310"/>
      <c r="CHQ51" s="310"/>
      <c r="CHR51" s="310"/>
      <c r="CHS51" s="310"/>
      <c r="CHT51" s="310"/>
      <c r="CHU51" s="310"/>
      <c r="CHV51" s="310"/>
      <c r="CHW51" s="310"/>
      <c r="CHX51" s="310"/>
      <c r="CHY51" s="310"/>
      <c r="CHZ51" s="310"/>
      <c r="CIA51" s="310"/>
      <c r="CIB51" s="310"/>
      <c r="CIC51" s="310"/>
      <c r="CID51" s="310"/>
      <c r="CIE51" s="310"/>
      <c r="CIF51" s="310"/>
      <c r="CIG51" s="310"/>
      <c r="CIH51" s="310"/>
      <c r="CII51" s="310"/>
      <c r="CIJ51" s="310"/>
      <c r="CIK51" s="310"/>
      <c r="CIL51" s="310"/>
      <c r="CIM51" s="310"/>
      <c r="CIN51" s="310"/>
      <c r="CIO51" s="310"/>
      <c r="CIP51" s="310"/>
      <c r="CIQ51" s="310"/>
      <c r="CIR51" s="310"/>
      <c r="CIS51" s="310"/>
      <c r="CIT51" s="310"/>
      <c r="CIU51" s="310"/>
      <c r="CIV51" s="310"/>
      <c r="CIW51" s="310"/>
      <c r="CIX51" s="310"/>
      <c r="CIY51" s="310"/>
      <c r="CIZ51" s="310"/>
      <c r="CJA51" s="310"/>
      <c r="CJB51" s="310"/>
      <c r="CJC51" s="310"/>
      <c r="CJD51" s="310"/>
      <c r="CJE51" s="310"/>
      <c r="CJF51" s="310"/>
      <c r="CJG51" s="310"/>
      <c r="CJH51" s="310"/>
      <c r="CJI51" s="310"/>
      <c r="CJJ51" s="310"/>
      <c r="CJK51" s="310"/>
      <c r="CJL51" s="310"/>
      <c r="CJM51" s="310"/>
      <c r="CJN51" s="310"/>
      <c r="CJO51" s="310"/>
      <c r="CJP51" s="310"/>
      <c r="CJQ51" s="310"/>
      <c r="CJR51" s="310"/>
      <c r="CJS51" s="310"/>
      <c r="CJT51" s="310"/>
      <c r="CJU51" s="310"/>
      <c r="CJV51" s="310"/>
      <c r="CJW51" s="310"/>
      <c r="CJX51" s="310"/>
      <c r="CJY51" s="310"/>
      <c r="CJZ51" s="310"/>
      <c r="CKA51" s="310"/>
      <c r="CKB51" s="310"/>
      <c r="CKC51" s="310"/>
      <c r="CKD51" s="310"/>
      <c r="CKE51" s="310"/>
      <c r="CKF51" s="310"/>
      <c r="CKG51" s="310"/>
      <c r="CKH51" s="310"/>
      <c r="CKI51" s="310"/>
      <c r="CKJ51" s="310"/>
      <c r="CKK51" s="310"/>
      <c r="CKL51" s="310"/>
      <c r="CKM51" s="310"/>
      <c r="CKN51" s="310"/>
      <c r="CKO51" s="310"/>
      <c r="CKP51" s="310"/>
      <c r="CKQ51" s="310"/>
      <c r="CKR51" s="310"/>
      <c r="CKS51" s="310"/>
      <c r="CKT51" s="310"/>
      <c r="CKU51" s="310"/>
      <c r="CKV51" s="310"/>
      <c r="CKW51" s="310"/>
      <c r="CKX51" s="310"/>
      <c r="CKY51" s="310"/>
      <c r="CKZ51" s="310"/>
      <c r="CLA51" s="310"/>
      <c r="CLB51" s="310"/>
      <c r="CLC51" s="310"/>
      <c r="CLD51" s="310"/>
      <c r="CLE51" s="310"/>
      <c r="CLF51" s="310"/>
      <c r="CLG51" s="310"/>
      <c r="CLH51" s="310"/>
      <c r="CLI51" s="310"/>
      <c r="CLJ51" s="310"/>
      <c r="CLK51" s="310"/>
      <c r="CLL51" s="310"/>
      <c r="CLM51" s="310"/>
      <c r="CLN51" s="310"/>
      <c r="CLO51" s="310"/>
      <c r="CLP51" s="310"/>
      <c r="CLQ51" s="310"/>
      <c r="CLR51" s="310"/>
      <c r="CLS51" s="310"/>
      <c r="CLT51" s="310"/>
      <c r="CLU51" s="310"/>
      <c r="CLV51" s="310"/>
      <c r="CLW51" s="310"/>
      <c r="CLX51" s="310"/>
      <c r="CLY51" s="310"/>
      <c r="CLZ51" s="310"/>
      <c r="CMA51" s="310"/>
      <c r="CMB51" s="310"/>
      <c r="CMC51" s="310"/>
      <c r="CMD51" s="310"/>
      <c r="CME51" s="310"/>
      <c r="CMF51" s="310"/>
      <c r="CMG51" s="310"/>
      <c r="CMH51" s="310"/>
      <c r="CMI51" s="310"/>
      <c r="CMJ51" s="310"/>
      <c r="CMK51" s="310"/>
      <c r="CML51" s="310"/>
      <c r="CMM51" s="310"/>
      <c r="CMN51" s="310"/>
      <c r="CMO51" s="310"/>
      <c r="CMP51" s="310"/>
      <c r="CMQ51" s="310"/>
      <c r="CMR51" s="310"/>
      <c r="CMS51" s="310"/>
      <c r="CMT51" s="310"/>
      <c r="CMU51" s="310"/>
      <c r="CMV51" s="310"/>
      <c r="CMW51" s="310"/>
      <c r="CMX51" s="310"/>
      <c r="CMY51" s="310"/>
      <c r="CMZ51" s="310"/>
      <c r="CNA51" s="310"/>
      <c r="CNB51" s="310"/>
      <c r="CNC51" s="310"/>
      <c r="CND51" s="310"/>
      <c r="CNE51" s="310"/>
      <c r="CNF51" s="310"/>
      <c r="CNG51" s="310"/>
      <c r="CNH51" s="310"/>
      <c r="CNI51" s="310"/>
      <c r="CNJ51" s="310"/>
      <c r="CNK51" s="310"/>
      <c r="CNL51" s="310"/>
      <c r="CNM51" s="310"/>
      <c r="CNN51" s="310"/>
      <c r="CNO51" s="310"/>
      <c r="CNP51" s="310"/>
      <c r="CNQ51" s="310"/>
      <c r="CNR51" s="310"/>
      <c r="CNS51" s="310"/>
      <c r="CNT51" s="310"/>
      <c r="CNU51" s="310"/>
      <c r="CNV51" s="310"/>
      <c r="CNW51" s="310"/>
      <c r="CNX51" s="310"/>
      <c r="CNY51" s="310"/>
      <c r="CNZ51" s="310"/>
      <c r="COA51" s="310"/>
      <c r="COB51" s="310"/>
      <c r="COC51" s="310"/>
      <c r="COD51" s="310"/>
      <c r="COE51" s="310"/>
      <c r="COF51" s="310"/>
      <c r="COG51" s="310"/>
      <c r="COH51" s="310"/>
      <c r="COI51" s="310"/>
      <c r="COJ51" s="310"/>
      <c r="COK51" s="310"/>
      <c r="COL51" s="310"/>
      <c r="COM51" s="310"/>
      <c r="CON51" s="310"/>
      <c r="COO51" s="310"/>
      <c r="COP51" s="310"/>
      <c r="COQ51" s="310"/>
      <c r="COR51" s="310"/>
      <c r="COS51" s="310"/>
      <c r="COT51" s="310"/>
      <c r="COU51" s="310"/>
      <c r="COV51" s="310"/>
      <c r="COW51" s="310"/>
      <c r="COX51" s="310"/>
      <c r="COY51" s="310"/>
      <c r="COZ51" s="310"/>
      <c r="CPA51" s="310"/>
      <c r="CPB51" s="310"/>
      <c r="CPC51" s="310"/>
      <c r="CPD51" s="310"/>
      <c r="CPE51" s="310"/>
      <c r="CPF51" s="310"/>
      <c r="CPG51" s="310"/>
      <c r="CPH51" s="310"/>
      <c r="CPI51" s="310"/>
      <c r="CPJ51" s="310"/>
      <c r="CPK51" s="310"/>
      <c r="CPL51" s="310"/>
      <c r="CPM51" s="310"/>
      <c r="CPN51" s="310"/>
      <c r="CPO51" s="310"/>
      <c r="CPP51" s="310"/>
      <c r="CPQ51" s="310"/>
      <c r="CPR51" s="310"/>
      <c r="CPS51" s="310"/>
      <c r="CPT51" s="310"/>
      <c r="CPU51" s="310"/>
      <c r="CPV51" s="310"/>
      <c r="CPW51" s="310"/>
      <c r="CPX51" s="310"/>
      <c r="CPY51" s="310"/>
      <c r="CPZ51" s="310"/>
      <c r="CQA51" s="310"/>
      <c r="CQB51" s="310"/>
      <c r="CQC51" s="310"/>
      <c r="CQD51" s="310"/>
      <c r="CQE51" s="310"/>
      <c r="CQF51" s="310"/>
      <c r="CQG51" s="310"/>
      <c r="CQH51" s="310"/>
      <c r="CQI51" s="310"/>
      <c r="CQJ51" s="310"/>
      <c r="CQK51" s="310"/>
      <c r="CQL51" s="310"/>
      <c r="CQM51" s="310"/>
      <c r="CQN51" s="310"/>
      <c r="CQO51" s="310"/>
      <c r="CQP51" s="310"/>
      <c r="CQQ51" s="310"/>
      <c r="CQR51" s="310"/>
      <c r="CQS51" s="310"/>
      <c r="CQT51" s="310"/>
      <c r="CQU51" s="310"/>
      <c r="CQV51" s="310"/>
      <c r="CQW51" s="310"/>
      <c r="CQX51" s="310"/>
      <c r="CQY51" s="310"/>
      <c r="CQZ51" s="310"/>
      <c r="CRA51" s="310"/>
      <c r="CRB51" s="310"/>
      <c r="CRC51" s="310"/>
      <c r="CRD51" s="310"/>
      <c r="CRE51" s="310"/>
      <c r="CRF51" s="310"/>
      <c r="CRG51" s="310"/>
      <c r="CRH51" s="310"/>
      <c r="CRI51" s="310"/>
      <c r="CRJ51" s="310"/>
      <c r="CRK51" s="310"/>
      <c r="CRL51" s="310"/>
      <c r="CRM51" s="310"/>
      <c r="CRN51" s="310"/>
      <c r="CRO51" s="310"/>
      <c r="CRP51" s="310"/>
      <c r="CRQ51" s="310"/>
      <c r="CRR51" s="310"/>
      <c r="CRS51" s="310"/>
      <c r="CRT51" s="310"/>
      <c r="CRU51" s="310"/>
      <c r="CRV51" s="310"/>
      <c r="CRW51" s="310"/>
      <c r="CRX51" s="310"/>
      <c r="CRY51" s="310"/>
      <c r="CRZ51" s="310"/>
      <c r="CSA51" s="310"/>
      <c r="CSB51" s="310"/>
      <c r="CSC51" s="310"/>
      <c r="CSD51" s="310"/>
      <c r="CSE51" s="310"/>
      <c r="CSF51" s="310"/>
      <c r="CSG51" s="310"/>
      <c r="CSH51" s="310"/>
      <c r="CSI51" s="310"/>
      <c r="CSJ51" s="310"/>
      <c r="CSK51" s="310"/>
      <c r="CSL51" s="310"/>
      <c r="CSM51" s="310"/>
      <c r="CSN51" s="310"/>
      <c r="CSO51" s="310"/>
      <c r="CSP51" s="310"/>
      <c r="CSQ51" s="310"/>
      <c r="CSR51" s="310"/>
      <c r="CSS51" s="310"/>
      <c r="CST51" s="310"/>
      <c r="CSU51" s="310"/>
      <c r="CSV51" s="310"/>
      <c r="CSW51" s="310"/>
      <c r="CSX51" s="310"/>
      <c r="CSY51" s="310"/>
      <c r="CSZ51" s="310"/>
      <c r="CTA51" s="310"/>
      <c r="CTB51" s="310"/>
      <c r="CTC51" s="310"/>
      <c r="CTD51" s="310"/>
      <c r="CTE51" s="310"/>
      <c r="CTF51" s="310"/>
      <c r="CTG51" s="310"/>
      <c r="CTH51" s="310"/>
      <c r="CTI51" s="310"/>
      <c r="CTJ51" s="310"/>
      <c r="CTK51" s="310"/>
      <c r="CTL51" s="310"/>
      <c r="CTM51" s="310"/>
      <c r="CTN51" s="310"/>
      <c r="CTO51" s="310"/>
      <c r="CTP51" s="310"/>
      <c r="CTQ51" s="310"/>
      <c r="CTR51" s="310"/>
      <c r="CTS51" s="310"/>
      <c r="CTT51" s="310"/>
      <c r="CTU51" s="310"/>
      <c r="CTV51" s="310"/>
      <c r="CTW51" s="310"/>
      <c r="CTX51" s="310"/>
      <c r="CTY51" s="310"/>
      <c r="CTZ51" s="310"/>
      <c r="CUA51" s="310"/>
      <c r="CUB51" s="310"/>
      <c r="CUC51" s="310"/>
      <c r="CUD51" s="310"/>
      <c r="CUE51" s="310"/>
      <c r="CUF51" s="310"/>
      <c r="CUG51" s="310"/>
      <c r="CUH51" s="310"/>
      <c r="CUI51" s="310"/>
      <c r="CUJ51" s="310"/>
      <c r="CUK51" s="310"/>
      <c r="CUL51" s="310"/>
      <c r="CUM51" s="310"/>
      <c r="CUN51" s="310"/>
      <c r="CUO51" s="310"/>
      <c r="CUP51" s="310"/>
      <c r="CUQ51" s="310"/>
      <c r="CUR51" s="310"/>
      <c r="CUS51" s="310"/>
      <c r="CUT51" s="310"/>
      <c r="CUU51" s="310"/>
      <c r="CUV51" s="310"/>
      <c r="CUW51" s="310"/>
      <c r="CUX51" s="310"/>
      <c r="CUY51" s="310"/>
      <c r="CUZ51" s="310"/>
      <c r="CVA51" s="310"/>
      <c r="CVB51" s="310"/>
      <c r="CVC51" s="310"/>
      <c r="CVD51" s="310"/>
      <c r="CVE51" s="310"/>
      <c r="CVF51" s="310"/>
      <c r="CVG51" s="310"/>
      <c r="CVH51" s="310"/>
      <c r="CVI51" s="310"/>
      <c r="CVJ51" s="310"/>
      <c r="CVK51" s="310"/>
      <c r="CVL51" s="310"/>
      <c r="CVM51" s="310"/>
      <c r="CVN51" s="310"/>
      <c r="CVO51" s="310"/>
      <c r="CVP51" s="310"/>
      <c r="CVQ51" s="310"/>
      <c r="CVR51" s="310"/>
      <c r="CVS51" s="310"/>
      <c r="CVT51" s="310"/>
      <c r="CVU51" s="310"/>
      <c r="CVV51" s="310"/>
      <c r="CVW51" s="310"/>
      <c r="CVX51" s="310"/>
      <c r="CVY51" s="310"/>
      <c r="CVZ51" s="310"/>
      <c r="CWA51" s="310"/>
      <c r="CWB51" s="310"/>
      <c r="CWC51" s="310"/>
      <c r="CWD51" s="310"/>
      <c r="CWE51" s="310"/>
      <c r="CWF51" s="310"/>
      <c r="CWG51" s="310"/>
      <c r="CWH51" s="310"/>
      <c r="CWI51" s="310"/>
      <c r="CWJ51" s="310"/>
      <c r="CWK51" s="310"/>
      <c r="CWL51" s="310"/>
      <c r="CWM51" s="310"/>
      <c r="CWN51" s="310"/>
      <c r="CWO51" s="310"/>
      <c r="CWP51" s="310"/>
      <c r="CWQ51" s="310"/>
      <c r="CWR51" s="310"/>
      <c r="CWS51" s="310"/>
      <c r="CWT51" s="310"/>
      <c r="CWU51" s="310"/>
      <c r="CWV51" s="310"/>
      <c r="CWW51" s="310"/>
      <c r="CWX51" s="310"/>
      <c r="CWY51" s="310"/>
      <c r="CWZ51" s="310"/>
      <c r="CXA51" s="310"/>
      <c r="CXB51" s="310"/>
      <c r="CXC51" s="310"/>
      <c r="CXD51" s="310"/>
      <c r="CXE51" s="310"/>
      <c r="CXF51" s="310"/>
      <c r="CXG51" s="310"/>
      <c r="CXH51" s="310"/>
      <c r="CXI51" s="310"/>
      <c r="CXJ51" s="310"/>
      <c r="CXK51" s="310"/>
      <c r="CXL51" s="310"/>
      <c r="CXM51" s="310"/>
      <c r="CXN51" s="310"/>
      <c r="CXO51" s="310"/>
      <c r="CXP51" s="310"/>
      <c r="CXQ51" s="310"/>
      <c r="CXR51" s="310"/>
      <c r="CXS51" s="310"/>
      <c r="CXT51" s="310"/>
      <c r="CXU51" s="310"/>
      <c r="CXV51" s="310"/>
      <c r="CXW51" s="310"/>
      <c r="CXX51" s="310"/>
      <c r="CXY51" s="310"/>
      <c r="CXZ51" s="310"/>
      <c r="CYA51" s="310"/>
      <c r="CYB51" s="310"/>
      <c r="CYC51" s="310"/>
      <c r="CYD51" s="310"/>
      <c r="CYE51" s="310"/>
      <c r="CYF51" s="310"/>
      <c r="CYG51" s="310"/>
      <c r="CYH51" s="310"/>
      <c r="CYI51" s="310"/>
      <c r="CYJ51" s="310"/>
      <c r="CYK51" s="310"/>
      <c r="CYL51" s="310"/>
      <c r="CYM51" s="310"/>
      <c r="CYN51" s="310"/>
      <c r="CYO51" s="310"/>
      <c r="CYP51" s="310"/>
      <c r="CYQ51" s="310"/>
      <c r="CYR51" s="310"/>
      <c r="CYS51" s="310"/>
      <c r="CYT51" s="310"/>
      <c r="CYU51" s="310"/>
      <c r="CYV51" s="310"/>
      <c r="CYW51" s="310"/>
      <c r="CYX51" s="310"/>
      <c r="CYY51" s="310"/>
      <c r="CYZ51" s="310"/>
      <c r="CZA51" s="310"/>
      <c r="CZB51" s="310"/>
      <c r="CZC51" s="310"/>
      <c r="CZD51" s="310"/>
      <c r="CZE51" s="310"/>
      <c r="CZF51" s="310"/>
      <c r="CZG51" s="310"/>
      <c r="CZH51" s="310"/>
      <c r="CZI51" s="310"/>
      <c r="CZJ51" s="310"/>
      <c r="CZK51" s="310"/>
      <c r="CZL51" s="310"/>
      <c r="CZM51" s="310"/>
      <c r="CZN51" s="310"/>
      <c r="CZO51" s="310"/>
      <c r="CZP51" s="310"/>
      <c r="CZQ51" s="310"/>
      <c r="CZR51" s="310"/>
      <c r="CZS51" s="310"/>
      <c r="CZT51" s="310"/>
      <c r="CZU51" s="310"/>
      <c r="CZV51" s="310"/>
      <c r="CZW51" s="310"/>
      <c r="CZX51" s="310"/>
      <c r="CZY51" s="310"/>
      <c r="CZZ51" s="310"/>
      <c r="DAA51" s="310"/>
      <c r="DAB51" s="310"/>
      <c r="DAC51" s="310"/>
      <c r="DAD51" s="310"/>
      <c r="DAE51" s="310"/>
      <c r="DAF51" s="310"/>
      <c r="DAG51" s="310"/>
      <c r="DAH51" s="310"/>
      <c r="DAI51" s="310"/>
      <c r="DAJ51" s="310"/>
      <c r="DAK51" s="310"/>
      <c r="DAL51" s="310"/>
      <c r="DAM51" s="310"/>
      <c r="DAN51" s="310"/>
      <c r="DAO51" s="310"/>
      <c r="DAP51" s="310"/>
      <c r="DAQ51" s="310"/>
      <c r="DAR51" s="310"/>
      <c r="DAS51" s="310"/>
      <c r="DAT51" s="310"/>
      <c r="DAU51" s="310"/>
      <c r="DAV51" s="310"/>
      <c r="DAW51" s="310"/>
      <c r="DAX51" s="310"/>
      <c r="DAY51" s="310"/>
      <c r="DAZ51" s="310"/>
      <c r="DBA51" s="310"/>
      <c r="DBB51" s="310"/>
      <c r="DBC51" s="310"/>
      <c r="DBD51" s="310"/>
      <c r="DBE51" s="310"/>
      <c r="DBF51" s="310"/>
      <c r="DBG51" s="310"/>
      <c r="DBH51" s="310"/>
      <c r="DBI51" s="310"/>
      <c r="DBJ51" s="310"/>
      <c r="DBK51" s="310"/>
      <c r="DBL51" s="310"/>
      <c r="DBM51" s="310"/>
      <c r="DBN51" s="310"/>
      <c r="DBO51" s="310"/>
      <c r="DBP51" s="310"/>
      <c r="DBQ51" s="310"/>
      <c r="DBR51" s="310"/>
      <c r="DBS51" s="310"/>
      <c r="DBT51" s="310"/>
      <c r="DBU51" s="310"/>
      <c r="DBV51" s="310"/>
      <c r="DBW51" s="310"/>
      <c r="DBX51" s="310"/>
      <c r="DBY51" s="310"/>
      <c r="DBZ51" s="310"/>
      <c r="DCA51" s="310"/>
      <c r="DCB51" s="310"/>
      <c r="DCC51" s="310"/>
      <c r="DCD51" s="310"/>
      <c r="DCE51" s="310"/>
      <c r="DCF51" s="310"/>
      <c r="DCG51" s="310"/>
      <c r="DCH51" s="310"/>
      <c r="DCI51" s="310"/>
      <c r="DCJ51" s="310"/>
      <c r="DCK51" s="310"/>
      <c r="DCL51" s="310"/>
      <c r="DCM51" s="310"/>
      <c r="DCN51" s="310"/>
      <c r="DCO51" s="310"/>
      <c r="DCP51" s="310"/>
      <c r="DCQ51" s="310"/>
      <c r="DCR51" s="310"/>
      <c r="DCS51" s="310"/>
      <c r="DCT51" s="310"/>
      <c r="DCU51" s="310"/>
      <c r="DCV51" s="310"/>
      <c r="DCW51" s="310"/>
      <c r="DCX51" s="310"/>
      <c r="DCY51" s="310"/>
      <c r="DCZ51" s="310"/>
      <c r="DDA51" s="310"/>
      <c r="DDB51" s="310"/>
      <c r="DDC51" s="310"/>
      <c r="DDD51" s="310"/>
      <c r="DDE51" s="310"/>
      <c r="DDF51" s="310"/>
      <c r="DDG51" s="310"/>
      <c r="DDH51" s="310"/>
      <c r="DDI51" s="310"/>
      <c r="DDJ51" s="310"/>
      <c r="DDK51" s="310"/>
      <c r="DDL51" s="310"/>
      <c r="DDM51" s="310"/>
      <c r="DDN51" s="310"/>
      <c r="DDO51" s="310"/>
      <c r="DDP51" s="310"/>
      <c r="DDQ51" s="310"/>
      <c r="DDR51" s="310"/>
      <c r="DDS51" s="310"/>
      <c r="DDT51" s="310"/>
      <c r="DDU51" s="310"/>
      <c r="DDV51" s="310"/>
      <c r="DDW51" s="310"/>
      <c r="DDX51" s="310"/>
      <c r="DDY51" s="310"/>
      <c r="DDZ51" s="310"/>
      <c r="DEA51" s="310"/>
      <c r="DEB51" s="310"/>
      <c r="DEC51" s="310"/>
      <c r="DED51" s="310"/>
      <c r="DEE51" s="310"/>
      <c r="DEF51" s="310"/>
      <c r="DEG51" s="310"/>
      <c r="DEH51" s="310"/>
      <c r="DEI51" s="310"/>
      <c r="DEJ51" s="310"/>
      <c r="DEK51" s="310"/>
      <c r="DEL51" s="310"/>
      <c r="DEM51" s="310"/>
      <c r="DEN51" s="310"/>
      <c r="DEO51" s="310"/>
      <c r="DEP51" s="310"/>
      <c r="DEQ51" s="310"/>
      <c r="DER51" s="310"/>
      <c r="DES51" s="310"/>
      <c r="DET51" s="310"/>
      <c r="DEU51" s="310"/>
      <c r="DEV51" s="310"/>
      <c r="DEW51" s="310"/>
      <c r="DEX51" s="310"/>
      <c r="DEY51" s="310"/>
      <c r="DEZ51" s="310"/>
      <c r="DFA51" s="310"/>
      <c r="DFB51" s="310"/>
      <c r="DFC51" s="310"/>
      <c r="DFD51" s="310"/>
      <c r="DFE51" s="310"/>
      <c r="DFF51" s="310"/>
      <c r="DFG51" s="310"/>
      <c r="DFH51" s="310"/>
      <c r="DFI51" s="310"/>
      <c r="DFJ51" s="310"/>
      <c r="DFK51" s="310"/>
      <c r="DFL51" s="310"/>
      <c r="DFM51" s="310"/>
      <c r="DFN51" s="310"/>
      <c r="DFO51" s="310"/>
      <c r="DFP51" s="310"/>
      <c r="DFQ51" s="310"/>
      <c r="DFR51" s="310"/>
      <c r="DFS51" s="310"/>
      <c r="DFT51" s="310"/>
      <c r="DFU51" s="310"/>
      <c r="DFV51" s="310"/>
      <c r="DFW51" s="310"/>
      <c r="DFX51" s="310"/>
      <c r="DFY51" s="310"/>
      <c r="DFZ51" s="310"/>
      <c r="DGA51" s="310"/>
      <c r="DGB51" s="310"/>
      <c r="DGC51" s="310"/>
      <c r="DGD51" s="310"/>
      <c r="DGE51" s="310"/>
      <c r="DGF51" s="310"/>
      <c r="DGG51" s="310"/>
      <c r="DGH51" s="310"/>
      <c r="DGI51" s="310"/>
      <c r="DGJ51" s="310"/>
      <c r="DGK51" s="310"/>
      <c r="DGL51" s="310"/>
      <c r="DGM51" s="310"/>
      <c r="DGN51" s="310"/>
      <c r="DGO51" s="310"/>
      <c r="DGP51" s="310"/>
      <c r="DGQ51" s="310"/>
      <c r="DGR51" s="310"/>
      <c r="DGS51" s="310"/>
      <c r="DGT51" s="310"/>
      <c r="DGU51" s="310"/>
      <c r="DGV51" s="310"/>
      <c r="DGW51" s="310"/>
      <c r="DGX51" s="310"/>
      <c r="DGY51" s="310"/>
      <c r="DGZ51" s="310"/>
      <c r="DHA51" s="310"/>
      <c r="DHB51" s="310"/>
      <c r="DHC51" s="310"/>
      <c r="DHD51" s="310"/>
      <c r="DHE51" s="310"/>
      <c r="DHF51" s="310"/>
      <c r="DHG51" s="310"/>
      <c r="DHH51" s="310"/>
      <c r="DHI51" s="310"/>
      <c r="DHJ51" s="310"/>
      <c r="DHK51" s="310"/>
      <c r="DHL51" s="310"/>
      <c r="DHM51" s="310"/>
      <c r="DHN51" s="310"/>
      <c r="DHO51" s="310"/>
      <c r="DHP51" s="310"/>
      <c r="DHQ51" s="310"/>
      <c r="DHR51" s="310"/>
      <c r="DHS51" s="310"/>
      <c r="DHT51" s="310"/>
      <c r="DHU51" s="310"/>
      <c r="DHV51" s="310"/>
      <c r="DHW51" s="310"/>
      <c r="DHX51" s="310"/>
      <c r="DHY51" s="310"/>
      <c r="DHZ51" s="310"/>
      <c r="DIA51" s="310"/>
      <c r="DIB51" s="310"/>
      <c r="DIC51" s="310"/>
      <c r="DID51" s="310"/>
      <c r="DIE51" s="310"/>
      <c r="DIF51" s="310"/>
      <c r="DIG51" s="310"/>
      <c r="DIH51" s="310"/>
      <c r="DII51" s="310"/>
      <c r="DIJ51" s="310"/>
      <c r="DIK51" s="310"/>
      <c r="DIL51" s="310"/>
      <c r="DIM51" s="310"/>
      <c r="DIN51" s="310"/>
      <c r="DIO51" s="310"/>
      <c r="DIP51" s="310"/>
      <c r="DIQ51" s="310"/>
      <c r="DIR51" s="310"/>
      <c r="DIS51" s="310"/>
      <c r="DIT51" s="310"/>
      <c r="DIU51" s="310"/>
      <c r="DIV51" s="310"/>
      <c r="DIW51" s="310"/>
      <c r="DIX51" s="310"/>
      <c r="DIY51" s="310"/>
      <c r="DIZ51" s="310"/>
      <c r="DJA51" s="310"/>
      <c r="DJB51" s="310"/>
      <c r="DJC51" s="310"/>
      <c r="DJD51" s="310"/>
      <c r="DJE51" s="310"/>
      <c r="DJF51" s="310"/>
      <c r="DJG51" s="310"/>
      <c r="DJH51" s="310"/>
      <c r="DJI51" s="310"/>
      <c r="DJJ51" s="310"/>
      <c r="DJK51" s="310"/>
      <c r="DJL51" s="310"/>
      <c r="DJM51" s="310"/>
      <c r="DJN51" s="310"/>
      <c r="DJO51" s="310"/>
      <c r="DJP51" s="310"/>
      <c r="DJQ51" s="310"/>
      <c r="DJR51" s="310"/>
      <c r="DJS51" s="310"/>
      <c r="DJT51" s="310"/>
      <c r="DJU51" s="310"/>
      <c r="DJV51" s="310"/>
      <c r="DJW51" s="310"/>
      <c r="DJX51" s="310"/>
      <c r="DJY51" s="310"/>
      <c r="DJZ51" s="310"/>
      <c r="DKA51" s="310"/>
      <c r="DKB51" s="310"/>
      <c r="DKC51" s="310"/>
      <c r="DKD51" s="310"/>
      <c r="DKE51" s="310"/>
      <c r="DKF51" s="310"/>
      <c r="DKG51" s="310"/>
      <c r="DKH51" s="310"/>
      <c r="DKI51" s="310"/>
      <c r="DKJ51" s="310"/>
      <c r="DKK51" s="310"/>
      <c r="DKL51" s="310"/>
      <c r="DKM51" s="310"/>
      <c r="DKN51" s="310"/>
      <c r="DKO51" s="310"/>
      <c r="DKP51" s="310"/>
      <c r="DKQ51" s="310"/>
      <c r="DKR51" s="310"/>
      <c r="DKS51" s="310"/>
      <c r="DKT51" s="310"/>
      <c r="DKU51" s="310"/>
      <c r="DKV51" s="310"/>
      <c r="DKW51" s="310"/>
      <c r="DKX51" s="310"/>
      <c r="DKY51" s="310"/>
      <c r="DKZ51" s="310"/>
      <c r="DLA51" s="310"/>
      <c r="DLB51" s="310"/>
      <c r="DLC51" s="310"/>
      <c r="DLD51" s="310"/>
      <c r="DLE51" s="310"/>
      <c r="DLF51" s="310"/>
      <c r="DLG51" s="310"/>
      <c r="DLH51" s="310"/>
      <c r="DLI51" s="310"/>
      <c r="DLJ51" s="310"/>
      <c r="DLK51" s="310"/>
      <c r="DLL51" s="310"/>
      <c r="DLM51" s="310"/>
      <c r="DLN51" s="310"/>
      <c r="DLO51" s="310"/>
      <c r="DLP51" s="310"/>
      <c r="DLQ51" s="310"/>
      <c r="DLR51" s="310"/>
      <c r="DLS51" s="310"/>
      <c r="DLT51" s="310"/>
      <c r="DLU51" s="310"/>
      <c r="DLV51" s="310"/>
      <c r="DLW51" s="310"/>
      <c r="DLX51" s="310"/>
      <c r="DLY51" s="310"/>
      <c r="DLZ51" s="310"/>
      <c r="DMA51" s="310"/>
      <c r="DMB51" s="310"/>
      <c r="DMC51" s="310"/>
      <c r="DMD51" s="310"/>
      <c r="DME51" s="310"/>
      <c r="DMF51" s="310"/>
      <c r="DMG51" s="310"/>
      <c r="DMH51" s="310"/>
      <c r="DMI51" s="310"/>
      <c r="DMJ51" s="310"/>
      <c r="DMK51" s="310"/>
      <c r="DML51" s="310"/>
      <c r="DMM51" s="310"/>
      <c r="DMN51" s="310"/>
      <c r="DMO51" s="310"/>
      <c r="DMP51" s="310"/>
      <c r="DMQ51" s="310"/>
      <c r="DMR51" s="310"/>
      <c r="DMS51" s="310"/>
      <c r="DMT51" s="310"/>
      <c r="DMU51" s="310"/>
      <c r="DMV51" s="310"/>
      <c r="DMW51" s="310"/>
      <c r="DMX51" s="310"/>
      <c r="DMY51" s="310"/>
      <c r="DMZ51" s="310"/>
      <c r="DNA51" s="310"/>
      <c r="DNB51" s="310"/>
      <c r="DNC51" s="310"/>
      <c r="DND51" s="310"/>
      <c r="DNE51" s="310"/>
      <c r="DNF51" s="310"/>
      <c r="DNG51" s="310"/>
      <c r="DNH51" s="310"/>
      <c r="DNI51" s="310"/>
      <c r="DNJ51" s="310"/>
      <c r="DNK51" s="310"/>
      <c r="DNL51" s="310"/>
      <c r="DNM51" s="310"/>
      <c r="DNN51" s="310"/>
      <c r="DNO51" s="310"/>
      <c r="DNP51" s="310"/>
      <c r="DNQ51" s="310"/>
      <c r="DNR51" s="310"/>
      <c r="DNS51" s="310"/>
      <c r="DNT51" s="310"/>
      <c r="DNU51" s="310"/>
      <c r="DNV51" s="310"/>
      <c r="DNW51" s="310"/>
      <c r="DNX51" s="310"/>
      <c r="DNY51" s="310"/>
      <c r="DNZ51" s="310"/>
      <c r="DOA51" s="310"/>
      <c r="DOB51" s="310"/>
      <c r="DOC51" s="310"/>
      <c r="DOD51" s="310"/>
      <c r="DOE51" s="310"/>
      <c r="DOF51" s="310"/>
      <c r="DOG51" s="310"/>
      <c r="DOH51" s="310"/>
      <c r="DOI51" s="310"/>
      <c r="DOJ51" s="310"/>
      <c r="DOK51" s="310"/>
      <c r="DOL51" s="310"/>
      <c r="DOM51" s="310"/>
      <c r="DON51" s="310"/>
      <c r="DOO51" s="310"/>
      <c r="DOP51" s="310"/>
      <c r="DOQ51" s="310"/>
      <c r="DOR51" s="310"/>
      <c r="DOS51" s="310"/>
      <c r="DOT51" s="310"/>
      <c r="DOU51" s="310"/>
      <c r="DOV51" s="310"/>
      <c r="DOW51" s="310"/>
      <c r="DOX51" s="310"/>
      <c r="DOY51" s="310"/>
      <c r="DOZ51" s="310"/>
      <c r="DPA51" s="310"/>
      <c r="DPB51" s="310"/>
      <c r="DPC51" s="310"/>
      <c r="DPD51" s="310"/>
      <c r="DPE51" s="310"/>
      <c r="DPF51" s="310"/>
      <c r="DPG51" s="310"/>
      <c r="DPH51" s="310"/>
      <c r="DPI51" s="310"/>
      <c r="DPJ51" s="310"/>
      <c r="DPK51" s="310"/>
      <c r="DPL51" s="310"/>
      <c r="DPM51" s="310"/>
      <c r="DPN51" s="310"/>
      <c r="DPO51" s="310"/>
      <c r="DPP51" s="310"/>
      <c r="DPQ51" s="310"/>
      <c r="DPR51" s="310"/>
      <c r="DPS51" s="310"/>
      <c r="DPT51" s="310"/>
      <c r="DPU51" s="310"/>
      <c r="DPV51" s="310"/>
      <c r="DPW51" s="310"/>
      <c r="DPX51" s="310"/>
      <c r="DPY51" s="310"/>
      <c r="DPZ51" s="310"/>
      <c r="DQA51" s="310"/>
      <c r="DQB51" s="310"/>
      <c r="DQC51" s="310"/>
      <c r="DQD51" s="310"/>
      <c r="DQE51" s="310"/>
      <c r="DQF51" s="310"/>
      <c r="DQG51" s="310"/>
      <c r="DQH51" s="310"/>
      <c r="DQI51" s="310"/>
      <c r="DQJ51" s="310"/>
      <c r="DQK51" s="310"/>
      <c r="DQL51" s="310"/>
      <c r="DQM51" s="310"/>
      <c r="DQN51" s="310"/>
      <c r="DQO51" s="310"/>
      <c r="DQP51" s="310"/>
      <c r="DQQ51" s="310"/>
      <c r="DQR51" s="310"/>
      <c r="DQS51" s="310"/>
      <c r="DQT51" s="310"/>
      <c r="DQU51" s="310"/>
      <c r="DQV51" s="310"/>
      <c r="DQW51" s="310"/>
      <c r="DQX51" s="310"/>
      <c r="DQY51" s="310"/>
      <c r="DQZ51" s="310"/>
      <c r="DRA51" s="310"/>
      <c r="DRB51" s="310"/>
      <c r="DRC51" s="310"/>
      <c r="DRD51" s="310"/>
      <c r="DRE51" s="310"/>
      <c r="DRF51" s="310"/>
      <c r="DRG51" s="310"/>
      <c r="DRH51" s="310"/>
      <c r="DRI51" s="310"/>
      <c r="DRJ51" s="310"/>
      <c r="DRK51" s="310"/>
      <c r="DRL51" s="310"/>
      <c r="DRM51" s="310"/>
      <c r="DRN51" s="310"/>
      <c r="DRO51" s="310"/>
      <c r="DRP51" s="310"/>
      <c r="DRQ51" s="310"/>
      <c r="DRR51" s="310"/>
      <c r="DRS51" s="310"/>
      <c r="DRT51" s="310"/>
      <c r="DRU51" s="310"/>
      <c r="DRV51" s="310"/>
      <c r="DRW51" s="310"/>
      <c r="DRX51" s="310"/>
      <c r="DRY51" s="310"/>
      <c r="DRZ51" s="310"/>
      <c r="DSA51" s="310"/>
      <c r="DSB51" s="310"/>
      <c r="DSC51" s="310"/>
      <c r="DSD51" s="310"/>
      <c r="DSE51" s="310"/>
      <c r="DSF51" s="310"/>
      <c r="DSG51" s="310"/>
      <c r="DSH51" s="310"/>
      <c r="DSI51" s="310"/>
      <c r="DSJ51" s="310"/>
      <c r="DSK51" s="310"/>
      <c r="DSL51" s="310"/>
      <c r="DSM51" s="310"/>
      <c r="DSN51" s="310"/>
      <c r="DSO51" s="310"/>
      <c r="DSP51" s="310"/>
      <c r="DSQ51" s="310"/>
      <c r="DSR51" s="310"/>
      <c r="DSS51" s="310"/>
      <c r="DST51" s="310"/>
      <c r="DSU51" s="310"/>
      <c r="DSV51" s="310"/>
      <c r="DSW51" s="310"/>
      <c r="DSX51" s="310"/>
      <c r="DSY51" s="310"/>
      <c r="DSZ51" s="310"/>
      <c r="DTA51" s="310"/>
      <c r="DTB51" s="310"/>
      <c r="DTC51" s="310"/>
      <c r="DTD51" s="310"/>
      <c r="DTE51" s="310"/>
      <c r="DTF51" s="310"/>
      <c r="DTG51" s="310"/>
      <c r="DTH51" s="310"/>
      <c r="DTI51" s="310"/>
      <c r="DTJ51" s="310"/>
      <c r="DTK51" s="310"/>
      <c r="DTL51" s="310"/>
      <c r="DTM51" s="310"/>
      <c r="DTN51" s="310"/>
      <c r="DTO51" s="310"/>
      <c r="DTP51" s="310"/>
      <c r="DTQ51" s="310"/>
      <c r="DTR51" s="310"/>
      <c r="DTS51" s="310"/>
      <c r="DTT51" s="310"/>
      <c r="DTU51" s="310"/>
      <c r="DTV51" s="310"/>
      <c r="DTW51" s="310"/>
      <c r="DTX51" s="310"/>
      <c r="DTY51" s="310"/>
      <c r="DTZ51" s="310"/>
      <c r="DUA51" s="310"/>
      <c r="DUB51" s="310"/>
      <c r="DUC51" s="310"/>
      <c r="DUD51" s="310"/>
      <c r="DUE51" s="310"/>
      <c r="DUF51" s="310"/>
      <c r="DUG51" s="310"/>
      <c r="DUH51" s="310"/>
      <c r="DUI51" s="310"/>
      <c r="DUJ51" s="310"/>
      <c r="DUK51" s="310"/>
      <c r="DUL51" s="310"/>
      <c r="DUM51" s="310"/>
      <c r="DUN51" s="310"/>
      <c r="DUO51" s="310"/>
      <c r="DUP51" s="310"/>
      <c r="DUQ51" s="310"/>
      <c r="DUR51" s="310"/>
      <c r="DUS51" s="310"/>
      <c r="DUT51" s="310"/>
      <c r="DUU51" s="310"/>
      <c r="DUV51" s="310"/>
      <c r="DUW51" s="310"/>
      <c r="DUX51" s="310"/>
      <c r="DUY51" s="310"/>
      <c r="DUZ51" s="310"/>
      <c r="DVA51" s="310"/>
      <c r="DVB51" s="310"/>
      <c r="DVC51" s="310"/>
      <c r="DVD51" s="310"/>
      <c r="DVE51" s="310"/>
      <c r="DVF51" s="310"/>
      <c r="DVG51" s="310"/>
      <c r="DVH51" s="310"/>
      <c r="DVI51" s="310"/>
      <c r="DVJ51" s="310"/>
      <c r="DVK51" s="310"/>
      <c r="DVL51" s="310"/>
      <c r="DVM51" s="310"/>
      <c r="DVN51" s="310"/>
      <c r="DVO51" s="310"/>
      <c r="DVP51" s="310"/>
      <c r="DVQ51" s="310"/>
      <c r="DVR51" s="310"/>
      <c r="DVS51" s="310"/>
      <c r="DVT51" s="310"/>
      <c r="DVU51" s="310"/>
      <c r="DVV51" s="310"/>
      <c r="DVW51" s="310"/>
      <c r="DVX51" s="310"/>
      <c r="DVY51" s="310"/>
      <c r="DVZ51" s="310"/>
      <c r="DWA51" s="310"/>
      <c r="DWB51" s="310"/>
      <c r="DWC51" s="310"/>
      <c r="DWD51" s="310"/>
      <c r="DWE51" s="310"/>
      <c r="DWF51" s="310"/>
      <c r="DWG51" s="310"/>
      <c r="DWH51" s="310"/>
      <c r="DWI51" s="310"/>
      <c r="DWJ51" s="310"/>
      <c r="DWK51" s="310"/>
      <c r="DWL51" s="310"/>
      <c r="DWM51" s="310"/>
      <c r="DWN51" s="310"/>
      <c r="DWO51" s="310"/>
      <c r="DWP51" s="310"/>
      <c r="DWQ51" s="310"/>
      <c r="DWR51" s="310"/>
      <c r="DWS51" s="310"/>
      <c r="DWT51" s="310"/>
      <c r="DWU51" s="310"/>
      <c r="DWV51" s="310"/>
      <c r="DWW51" s="310"/>
      <c r="DWX51" s="310"/>
      <c r="DWY51" s="310"/>
      <c r="DWZ51" s="310"/>
      <c r="DXA51" s="310"/>
      <c r="DXB51" s="310"/>
      <c r="DXC51" s="310"/>
      <c r="DXD51" s="310"/>
      <c r="DXE51" s="310"/>
      <c r="DXF51" s="310"/>
      <c r="DXG51" s="310"/>
      <c r="DXH51" s="310"/>
      <c r="DXI51" s="310"/>
      <c r="DXJ51" s="310"/>
      <c r="DXK51" s="310"/>
      <c r="DXL51" s="310"/>
      <c r="DXM51" s="310"/>
      <c r="DXN51" s="310"/>
      <c r="DXO51" s="310"/>
      <c r="DXP51" s="310"/>
      <c r="DXQ51" s="310"/>
      <c r="DXR51" s="310"/>
      <c r="DXS51" s="310"/>
      <c r="DXT51" s="310"/>
      <c r="DXU51" s="310"/>
      <c r="DXV51" s="310"/>
      <c r="DXW51" s="310"/>
      <c r="DXX51" s="310"/>
      <c r="DXY51" s="310"/>
      <c r="DXZ51" s="310"/>
      <c r="DYA51" s="310"/>
      <c r="DYB51" s="310"/>
      <c r="DYC51" s="310"/>
      <c r="DYD51" s="310"/>
      <c r="DYE51" s="310"/>
      <c r="DYF51" s="310"/>
      <c r="DYG51" s="310"/>
      <c r="DYH51" s="310"/>
      <c r="DYI51" s="310"/>
      <c r="DYJ51" s="310"/>
      <c r="DYK51" s="310"/>
      <c r="DYL51" s="310"/>
      <c r="DYM51" s="310"/>
      <c r="DYN51" s="310"/>
      <c r="DYO51" s="310"/>
      <c r="DYP51" s="310"/>
      <c r="DYQ51" s="310"/>
      <c r="DYR51" s="310"/>
      <c r="DYS51" s="310"/>
      <c r="DYT51" s="310"/>
      <c r="DYU51" s="310"/>
      <c r="DYV51" s="310"/>
      <c r="DYW51" s="310"/>
      <c r="DYX51" s="310"/>
      <c r="DYY51" s="310"/>
      <c r="DYZ51" s="310"/>
      <c r="DZA51" s="310"/>
      <c r="DZB51" s="310"/>
      <c r="DZC51" s="310"/>
      <c r="DZD51" s="310"/>
      <c r="DZE51" s="310"/>
      <c r="DZF51" s="310"/>
      <c r="DZG51" s="310"/>
      <c r="DZH51" s="310"/>
      <c r="DZI51" s="310"/>
      <c r="DZJ51" s="310"/>
      <c r="DZK51" s="310"/>
      <c r="DZL51" s="310"/>
      <c r="DZM51" s="310"/>
      <c r="DZN51" s="310"/>
      <c r="DZO51" s="310"/>
      <c r="DZP51" s="310"/>
      <c r="DZQ51" s="310"/>
      <c r="DZR51" s="310"/>
      <c r="DZS51" s="310"/>
      <c r="DZT51" s="310"/>
      <c r="DZU51" s="310"/>
      <c r="DZV51" s="310"/>
      <c r="DZW51" s="310"/>
      <c r="DZX51" s="310"/>
      <c r="DZY51" s="310"/>
      <c r="DZZ51" s="310"/>
      <c r="EAA51" s="310"/>
      <c r="EAB51" s="310"/>
      <c r="EAC51" s="310"/>
      <c r="EAD51" s="310"/>
      <c r="EAE51" s="310"/>
      <c r="EAF51" s="310"/>
      <c r="EAG51" s="310"/>
      <c r="EAH51" s="310"/>
      <c r="EAI51" s="310"/>
      <c r="EAJ51" s="310"/>
      <c r="EAK51" s="310"/>
      <c r="EAL51" s="310"/>
      <c r="EAM51" s="310"/>
      <c r="EAN51" s="310"/>
      <c r="EAO51" s="310"/>
      <c r="EAP51" s="310"/>
      <c r="EAQ51" s="310"/>
      <c r="EAR51" s="310"/>
      <c r="EAS51" s="310"/>
      <c r="EAT51" s="310"/>
      <c r="EAU51" s="310"/>
      <c r="EAV51" s="310"/>
      <c r="EAW51" s="310"/>
      <c r="EAX51" s="310"/>
      <c r="EAY51" s="310"/>
      <c r="EAZ51" s="310"/>
      <c r="EBA51" s="310"/>
      <c r="EBB51" s="310"/>
      <c r="EBC51" s="310"/>
      <c r="EBD51" s="310"/>
      <c r="EBE51" s="310"/>
      <c r="EBF51" s="310"/>
      <c r="EBG51" s="310"/>
      <c r="EBH51" s="310"/>
      <c r="EBI51" s="310"/>
      <c r="EBJ51" s="310"/>
      <c r="EBK51" s="310"/>
      <c r="EBL51" s="310"/>
      <c r="EBM51" s="310"/>
      <c r="EBN51" s="310"/>
      <c r="EBO51" s="310"/>
      <c r="EBP51" s="310"/>
      <c r="EBQ51" s="310"/>
      <c r="EBR51" s="310"/>
      <c r="EBS51" s="310"/>
      <c r="EBT51" s="310"/>
      <c r="EBU51" s="310"/>
      <c r="EBV51" s="310"/>
      <c r="EBW51" s="310"/>
      <c r="EBX51" s="310"/>
      <c r="EBY51" s="310"/>
      <c r="EBZ51" s="310"/>
      <c r="ECA51" s="310"/>
      <c r="ECB51" s="310"/>
      <c r="ECC51" s="310"/>
      <c r="ECD51" s="310"/>
      <c r="ECE51" s="310"/>
      <c r="ECF51" s="310"/>
      <c r="ECG51" s="310"/>
      <c r="ECH51" s="310"/>
      <c r="ECI51" s="310"/>
      <c r="ECJ51" s="310"/>
      <c r="ECK51" s="310"/>
      <c r="ECL51" s="310"/>
      <c r="ECM51" s="310"/>
      <c r="ECN51" s="310"/>
      <c r="ECO51" s="310"/>
      <c r="ECP51" s="310"/>
      <c r="ECQ51" s="310"/>
      <c r="ECR51" s="310"/>
      <c r="ECS51" s="310"/>
      <c r="ECT51" s="310"/>
      <c r="ECU51" s="310"/>
      <c r="ECV51" s="310"/>
      <c r="ECW51" s="310"/>
      <c r="ECX51" s="310"/>
      <c r="ECY51" s="310"/>
      <c r="ECZ51" s="310"/>
      <c r="EDA51" s="310"/>
      <c r="EDB51" s="310"/>
      <c r="EDC51" s="310"/>
      <c r="EDD51" s="310"/>
      <c r="EDE51" s="310"/>
      <c r="EDF51" s="310"/>
      <c r="EDG51" s="310"/>
      <c r="EDH51" s="310"/>
      <c r="EDI51" s="310"/>
      <c r="EDJ51" s="310"/>
      <c r="EDK51" s="310"/>
      <c r="EDL51" s="310"/>
      <c r="EDM51" s="310"/>
      <c r="EDN51" s="310"/>
      <c r="EDO51" s="310"/>
      <c r="EDP51" s="310"/>
      <c r="EDQ51" s="310"/>
      <c r="EDR51" s="310"/>
      <c r="EDS51" s="310"/>
      <c r="EDT51" s="310"/>
      <c r="EDU51" s="310"/>
      <c r="EDV51" s="310"/>
      <c r="EDW51" s="310"/>
      <c r="EDX51" s="310"/>
      <c r="EDY51" s="310"/>
      <c r="EDZ51" s="310"/>
      <c r="EEA51" s="310"/>
      <c r="EEB51" s="310"/>
      <c r="EEC51" s="310"/>
      <c r="EED51" s="310"/>
      <c r="EEE51" s="310"/>
      <c r="EEF51" s="310"/>
      <c r="EEG51" s="310"/>
      <c r="EEH51" s="310"/>
      <c r="EEI51" s="310"/>
      <c r="EEJ51" s="310"/>
      <c r="EEK51" s="310"/>
      <c r="EEL51" s="310"/>
      <c r="EEM51" s="310"/>
      <c r="EEN51" s="310"/>
      <c r="EEO51" s="310"/>
      <c r="EEP51" s="310"/>
      <c r="EEQ51" s="310"/>
      <c r="EER51" s="310"/>
      <c r="EES51" s="310"/>
      <c r="EET51" s="310"/>
      <c r="EEU51" s="310"/>
      <c r="EEV51" s="310"/>
      <c r="EEW51" s="310"/>
      <c r="EEX51" s="310"/>
      <c r="EEY51" s="310"/>
      <c r="EEZ51" s="310"/>
      <c r="EFA51" s="310"/>
      <c r="EFB51" s="310"/>
      <c r="EFC51" s="310"/>
      <c r="EFD51" s="310"/>
      <c r="EFE51" s="310"/>
      <c r="EFF51" s="310"/>
      <c r="EFG51" s="310"/>
      <c r="EFH51" s="310"/>
      <c r="EFI51" s="310"/>
      <c r="EFJ51" s="310"/>
      <c r="EFK51" s="310"/>
      <c r="EFL51" s="310"/>
      <c r="EFM51" s="310"/>
      <c r="EFN51" s="310"/>
      <c r="EFO51" s="310"/>
      <c r="EFP51" s="310"/>
      <c r="EFQ51" s="310"/>
      <c r="EFR51" s="310"/>
      <c r="EFS51" s="310"/>
      <c r="EFT51" s="310"/>
      <c r="EFU51" s="310"/>
      <c r="EFV51" s="310"/>
      <c r="EFW51" s="310"/>
      <c r="EFX51" s="310"/>
      <c r="EFY51" s="310"/>
      <c r="EFZ51" s="310"/>
      <c r="EGA51" s="310"/>
      <c r="EGB51" s="310"/>
      <c r="EGC51" s="310"/>
      <c r="EGD51" s="310"/>
      <c r="EGE51" s="310"/>
      <c r="EGF51" s="310"/>
      <c r="EGG51" s="310"/>
      <c r="EGH51" s="310"/>
      <c r="EGI51" s="310"/>
      <c r="EGJ51" s="310"/>
      <c r="EGK51" s="310"/>
      <c r="EGL51" s="310"/>
      <c r="EGM51" s="310"/>
      <c r="EGN51" s="310"/>
      <c r="EGO51" s="310"/>
      <c r="EGP51" s="310"/>
      <c r="EGQ51" s="310"/>
      <c r="EGR51" s="310"/>
      <c r="EGS51" s="310"/>
      <c r="EGT51" s="310"/>
      <c r="EGU51" s="310"/>
      <c r="EGV51" s="310"/>
      <c r="EGW51" s="310"/>
      <c r="EGX51" s="310"/>
      <c r="EGY51" s="310"/>
      <c r="EGZ51" s="310"/>
      <c r="EHA51" s="310"/>
      <c r="EHB51" s="310"/>
      <c r="EHC51" s="310"/>
      <c r="EHD51" s="310"/>
      <c r="EHE51" s="310"/>
      <c r="EHF51" s="310"/>
      <c r="EHG51" s="310"/>
      <c r="EHH51" s="310"/>
      <c r="EHI51" s="310"/>
      <c r="EHJ51" s="310"/>
      <c r="EHK51" s="310"/>
      <c r="EHL51" s="310"/>
      <c r="EHM51" s="310"/>
      <c r="EHN51" s="310"/>
      <c r="EHO51" s="310"/>
      <c r="EHP51" s="310"/>
      <c r="EHQ51" s="310"/>
      <c r="EHR51" s="310"/>
      <c r="EHS51" s="310"/>
      <c r="EHT51" s="310"/>
      <c r="EHU51" s="310"/>
      <c r="EHV51" s="310"/>
      <c r="EHW51" s="310"/>
      <c r="EHX51" s="310"/>
      <c r="EHY51" s="310"/>
      <c r="EHZ51" s="310"/>
      <c r="EIA51" s="310"/>
      <c r="EIB51" s="310"/>
      <c r="EIC51" s="310"/>
      <c r="EID51" s="310"/>
      <c r="EIE51" s="310"/>
      <c r="EIF51" s="310"/>
      <c r="EIG51" s="310"/>
      <c r="EIH51" s="310"/>
      <c r="EII51" s="310"/>
      <c r="EIJ51" s="310"/>
      <c r="EIK51" s="310"/>
      <c r="EIL51" s="310"/>
      <c r="EIM51" s="310"/>
      <c r="EIN51" s="310"/>
      <c r="EIO51" s="310"/>
      <c r="EIP51" s="310"/>
      <c r="EIQ51" s="310"/>
      <c r="EIR51" s="310"/>
      <c r="EIS51" s="310"/>
      <c r="EIT51" s="310"/>
      <c r="EIU51" s="310"/>
      <c r="EIV51" s="310"/>
      <c r="EIW51" s="310"/>
      <c r="EIX51" s="310"/>
      <c r="EIY51" s="310"/>
      <c r="EIZ51" s="310"/>
      <c r="EJA51" s="310"/>
      <c r="EJB51" s="310"/>
      <c r="EJC51" s="310"/>
      <c r="EJD51" s="310"/>
      <c r="EJE51" s="310"/>
      <c r="EJF51" s="310"/>
      <c r="EJG51" s="310"/>
      <c r="EJH51" s="310"/>
      <c r="EJI51" s="310"/>
      <c r="EJJ51" s="310"/>
      <c r="EJK51" s="310"/>
      <c r="EJL51" s="310"/>
      <c r="EJM51" s="310"/>
      <c r="EJN51" s="310"/>
      <c r="EJO51" s="310"/>
      <c r="EJP51" s="310"/>
      <c r="EJQ51" s="310"/>
      <c r="EJR51" s="310"/>
      <c r="EJS51" s="310"/>
      <c r="EJT51" s="310"/>
      <c r="EJU51" s="310"/>
      <c r="EJV51" s="310"/>
      <c r="EJW51" s="310"/>
      <c r="EJX51" s="310"/>
      <c r="EJY51" s="310"/>
      <c r="EJZ51" s="310"/>
      <c r="EKA51" s="310"/>
      <c r="EKB51" s="310"/>
      <c r="EKC51" s="310"/>
      <c r="EKD51" s="310"/>
      <c r="EKE51" s="310"/>
      <c r="EKF51" s="310"/>
      <c r="EKG51" s="310"/>
      <c r="EKH51" s="310"/>
      <c r="EKI51" s="310"/>
      <c r="EKJ51" s="310"/>
      <c r="EKK51" s="310"/>
      <c r="EKL51" s="310"/>
      <c r="EKM51" s="310"/>
      <c r="EKN51" s="310"/>
      <c r="EKO51" s="310"/>
      <c r="EKP51" s="310"/>
      <c r="EKQ51" s="310"/>
      <c r="EKR51" s="310"/>
      <c r="EKS51" s="310"/>
      <c r="EKT51" s="310"/>
      <c r="EKU51" s="310"/>
      <c r="EKV51" s="310"/>
      <c r="EKW51" s="310"/>
      <c r="EKX51" s="310"/>
      <c r="EKY51" s="310"/>
      <c r="EKZ51" s="310"/>
      <c r="ELA51" s="310"/>
      <c r="ELB51" s="310"/>
      <c r="ELC51" s="310"/>
      <c r="ELD51" s="310"/>
      <c r="ELE51" s="310"/>
      <c r="ELF51" s="310"/>
      <c r="ELG51" s="310"/>
      <c r="ELH51" s="310"/>
      <c r="ELI51" s="310"/>
      <c r="ELJ51" s="310"/>
      <c r="ELK51" s="310"/>
      <c r="ELL51" s="310"/>
      <c r="ELM51" s="310"/>
      <c r="ELN51" s="310"/>
      <c r="ELO51" s="310"/>
      <c r="ELP51" s="310"/>
      <c r="ELQ51" s="310"/>
      <c r="ELR51" s="310"/>
      <c r="ELS51" s="310"/>
      <c r="ELT51" s="310"/>
      <c r="ELU51" s="310"/>
      <c r="ELV51" s="310"/>
      <c r="ELW51" s="310"/>
      <c r="ELX51" s="310"/>
      <c r="ELY51" s="310"/>
      <c r="ELZ51" s="310"/>
      <c r="EMA51" s="310"/>
      <c r="EMB51" s="310"/>
      <c r="EMC51" s="310"/>
      <c r="EMD51" s="310"/>
      <c r="EME51" s="310"/>
      <c r="EMF51" s="310"/>
      <c r="EMG51" s="310"/>
      <c r="EMH51" s="310"/>
      <c r="EMI51" s="310"/>
      <c r="EMJ51" s="310"/>
      <c r="EMK51" s="310"/>
      <c r="EML51" s="310"/>
      <c r="EMM51" s="310"/>
      <c r="EMN51" s="310"/>
      <c r="EMO51" s="310"/>
      <c r="EMP51" s="310"/>
      <c r="EMQ51" s="310"/>
      <c r="EMR51" s="310"/>
      <c r="EMS51" s="310"/>
      <c r="EMT51" s="310"/>
      <c r="EMU51" s="310"/>
      <c r="EMV51" s="310"/>
      <c r="EMW51" s="310"/>
      <c r="EMX51" s="310"/>
      <c r="EMY51" s="310"/>
      <c r="EMZ51" s="310"/>
      <c r="ENA51" s="310"/>
      <c r="ENB51" s="310"/>
      <c r="ENC51" s="310"/>
      <c r="END51" s="310"/>
      <c r="ENE51" s="310"/>
      <c r="ENF51" s="310"/>
      <c r="ENG51" s="310"/>
      <c r="ENH51" s="310"/>
      <c r="ENI51" s="310"/>
      <c r="ENJ51" s="310"/>
      <c r="ENK51" s="310"/>
      <c r="ENL51" s="310"/>
      <c r="ENM51" s="310"/>
      <c r="ENN51" s="310"/>
      <c r="ENO51" s="310"/>
      <c r="ENP51" s="310"/>
      <c r="ENQ51" s="310"/>
      <c r="ENR51" s="310"/>
      <c r="ENS51" s="310"/>
      <c r="ENT51" s="310"/>
      <c r="ENU51" s="310"/>
      <c r="ENV51" s="310"/>
      <c r="ENW51" s="310"/>
      <c r="ENX51" s="310"/>
      <c r="ENY51" s="310"/>
      <c r="ENZ51" s="310"/>
      <c r="EOA51" s="310"/>
      <c r="EOB51" s="310"/>
      <c r="EOC51" s="310"/>
      <c r="EOD51" s="310"/>
      <c r="EOE51" s="310"/>
      <c r="EOF51" s="310"/>
      <c r="EOG51" s="310"/>
      <c r="EOH51" s="310"/>
      <c r="EOI51" s="310"/>
      <c r="EOJ51" s="310"/>
      <c r="EOK51" s="310"/>
      <c r="EOL51" s="310"/>
      <c r="EOM51" s="310"/>
      <c r="EON51" s="310"/>
      <c r="EOO51" s="310"/>
      <c r="EOP51" s="310"/>
      <c r="EOQ51" s="310"/>
      <c r="EOR51" s="310"/>
      <c r="EOS51" s="310"/>
      <c r="EOT51" s="310"/>
      <c r="EOU51" s="310"/>
      <c r="EOV51" s="310"/>
      <c r="EOW51" s="310"/>
      <c r="EOX51" s="310"/>
      <c r="EOY51" s="310"/>
      <c r="EOZ51" s="310"/>
      <c r="EPA51" s="310"/>
      <c r="EPB51" s="310"/>
      <c r="EPC51" s="310"/>
      <c r="EPD51" s="310"/>
      <c r="EPE51" s="310"/>
      <c r="EPF51" s="310"/>
      <c r="EPG51" s="310"/>
      <c r="EPH51" s="310"/>
      <c r="EPI51" s="310"/>
      <c r="EPJ51" s="310"/>
      <c r="EPK51" s="310"/>
      <c r="EPL51" s="310"/>
      <c r="EPM51" s="310"/>
      <c r="EPN51" s="310"/>
      <c r="EPO51" s="310"/>
      <c r="EPP51" s="310"/>
      <c r="EPQ51" s="310"/>
      <c r="EPR51" s="310"/>
      <c r="EPS51" s="310"/>
      <c r="EPT51" s="310"/>
      <c r="EPU51" s="310"/>
      <c r="EPV51" s="310"/>
      <c r="EPW51" s="310"/>
      <c r="EPX51" s="310"/>
      <c r="EPY51" s="310"/>
      <c r="EPZ51" s="310"/>
      <c r="EQA51" s="310"/>
      <c r="EQB51" s="310"/>
      <c r="EQC51" s="310"/>
      <c r="EQD51" s="310"/>
      <c r="EQE51" s="310"/>
      <c r="EQF51" s="310"/>
      <c r="EQG51" s="310"/>
      <c r="EQH51" s="310"/>
      <c r="EQI51" s="310"/>
      <c r="EQJ51" s="310"/>
      <c r="EQK51" s="310"/>
      <c r="EQL51" s="310"/>
      <c r="EQM51" s="310"/>
      <c r="EQN51" s="310"/>
      <c r="EQO51" s="310"/>
      <c r="EQP51" s="310"/>
      <c r="EQQ51" s="310"/>
      <c r="EQR51" s="310"/>
      <c r="EQS51" s="310"/>
      <c r="EQT51" s="310"/>
      <c r="EQU51" s="310"/>
      <c r="EQV51" s="310"/>
      <c r="EQW51" s="310"/>
      <c r="EQX51" s="310"/>
      <c r="EQY51" s="310"/>
      <c r="EQZ51" s="310"/>
      <c r="ERA51" s="310"/>
      <c r="ERB51" s="310"/>
      <c r="ERC51" s="310"/>
      <c r="ERD51" s="310"/>
      <c r="ERE51" s="310"/>
      <c r="ERF51" s="310"/>
      <c r="ERG51" s="310"/>
      <c r="ERH51" s="310"/>
      <c r="ERI51" s="310"/>
      <c r="ERJ51" s="310"/>
      <c r="ERK51" s="310"/>
      <c r="ERL51" s="310"/>
      <c r="ERM51" s="310"/>
      <c r="ERN51" s="310"/>
      <c r="ERO51" s="310"/>
      <c r="ERP51" s="310"/>
      <c r="ERQ51" s="310"/>
      <c r="ERR51" s="310"/>
      <c r="ERS51" s="310"/>
      <c r="ERT51" s="310"/>
      <c r="ERU51" s="310"/>
      <c r="ERV51" s="310"/>
      <c r="ERW51" s="310"/>
      <c r="ERX51" s="310"/>
      <c r="ERY51" s="310"/>
      <c r="ERZ51" s="310"/>
      <c r="ESA51" s="310"/>
      <c r="ESB51" s="310"/>
      <c r="ESC51" s="310"/>
      <c r="ESD51" s="310"/>
      <c r="ESE51" s="310"/>
      <c r="ESF51" s="310"/>
      <c r="ESG51" s="310"/>
      <c r="ESH51" s="310"/>
      <c r="ESI51" s="310"/>
      <c r="ESJ51" s="310"/>
      <c r="ESK51" s="310"/>
      <c r="ESL51" s="310"/>
      <c r="ESM51" s="310"/>
      <c r="ESN51" s="310"/>
      <c r="ESO51" s="310"/>
      <c r="ESP51" s="310"/>
      <c r="ESQ51" s="310"/>
      <c r="ESR51" s="310"/>
      <c r="ESS51" s="310"/>
      <c r="EST51" s="310"/>
      <c r="ESU51" s="310"/>
      <c r="ESV51" s="310"/>
      <c r="ESW51" s="310"/>
      <c r="ESX51" s="310"/>
      <c r="ESY51" s="310"/>
      <c r="ESZ51" s="310"/>
      <c r="ETA51" s="310"/>
      <c r="ETB51" s="310"/>
      <c r="ETC51" s="310"/>
      <c r="ETD51" s="310"/>
      <c r="ETE51" s="310"/>
      <c r="ETF51" s="310"/>
      <c r="ETG51" s="310"/>
      <c r="ETH51" s="310"/>
      <c r="ETI51" s="310"/>
      <c r="ETJ51" s="310"/>
      <c r="ETK51" s="310"/>
      <c r="ETL51" s="310"/>
      <c r="ETM51" s="310"/>
      <c r="ETN51" s="310"/>
      <c r="ETO51" s="310"/>
      <c r="ETP51" s="310"/>
      <c r="ETQ51" s="310"/>
      <c r="ETR51" s="310"/>
      <c r="ETS51" s="310"/>
      <c r="ETT51" s="310"/>
      <c r="ETU51" s="310"/>
      <c r="ETV51" s="310"/>
      <c r="ETW51" s="310"/>
      <c r="ETX51" s="310"/>
      <c r="ETY51" s="310"/>
      <c r="ETZ51" s="310"/>
      <c r="EUA51" s="310"/>
      <c r="EUB51" s="310"/>
      <c r="EUC51" s="310"/>
      <c r="EUD51" s="310"/>
      <c r="EUE51" s="310"/>
      <c r="EUF51" s="310"/>
      <c r="EUG51" s="310"/>
      <c r="EUH51" s="310"/>
      <c r="EUI51" s="310"/>
      <c r="EUJ51" s="310"/>
      <c r="EUK51" s="310"/>
      <c r="EUL51" s="310"/>
      <c r="EUM51" s="310"/>
      <c r="EUN51" s="310"/>
      <c r="EUO51" s="310"/>
      <c r="EUP51" s="310"/>
      <c r="EUQ51" s="310"/>
      <c r="EUR51" s="310"/>
      <c r="EUS51" s="310"/>
      <c r="EUT51" s="310"/>
      <c r="EUU51" s="310"/>
      <c r="EUV51" s="310"/>
      <c r="EUW51" s="310"/>
      <c r="EUX51" s="310"/>
      <c r="EUY51" s="310"/>
      <c r="EUZ51" s="310"/>
      <c r="EVA51" s="310"/>
      <c r="EVB51" s="310"/>
      <c r="EVC51" s="310"/>
      <c r="EVD51" s="310"/>
      <c r="EVE51" s="310"/>
      <c r="EVF51" s="310"/>
      <c r="EVG51" s="310"/>
      <c r="EVH51" s="310"/>
      <c r="EVI51" s="310"/>
      <c r="EVJ51" s="310"/>
      <c r="EVK51" s="310"/>
      <c r="EVL51" s="310"/>
      <c r="EVM51" s="310"/>
      <c r="EVN51" s="310"/>
      <c r="EVO51" s="310"/>
      <c r="EVP51" s="310"/>
      <c r="EVQ51" s="310"/>
      <c r="EVR51" s="310"/>
      <c r="EVS51" s="310"/>
      <c r="EVT51" s="310"/>
      <c r="EVU51" s="310"/>
      <c r="EVV51" s="310"/>
      <c r="EVW51" s="310"/>
      <c r="EVX51" s="310"/>
      <c r="EVY51" s="310"/>
      <c r="EVZ51" s="310"/>
      <c r="EWA51" s="310"/>
      <c r="EWB51" s="310"/>
      <c r="EWC51" s="310"/>
      <c r="EWD51" s="310"/>
      <c r="EWE51" s="310"/>
      <c r="EWF51" s="310"/>
      <c r="EWG51" s="310"/>
      <c r="EWH51" s="310"/>
      <c r="EWI51" s="310"/>
      <c r="EWJ51" s="310"/>
      <c r="EWK51" s="310"/>
      <c r="EWL51" s="310"/>
      <c r="EWM51" s="310"/>
      <c r="EWN51" s="310"/>
      <c r="EWO51" s="310"/>
      <c r="EWP51" s="310"/>
      <c r="EWQ51" s="310"/>
      <c r="EWR51" s="310"/>
      <c r="EWS51" s="310"/>
      <c r="EWT51" s="310"/>
      <c r="EWU51" s="310"/>
      <c r="EWV51" s="310"/>
      <c r="EWW51" s="310"/>
      <c r="EWX51" s="310"/>
      <c r="EWY51" s="310"/>
      <c r="EWZ51" s="310"/>
      <c r="EXA51" s="310"/>
      <c r="EXB51" s="310"/>
      <c r="EXC51" s="310"/>
      <c r="EXD51" s="310"/>
      <c r="EXE51" s="310"/>
      <c r="EXF51" s="310"/>
      <c r="EXG51" s="310"/>
      <c r="EXH51" s="310"/>
      <c r="EXI51" s="310"/>
      <c r="EXJ51" s="310"/>
      <c r="EXK51" s="310"/>
      <c r="EXL51" s="310"/>
      <c r="EXM51" s="310"/>
      <c r="EXN51" s="310"/>
      <c r="EXO51" s="310"/>
      <c r="EXP51" s="310"/>
      <c r="EXQ51" s="310"/>
      <c r="EXR51" s="310"/>
      <c r="EXS51" s="310"/>
      <c r="EXT51" s="310"/>
      <c r="EXU51" s="310"/>
      <c r="EXV51" s="310"/>
      <c r="EXW51" s="310"/>
      <c r="EXX51" s="310"/>
      <c r="EXY51" s="310"/>
      <c r="EXZ51" s="310"/>
      <c r="EYA51" s="310"/>
      <c r="EYB51" s="310"/>
      <c r="EYC51" s="310"/>
      <c r="EYD51" s="310"/>
      <c r="EYE51" s="310"/>
      <c r="EYF51" s="310"/>
      <c r="EYG51" s="310"/>
      <c r="EYH51" s="310"/>
      <c r="EYI51" s="310"/>
      <c r="EYJ51" s="310"/>
      <c r="EYK51" s="310"/>
      <c r="EYL51" s="310"/>
      <c r="EYM51" s="310"/>
      <c r="EYN51" s="310"/>
      <c r="EYO51" s="310"/>
      <c r="EYP51" s="310"/>
      <c r="EYQ51" s="310"/>
      <c r="EYR51" s="310"/>
      <c r="EYS51" s="310"/>
      <c r="EYT51" s="310"/>
      <c r="EYU51" s="310"/>
      <c r="EYV51" s="310"/>
      <c r="EYW51" s="310"/>
      <c r="EYX51" s="310"/>
      <c r="EYY51" s="310"/>
      <c r="EYZ51" s="310"/>
      <c r="EZA51" s="310"/>
      <c r="EZB51" s="310"/>
      <c r="EZC51" s="310"/>
      <c r="EZD51" s="310"/>
      <c r="EZE51" s="310"/>
      <c r="EZF51" s="310"/>
      <c r="EZG51" s="310"/>
      <c r="EZH51" s="310"/>
      <c r="EZI51" s="310"/>
      <c r="EZJ51" s="310"/>
      <c r="EZK51" s="310"/>
      <c r="EZL51" s="310"/>
      <c r="EZM51" s="310"/>
      <c r="EZN51" s="310"/>
      <c r="EZO51" s="310"/>
      <c r="EZP51" s="310"/>
      <c r="EZQ51" s="310"/>
      <c r="EZR51" s="310"/>
      <c r="EZS51" s="310"/>
      <c r="EZT51" s="310"/>
      <c r="EZU51" s="310"/>
      <c r="EZV51" s="310"/>
      <c r="EZW51" s="310"/>
      <c r="EZX51" s="310"/>
      <c r="EZY51" s="310"/>
      <c r="EZZ51" s="310"/>
      <c r="FAA51" s="310"/>
      <c r="FAB51" s="310"/>
      <c r="FAC51" s="310"/>
      <c r="FAD51" s="310"/>
      <c r="FAE51" s="310"/>
      <c r="FAF51" s="310"/>
      <c r="FAG51" s="310"/>
      <c r="FAH51" s="310"/>
      <c r="FAI51" s="310"/>
      <c r="FAJ51" s="310"/>
      <c r="FAK51" s="310"/>
      <c r="FAL51" s="310"/>
      <c r="FAM51" s="310"/>
      <c r="FAN51" s="310"/>
      <c r="FAO51" s="310"/>
      <c r="FAP51" s="310"/>
      <c r="FAQ51" s="310"/>
      <c r="FAR51" s="310"/>
      <c r="FAS51" s="310"/>
      <c r="FAT51" s="310"/>
      <c r="FAU51" s="310"/>
      <c r="FAV51" s="310"/>
      <c r="FAW51" s="310"/>
      <c r="FAX51" s="310"/>
      <c r="FAY51" s="310"/>
      <c r="FAZ51" s="310"/>
      <c r="FBA51" s="310"/>
      <c r="FBB51" s="310"/>
      <c r="FBC51" s="310"/>
      <c r="FBD51" s="310"/>
      <c r="FBE51" s="310"/>
      <c r="FBF51" s="310"/>
      <c r="FBG51" s="310"/>
      <c r="FBH51" s="310"/>
      <c r="FBI51" s="310"/>
      <c r="FBJ51" s="310"/>
      <c r="FBK51" s="310"/>
      <c r="FBL51" s="310"/>
      <c r="FBM51" s="310"/>
      <c r="FBN51" s="310"/>
      <c r="FBO51" s="310"/>
      <c r="FBP51" s="310"/>
      <c r="FBQ51" s="310"/>
      <c r="FBR51" s="310"/>
      <c r="FBS51" s="310"/>
      <c r="FBT51" s="310"/>
      <c r="FBU51" s="310"/>
      <c r="FBV51" s="310"/>
      <c r="FBW51" s="310"/>
      <c r="FBX51" s="310"/>
      <c r="FBY51" s="310"/>
      <c r="FBZ51" s="310"/>
      <c r="FCA51" s="310"/>
      <c r="FCB51" s="310"/>
      <c r="FCC51" s="310"/>
      <c r="FCD51" s="310"/>
      <c r="FCE51" s="310"/>
      <c r="FCF51" s="310"/>
      <c r="FCG51" s="310"/>
      <c r="FCH51" s="310"/>
      <c r="FCI51" s="310"/>
      <c r="FCJ51" s="310"/>
      <c r="FCK51" s="310"/>
      <c r="FCL51" s="310"/>
      <c r="FCM51" s="310"/>
      <c r="FCN51" s="310"/>
      <c r="FCO51" s="310"/>
      <c r="FCP51" s="310"/>
      <c r="FCQ51" s="310"/>
      <c r="FCR51" s="310"/>
      <c r="FCS51" s="310"/>
      <c r="FCT51" s="310"/>
      <c r="FCU51" s="310"/>
      <c r="FCV51" s="310"/>
      <c r="FCW51" s="310"/>
      <c r="FCX51" s="310"/>
      <c r="FCY51" s="310"/>
      <c r="FCZ51" s="310"/>
      <c r="FDA51" s="310"/>
      <c r="FDB51" s="310"/>
      <c r="FDC51" s="310"/>
      <c r="FDD51" s="310"/>
      <c r="FDE51" s="310"/>
      <c r="FDF51" s="310"/>
      <c r="FDG51" s="310"/>
      <c r="FDH51" s="310"/>
      <c r="FDI51" s="310"/>
      <c r="FDJ51" s="310"/>
      <c r="FDK51" s="310"/>
      <c r="FDL51" s="310"/>
      <c r="FDM51" s="310"/>
      <c r="FDN51" s="310"/>
      <c r="FDO51" s="310"/>
      <c r="FDP51" s="310"/>
      <c r="FDQ51" s="310"/>
      <c r="FDR51" s="310"/>
      <c r="FDS51" s="310"/>
      <c r="FDT51" s="310"/>
      <c r="FDU51" s="310"/>
      <c r="FDV51" s="310"/>
      <c r="FDW51" s="310"/>
      <c r="FDX51" s="310"/>
      <c r="FDY51" s="310"/>
      <c r="FDZ51" s="310"/>
      <c r="FEA51" s="310"/>
      <c r="FEB51" s="310"/>
      <c r="FEC51" s="310"/>
      <c r="FED51" s="310"/>
      <c r="FEE51" s="310"/>
      <c r="FEF51" s="310"/>
      <c r="FEG51" s="310"/>
      <c r="FEH51" s="310"/>
      <c r="FEI51" s="310"/>
      <c r="FEJ51" s="310"/>
      <c r="FEK51" s="310"/>
      <c r="FEL51" s="310"/>
      <c r="FEM51" s="310"/>
      <c r="FEN51" s="310"/>
      <c r="FEO51" s="310"/>
      <c r="FEP51" s="310"/>
      <c r="FEQ51" s="310"/>
      <c r="FER51" s="310"/>
      <c r="FES51" s="310"/>
      <c r="FET51" s="310"/>
      <c r="FEU51" s="310"/>
      <c r="FEV51" s="310"/>
      <c r="FEW51" s="310"/>
      <c r="FEX51" s="310"/>
      <c r="FEY51" s="310"/>
      <c r="FEZ51" s="310"/>
      <c r="FFA51" s="310"/>
      <c r="FFB51" s="310"/>
      <c r="FFC51" s="310"/>
      <c r="FFD51" s="310"/>
      <c r="FFE51" s="310"/>
      <c r="FFF51" s="310"/>
      <c r="FFG51" s="310"/>
      <c r="FFH51" s="310"/>
      <c r="FFI51" s="310"/>
      <c r="FFJ51" s="310"/>
      <c r="FFK51" s="310"/>
      <c r="FFL51" s="310"/>
      <c r="FFM51" s="310"/>
      <c r="FFN51" s="310"/>
      <c r="FFO51" s="310"/>
      <c r="FFP51" s="310"/>
      <c r="FFQ51" s="310"/>
      <c r="FFR51" s="310"/>
      <c r="FFS51" s="310"/>
      <c r="FFT51" s="310"/>
      <c r="FFU51" s="310"/>
      <c r="FFV51" s="310"/>
      <c r="FFW51" s="310"/>
      <c r="FFX51" s="310"/>
      <c r="FFY51" s="310"/>
      <c r="FFZ51" s="310"/>
      <c r="FGA51" s="310"/>
      <c r="FGB51" s="310"/>
      <c r="FGC51" s="310"/>
      <c r="FGD51" s="310"/>
      <c r="FGE51" s="310"/>
      <c r="FGF51" s="310"/>
      <c r="FGG51" s="310"/>
      <c r="FGH51" s="310"/>
      <c r="FGI51" s="310"/>
      <c r="FGJ51" s="310"/>
      <c r="FGK51" s="310"/>
      <c r="FGL51" s="310"/>
      <c r="FGM51" s="310"/>
      <c r="FGN51" s="310"/>
      <c r="FGO51" s="310"/>
      <c r="FGP51" s="310"/>
      <c r="FGQ51" s="310"/>
      <c r="FGR51" s="310"/>
      <c r="FGS51" s="310"/>
      <c r="FGT51" s="310"/>
      <c r="FGU51" s="310"/>
      <c r="FGV51" s="310"/>
      <c r="FGW51" s="310"/>
      <c r="FGX51" s="310"/>
      <c r="FGY51" s="310"/>
      <c r="FGZ51" s="310"/>
      <c r="FHA51" s="310"/>
      <c r="FHB51" s="310"/>
      <c r="FHC51" s="310"/>
      <c r="FHD51" s="310"/>
      <c r="FHE51" s="310"/>
      <c r="FHF51" s="310"/>
      <c r="FHG51" s="310"/>
      <c r="FHH51" s="310"/>
      <c r="FHI51" s="310"/>
      <c r="FHJ51" s="310"/>
      <c r="FHK51" s="310"/>
      <c r="FHL51" s="310"/>
      <c r="FHM51" s="310"/>
      <c r="FHN51" s="310"/>
      <c r="FHO51" s="310"/>
      <c r="FHP51" s="310"/>
      <c r="FHQ51" s="310"/>
      <c r="FHR51" s="310"/>
      <c r="FHS51" s="310"/>
      <c r="FHT51" s="310"/>
      <c r="FHU51" s="310"/>
      <c r="FHV51" s="310"/>
      <c r="FHW51" s="310"/>
      <c r="FHX51" s="310"/>
      <c r="FHY51" s="310"/>
      <c r="FHZ51" s="310"/>
      <c r="FIA51" s="310"/>
      <c r="FIB51" s="310"/>
      <c r="FIC51" s="310"/>
      <c r="FID51" s="310"/>
      <c r="FIE51" s="310"/>
      <c r="FIF51" s="310"/>
      <c r="FIG51" s="310"/>
      <c r="FIH51" s="310"/>
      <c r="FII51" s="310"/>
      <c r="FIJ51" s="310"/>
      <c r="FIK51" s="310"/>
      <c r="FIL51" s="310"/>
      <c r="FIM51" s="310"/>
      <c r="FIN51" s="310"/>
      <c r="FIO51" s="310"/>
      <c r="FIP51" s="310"/>
      <c r="FIQ51" s="310"/>
      <c r="FIR51" s="310"/>
      <c r="FIS51" s="310"/>
      <c r="FIT51" s="310"/>
      <c r="FIU51" s="310"/>
      <c r="FIV51" s="310"/>
      <c r="FIW51" s="310"/>
      <c r="FIX51" s="310"/>
      <c r="FIY51" s="310"/>
      <c r="FIZ51" s="310"/>
      <c r="FJA51" s="310"/>
      <c r="FJB51" s="310"/>
      <c r="FJC51" s="310"/>
      <c r="FJD51" s="310"/>
      <c r="FJE51" s="310"/>
      <c r="FJF51" s="310"/>
      <c r="FJG51" s="310"/>
      <c r="FJH51" s="310"/>
      <c r="FJI51" s="310"/>
      <c r="FJJ51" s="310"/>
      <c r="FJK51" s="310"/>
      <c r="FJL51" s="310"/>
      <c r="FJM51" s="310"/>
      <c r="FJN51" s="310"/>
      <c r="FJO51" s="310"/>
      <c r="FJP51" s="310"/>
      <c r="FJQ51" s="310"/>
      <c r="FJR51" s="310"/>
      <c r="FJS51" s="310"/>
      <c r="FJT51" s="310"/>
      <c r="FJU51" s="310"/>
      <c r="FJV51" s="310"/>
      <c r="FJW51" s="310"/>
      <c r="FJX51" s="310"/>
      <c r="FJY51" s="310"/>
      <c r="FJZ51" s="310"/>
      <c r="FKA51" s="310"/>
      <c r="FKB51" s="310"/>
      <c r="FKC51" s="310"/>
      <c r="FKD51" s="310"/>
      <c r="FKE51" s="310"/>
      <c r="FKF51" s="310"/>
      <c r="FKG51" s="310"/>
      <c r="FKH51" s="310"/>
      <c r="FKI51" s="310"/>
      <c r="FKJ51" s="310"/>
      <c r="FKK51" s="310"/>
      <c r="FKL51" s="310"/>
      <c r="FKM51" s="310"/>
      <c r="FKN51" s="310"/>
      <c r="FKO51" s="310"/>
      <c r="FKP51" s="310"/>
      <c r="FKQ51" s="310"/>
      <c r="FKR51" s="310"/>
      <c r="FKS51" s="310"/>
      <c r="FKT51" s="310"/>
      <c r="FKU51" s="310"/>
      <c r="FKV51" s="310"/>
      <c r="FKW51" s="310"/>
      <c r="FKX51" s="310"/>
      <c r="FKY51" s="310"/>
      <c r="FKZ51" s="310"/>
      <c r="FLA51" s="310"/>
      <c r="FLB51" s="310"/>
      <c r="FLC51" s="310"/>
      <c r="FLD51" s="310"/>
      <c r="FLE51" s="310"/>
      <c r="FLF51" s="310"/>
      <c r="FLG51" s="310"/>
      <c r="FLH51" s="310"/>
      <c r="FLI51" s="310"/>
      <c r="FLJ51" s="310"/>
      <c r="FLK51" s="310"/>
      <c r="FLL51" s="310"/>
      <c r="FLM51" s="310"/>
      <c r="FLN51" s="310"/>
      <c r="FLO51" s="310"/>
      <c r="FLP51" s="310"/>
      <c r="FLQ51" s="310"/>
      <c r="FLR51" s="310"/>
      <c r="FLS51" s="310"/>
      <c r="FLT51" s="310"/>
      <c r="FLU51" s="310"/>
      <c r="FLV51" s="310"/>
      <c r="FLW51" s="310"/>
      <c r="FLX51" s="310"/>
      <c r="FLY51" s="310"/>
      <c r="FLZ51" s="310"/>
      <c r="FMA51" s="310"/>
      <c r="FMB51" s="310"/>
      <c r="FMC51" s="310"/>
      <c r="FMD51" s="310"/>
      <c r="FME51" s="310"/>
      <c r="FMF51" s="310"/>
      <c r="FMG51" s="310"/>
      <c r="FMH51" s="310"/>
      <c r="FMI51" s="310"/>
      <c r="FMJ51" s="310"/>
      <c r="FMK51" s="310"/>
      <c r="FML51" s="310"/>
      <c r="FMM51" s="310"/>
      <c r="FMN51" s="310"/>
      <c r="FMO51" s="310"/>
      <c r="FMP51" s="310"/>
      <c r="FMQ51" s="310"/>
      <c r="FMR51" s="310"/>
      <c r="FMS51" s="310"/>
      <c r="FMT51" s="310"/>
      <c r="FMU51" s="310"/>
      <c r="FMV51" s="310"/>
      <c r="FMW51" s="310"/>
      <c r="FMX51" s="310"/>
      <c r="FMY51" s="310"/>
      <c r="FMZ51" s="310"/>
      <c r="FNA51" s="310"/>
      <c r="FNB51" s="310"/>
      <c r="FNC51" s="310"/>
      <c r="FND51" s="310"/>
      <c r="FNE51" s="310"/>
      <c r="FNF51" s="310"/>
      <c r="FNG51" s="310"/>
      <c r="FNH51" s="310"/>
      <c r="FNI51" s="310"/>
      <c r="FNJ51" s="310"/>
      <c r="FNK51" s="310"/>
      <c r="FNL51" s="310"/>
      <c r="FNM51" s="310"/>
      <c r="FNN51" s="310"/>
      <c r="FNO51" s="310"/>
      <c r="FNP51" s="310"/>
      <c r="FNQ51" s="310"/>
      <c r="FNR51" s="310"/>
      <c r="FNS51" s="310"/>
      <c r="FNT51" s="310"/>
      <c r="FNU51" s="310"/>
      <c r="FNV51" s="310"/>
      <c r="FNW51" s="310"/>
      <c r="FNX51" s="310"/>
      <c r="FNY51" s="310"/>
      <c r="FNZ51" s="310"/>
      <c r="FOA51" s="310"/>
      <c r="FOB51" s="310"/>
      <c r="FOC51" s="310"/>
      <c r="FOD51" s="310"/>
      <c r="FOE51" s="310"/>
      <c r="FOF51" s="310"/>
      <c r="FOG51" s="310"/>
      <c r="FOH51" s="310"/>
      <c r="FOI51" s="310"/>
      <c r="FOJ51" s="310"/>
      <c r="FOK51" s="310"/>
      <c r="FOL51" s="310"/>
      <c r="FOM51" s="310"/>
      <c r="FON51" s="310"/>
      <c r="FOO51" s="310"/>
      <c r="FOP51" s="310"/>
      <c r="FOQ51" s="310"/>
      <c r="FOR51" s="310"/>
      <c r="FOS51" s="310"/>
      <c r="FOT51" s="310"/>
      <c r="FOU51" s="310"/>
      <c r="FOV51" s="310"/>
      <c r="FOW51" s="310"/>
      <c r="FOX51" s="310"/>
      <c r="FOY51" s="310"/>
      <c r="FOZ51" s="310"/>
      <c r="FPA51" s="310"/>
      <c r="FPB51" s="310"/>
      <c r="FPC51" s="310"/>
      <c r="FPD51" s="310"/>
      <c r="FPE51" s="310"/>
      <c r="FPF51" s="310"/>
      <c r="FPG51" s="310"/>
      <c r="FPH51" s="310"/>
      <c r="FPI51" s="310"/>
      <c r="FPJ51" s="310"/>
      <c r="FPK51" s="310"/>
      <c r="FPL51" s="310"/>
      <c r="FPM51" s="310"/>
      <c r="FPN51" s="310"/>
      <c r="FPO51" s="310"/>
      <c r="FPP51" s="310"/>
      <c r="FPQ51" s="310"/>
      <c r="FPR51" s="310"/>
      <c r="FPS51" s="310"/>
      <c r="FPT51" s="310"/>
      <c r="FPU51" s="310"/>
      <c r="FPV51" s="310"/>
      <c r="FPW51" s="310"/>
      <c r="FPX51" s="310"/>
      <c r="FPY51" s="310"/>
      <c r="FPZ51" s="310"/>
      <c r="FQA51" s="310"/>
      <c r="FQB51" s="310"/>
      <c r="FQC51" s="310"/>
      <c r="FQD51" s="310"/>
      <c r="FQE51" s="310"/>
      <c r="FQF51" s="310"/>
      <c r="FQG51" s="310"/>
      <c r="FQH51" s="310"/>
      <c r="FQI51" s="310"/>
      <c r="FQJ51" s="310"/>
      <c r="FQK51" s="310"/>
      <c r="FQL51" s="310"/>
      <c r="FQM51" s="310"/>
      <c r="FQN51" s="310"/>
      <c r="FQO51" s="310"/>
      <c r="FQP51" s="310"/>
      <c r="FQQ51" s="310"/>
      <c r="FQR51" s="310"/>
      <c r="FQS51" s="310"/>
      <c r="FQT51" s="310"/>
      <c r="FQU51" s="310"/>
      <c r="FQV51" s="310"/>
      <c r="FQW51" s="310"/>
      <c r="FQX51" s="310"/>
      <c r="FQY51" s="310"/>
      <c r="FQZ51" s="310"/>
      <c r="FRA51" s="310"/>
      <c r="FRB51" s="310"/>
      <c r="FRC51" s="310"/>
      <c r="FRD51" s="310"/>
      <c r="FRE51" s="310"/>
      <c r="FRF51" s="310"/>
      <c r="FRG51" s="310"/>
      <c r="FRH51" s="310"/>
      <c r="FRI51" s="310"/>
      <c r="FRJ51" s="310"/>
      <c r="FRK51" s="310"/>
      <c r="FRL51" s="310"/>
      <c r="FRM51" s="310"/>
      <c r="FRN51" s="310"/>
      <c r="FRO51" s="310"/>
      <c r="FRP51" s="310"/>
      <c r="FRQ51" s="310"/>
      <c r="FRR51" s="310"/>
      <c r="FRS51" s="310"/>
      <c r="FRT51" s="310"/>
      <c r="FRU51" s="310"/>
      <c r="FRV51" s="310"/>
      <c r="FRW51" s="310"/>
      <c r="FRX51" s="310"/>
      <c r="FRY51" s="310"/>
      <c r="FRZ51" s="310"/>
      <c r="FSA51" s="310"/>
      <c r="FSB51" s="310"/>
      <c r="FSC51" s="310"/>
      <c r="FSD51" s="310"/>
      <c r="FSE51" s="310"/>
      <c r="FSF51" s="310"/>
      <c r="FSG51" s="310"/>
      <c r="FSH51" s="310"/>
      <c r="FSI51" s="310"/>
      <c r="FSJ51" s="310"/>
      <c r="FSK51" s="310"/>
      <c r="FSL51" s="310"/>
      <c r="FSM51" s="310"/>
      <c r="FSN51" s="310"/>
      <c r="FSO51" s="310"/>
      <c r="FSP51" s="310"/>
      <c r="FSQ51" s="310"/>
      <c r="FSR51" s="310"/>
      <c r="FSS51" s="310"/>
      <c r="FST51" s="310"/>
      <c r="FSU51" s="310"/>
      <c r="FSV51" s="310"/>
      <c r="FSW51" s="310"/>
      <c r="FSX51" s="310"/>
      <c r="FSY51" s="310"/>
      <c r="FSZ51" s="310"/>
      <c r="FTA51" s="310"/>
      <c r="FTB51" s="310"/>
      <c r="FTC51" s="310"/>
      <c r="FTD51" s="310"/>
      <c r="FTE51" s="310"/>
      <c r="FTF51" s="310"/>
      <c r="FTG51" s="310"/>
      <c r="FTH51" s="310"/>
      <c r="FTI51" s="310"/>
      <c r="FTJ51" s="310"/>
      <c r="FTK51" s="310"/>
      <c r="FTL51" s="310"/>
      <c r="FTM51" s="310"/>
      <c r="FTN51" s="310"/>
      <c r="FTO51" s="310"/>
      <c r="FTP51" s="310"/>
      <c r="FTQ51" s="310"/>
      <c r="FTR51" s="310"/>
      <c r="FTS51" s="310"/>
      <c r="FTT51" s="310"/>
      <c r="FTU51" s="310"/>
      <c r="FTV51" s="310"/>
      <c r="FTW51" s="310"/>
      <c r="FTX51" s="310"/>
      <c r="FTY51" s="310"/>
      <c r="FTZ51" s="310"/>
      <c r="FUA51" s="310"/>
      <c r="FUB51" s="310"/>
      <c r="FUC51" s="310"/>
      <c r="FUD51" s="310"/>
      <c r="FUE51" s="310"/>
      <c r="FUF51" s="310"/>
      <c r="FUG51" s="310"/>
      <c r="FUH51" s="310"/>
      <c r="FUI51" s="310"/>
      <c r="FUJ51" s="310"/>
      <c r="FUK51" s="310"/>
      <c r="FUL51" s="310"/>
      <c r="FUM51" s="310"/>
      <c r="FUN51" s="310"/>
      <c r="FUO51" s="310"/>
      <c r="FUP51" s="310"/>
      <c r="FUQ51" s="310"/>
      <c r="FUR51" s="310"/>
      <c r="FUS51" s="310"/>
      <c r="FUT51" s="310"/>
      <c r="FUU51" s="310"/>
      <c r="FUV51" s="310"/>
      <c r="FUW51" s="310"/>
      <c r="FUX51" s="310"/>
      <c r="FUY51" s="310"/>
      <c r="FUZ51" s="310"/>
      <c r="FVA51" s="310"/>
      <c r="FVB51" s="310"/>
      <c r="FVC51" s="310"/>
      <c r="FVD51" s="310"/>
      <c r="FVE51" s="310"/>
      <c r="FVF51" s="310"/>
      <c r="FVG51" s="310"/>
      <c r="FVH51" s="310"/>
      <c r="FVI51" s="310"/>
      <c r="FVJ51" s="310"/>
      <c r="FVK51" s="310"/>
      <c r="FVL51" s="310"/>
      <c r="FVM51" s="310"/>
      <c r="FVN51" s="310"/>
      <c r="FVO51" s="310"/>
      <c r="FVP51" s="310"/>
      <c r="FVQ51" s="310"/>
      <c r="FVR51" s="310"/>
      <c r="FVS51" s="310"/>
      <c r="FVT51" s="310"/>
      <c r="FVU51" s="310"/>
      <c r="FVV51" s="310"/>
      <c r="FVW51" s="310"/>
      <c r="FVX51" s="310"/>
      <c r="FVY51" s="310"/>
      <c r="FVZ51" s="310"/>
      <c r="FWA51" s="310"/>
      <c r="FWB51" s="310"/>
      <c r="FWC51" s="310"/>
      <c r="FWD51" s="310"/>
      <c r="FWE51" s="310"/>
      <c r="FWF51" s="310"/>
      <c r="FWG51" s="310"/>
      <c r="FWH51" s="310"/>
      <c r="FWI51" s="310"/>
      <c r="FWJ51" s="310"/>
      <c r="FWK51" s="310"/>
      <c r="FWL51" s="310"/>
      <c r="FWM51" s="310"/>
      <c r="FWN51" s="310"/>
      <c r="FWO51" s="310"/>
      <c r="FWP51" s="310"/>
      <c r="FWQ51" s="310"/>
      <c r="FWR51" s="310"/>
      <c r="FWS51" s="310"/>
      <c r="FWT51" s="310"/>
      <c r="FWU51" s="310"/>
      <c r="FWV51" s="310"/>
      <c r="FWW51" s="310"/>
      <c r="FWX51" s="310"/>
      <c r="FWY51" s="310"/>
      <c r="FWZ51" s="310"/>
      <c r="FXA51" s="310"/>
      <c r="FXB51" s="310"/>
      <c r="FXC51" s="310"/>
      <c r="FXD51" s="310"/>
      <c r="FXE51" s="310"/>
      <c r="FXF51" s="310"/>
      <c r="FXG51" s="310"/>
      <c r="FXH51" s="310"/>
      <c r="FXI51" s="310"/>
      <c r="FXJ51" s="310"/>
      <c r="FXK51" s="310"/>
      <c r="FXL51" s="310"/>
      <c r="FXM51" s="310"/>
      <c r="FXN51" s="310"/>
      <c r="FXO51" s="310"/>
      <c r="FXP51" s="310"/>
      <c r="FXQ51" s="310"/>
      <c r="FXR51" s="310"/>
      <c r="FXS51" s="310"/>
      <c r="FXT51" s="310"/>
      <c r="FXU51" s="310"/>
      <c r="FXV51" s="310"/>
      <c r="FXW51" s="310"/>
      <c r="FXX51" s="310"/>
      <c r="FXY51" s="310"/>
      <c r="FXZ51" s="310"/>
      <c r="FYA51" s="310"/>
      <c r="FYB51" s="310"/>
      <c r="FYC51" s="310"/>
      <c r="FYD51" s="310"/>
      <c r="FYE51" s="310"/>
      <c r="FYF51" s="310"/>
      <c r="FYG51" s="310"/>
      <c r="FYH51" s="310"/>
      <c r="FYI51" s="310"/>
      <c r="FYJ51" s="310"/>
      <c r="FYK51" s="310"/>
      <c r="FYL51" s="310"/>
      <c r="FYM51" s="310"/>
      <c r="FYN51" s="310"/>
      <c r="FYO51" s="310"/>
      <c r="FYP51" s="310"/>
      <c r="FYQ51" s="310"/>
      <c r="FYR51" s="310"/>
      <c r="FYS51" s="310"/>
      <c r="FYT51" s="310"/>
      <c r="FYU51" s="310"/>
      <c r="FYV51" s="310"/>
      <c r="FYW51" s="310"/>
      <c r="FYX51" s="310"/>
      <c r="FYY51" s="310"/>
      <c r="FYZ51" s="310"/>
      <c r="FZA51" s="310"/>
      <c r="FZB51" s="310"/>
      <c r="FZC51" s="310"/>
      <c r="FZD51" s="310"/>
      <c r="FZE51" s="310"/>
      <c r="FZF51" s="310"/>
      <c r="FZG51" s="310"/>
      <c r="FZH51" s="310"/>
      <c r="FZI51" s="310"/>
      <c r="FZJ51" s="310"/>
      <c r="FZK51" s="310"/>
      <c r="FZL51" s="310"/>
      <c r="FZM51" s="310"/>
      <c r="FZN51" s="310"/>
      <c r="FZO51" s="310"/>
      <c r="FZP51" s="310"/>
      <c r="FZQ51" s="310"/>
      <c r="FZR51" s="310"/>
      <c r="FZS51" s="310"/>
      <c r="FZT51" s="310"/>
      <c r="FZU51" s="310"/>
      <c r="FZV51" s="310"/>
      <c r="FZW51" s="310"/>
      <c r="FZX51" s="310"/>
      <c r="FZY51" s="310"/>
      <c r="FZZ51" s="310"/>
      <c r="GAA51" s="310"/>
      <c r="GAB51" s="310"/>
      <c r="GAC51" s="310"/>
      <c r="GAD51" s="310"/>
      <c r="GAE51" s="310"/>
      <c r="GAF51" s="310"/>
      <c r="GAG51" s="310"/>
      <c r="GAH51" s="310"/>
      <c r="GAI51" s="310"/>
      <c r="GAJ51" s="310"/>
      <c r="GAK51" s="310"/>
      <c r="GAL51" s="310"/>
      <c r="GAM51" s="310"/>
      <c r="GAN51" s="310"/>
      <c r="GAO51" s="310"/>
      <c r="GAP51" s="310"/>
      <c r="GAQ51" s="310"/>
      <c r="GAR51" s="310"/>
      <c r="GAS51" s="310"/>
      <c r="GAT51" s="310"/>
      <c r="GAU51" s="310"/>
      <c r="GAV51" s="310"/>
      <c r="GAW51" s="310"/>
      <c r="GAX51" s="310"/>
      <c r="GAY51" s="310"/>
      <c r="GAZ51" s="310"/>
      <c r="GBA51" s="310"/>
      <c r="GBB51" s="310"/>
      <c r="GBC51" s="310"/>
      <c r="GBD51" s="310"/>
      <c r="GBE51" s="310"/>
      <c r="GBF51" s="310"/>
      <c r="GBG51" s="310"/>
      <c r="GBH51" s="310"/>
      <c r="GBI51" s="310"/>
      <c r="GBJ51" s="310"/>
      <c r="GBK51" s="310"/>
      <c r="GBL51" s="310"/>
      <c r="GBM51" s="310"/>
      <c r="GBN51" s="310"/>
      <c r="GBO51" s="310"/>
      <c r="GBP51" s="310"/>
      <c r="GBQ51" s="310"/>
      <c r="GBR51" s="310"/>
      <c r="GBS51" s="310"/>
      <c r="GBT51" s="310"/>
      <c r="GBU51" s="310"/>
      <c r="GBV51" s="310"/>
      <c r="GBW51" s="310"/>
      <c r="GBX51" s="310"/>
      <c r="GBY51" s="310"/>
      <c r="GBZ51" s="310"/>
      <c r="GCA51" s="310"/>
      <c r="GCB51" s="310"/>
      <c r="GCC51" s="310"/>
      <c r="GCD51" s="310"/>
      <c r="GCE51" s="310"/>
      <c r="GCF51" s="310"/>
      <c r="GCG51" s="310"/>
      <c r="GCH51" s="310"/>
      <c r="GCI51" s="310"/>
      <c r="GCJ51" s="310"/>
      <c r="GCK51" s="310"/>
      <c r="GCL51" s="310"/>
      <c r="GCM51" s="310"/>
      <c r="GCN51" s="310"/>
      <c r="GCO51" s="310"/>
      <c r="GCP51" s="310"/>
      <c r="GCQ51" s="310"/>
      <c r="GCR51" s="310"/>
      <c r="GCS51" s="310"/>
      <c r="GCT51" s="310"/>
      <c r="GCU51" s="310"/>
      <c r="GCV51" s="310"/>
      <c r="GCW51" s="310"/>
      <c r="GCX51" s="310"/>
      <c r="GCY51" s="310"/>
      <c r="GCZ51" s="310"/>
      <c r="GDA51" s="310"/>
      <c r="GDB51" s="310"/>
      <c r="GDC51" s="310"/>
      <c r="GDD51" s="310"/>
      <c r="GDE51" s="310"/>
      <c r="GDF51" s="310"/>
      <c r="GDG51" s="310"/>
      <c r="GDH51" s="310"/>
      <c r="GDI51" s="310"/>
      <c r="GDJ51" s="310"/>
      <c r="GDK51" s="310"/>
      <c r="GDL51" s="310"/>
      <c r="GDM51" s="310"/>
      <c r="GDN51" s="310"/>
      <c r="GDO51" s="310"/>
      <c r="GDP51" s="310"/>
      <c r="GDQ51" s="310"/>
      <c r="GDR51" s="310"/>
      <c r="GDS51" s="310"/>
      <c r="GDT51" s="310"/>
      <c r="GDU51" s="310"/>
      <c r="GDV51" s="310"/>
      <c r="GDW51" s="310"/>
      <c r="GDX51" s="310"/>
      <c r="GDY51" s="310"/>
      <c r="GDZ51" s="310"/>
      <c r="GEA51" s="310"/>
      <c r="GEB51" s="310"/>
      <c r="GEC51" s="310"/>
      <c r="GED51" s="310"/>
      <c r="GEE51" s="310"/>
      <c r="GEF51" s="310"/>
      <c r="GEG51" s="310"/>
      <c r="GEH51" s="310"/>
      <c r="GEI51" s="310"/>
      <c r="GEJ51" s="310"/>
      <c r="GEK51" s="310"/>
      <c r="GEL51" s="310"/>
      <c r="GEM51" s="310"/>
      <c r="GEN51" s="310"/>
      <c r="GEO51" s="310"/>
      <c r="GEP51" s="310"/>
      <c r="GEQ51" s="310"/>
      <c r="GER51" s="310"/>
      <c r="GES51" s="310"/>
      <c r="GET51" s="310"/>
      <c r="GEU51" s="310"/>
      <c r="GEV51" s="310"/>
      <c r="GEW51" s="310"/>
      <c r="GEX51" s="310"/>
      <c r="GEY51" s="310"/>
      <c r="GEZ51" s="310"/>
      <c r="GFA51" s="310"/>
      <c r="GFB51" s="310"/>
      <c r="GFC51" s="310"/>
      <c r="GFD51" s="310"/>
      <c r="GFE51" s="310"/>
      <c r="GFF51" s="310"/>
      <c r="GFG51" s="310"/>
      <c r="GFH51" s="310"/>
      <c r="GFI51" s="310"/>
      <c r="GFJ51" s="310"/>
      <c r="GFK51" s="310"/>
      <c r="GFL51" s="310"/>
      <c r="GFM51" s="310"/>
      <c r="GFN51" s="310"/>
      <c r="GFO51" s="310"/>
      <c r="GFP51" s="310"/>
      <c r="GFQ51" s="310"/>
      <c r="GFR51" s="310"/>
      <c r="GFS51" s="310"/>
      <c r="GFT51" s="310"/>
      <c r="GFU51" s="310"/>
      <c r="GFV51" s="310"/>
      <c r="GFW51" s="310"/>
      <c r="GFX51" s="310"/>
      <c r="GFY51" s="310"/>
      <c r="GFZ51" s="310"/>
      <c r="GGA51" s="310"/>
      <c r="GGB51" s="310"/>
      <c r="GGC51" s="310"/>
      <c r="GGD51" s="310"/>
      <c r="GGE51" s="310"/>
      <c r="GGF51" s="310"/>
      <c r="GGG51" s="310"/>
      <c r="GGH51" s="310"/>
      <c r="GGI51" s="310"/>
      <c r="GGJ51" s="310"/>
      <c r="GGK51" s="310"/>
      <c r="GGL51" s="310"/>
      <c r="GGM51" s="310"/>
      <c r="GGN51" s="310"/>
      <c r="GGO51" s="310"/>
      <c r="GGP51" s="310"/>
      <c r="GGQ51" s="310"/>
      <c r="GGR51" s="310"/>
      <c r="GGS51" s="310"/>
      <c r="GGT51" s="310"/>
      <c r="GGU51" s="310"/>
      <c r="GGV51" s="310"/>
      <c r="GGW51" s="310"/>
      <c r="GGX51" s="310"/>
      <c r="GGY51" s="310"/>
      <c r="GGZ51" s="310"/>
      <c r="GHA51" s="310"/>
      <c r="GHB51" s="310"/>
      <c r="GHC51" s="310"/>
      <c r="GHD51" s="310"/>
      <c r="GHE51" s="310"/>
      <c r="GHF51" s="310"/>
      <c r="GHG51" s="310"/>
      <c r="GHH51" s="310"/>
      <c r="GHI51" s="310"/>
      <c r="GHJ51" s="310"/>
      <c r="GHK51" s="310"/>
      <c r="GHL51" s="310"/>
      <c r="GHM51" s="310"/>
      <c r="GHN51" s="310"/>
      <c r="GHO51" s="310"/>
      <c r="GHP51" s="310"/>
      <c r="GHQ51" s="310"/>
      <c r="GHR51" s="310"/>
      <c r="GHS51" s="310"/>
      <c r="GHT51" s="310"/>
      <c r="GHU51" s="310"/>
      <c r="GHV51" s="310"/>
      <c r="GHW51" s="310"/>
      <c r="GHX51" s="310"/>
      <c r="GHY51" s="310"/>
      <c r="GHZ51" s="310"/>
      <c r="GIA51" s="310"/>
      <c r="GIB51" s="310"/>
      <c r="GIC51" s="310"/>
      <c r="GID51" s="310"/>
      <c r="GIE51" s="310"/>
      <c r="GIF51" s="310"/>
      <c r="GIG51" s="310"/>
      <c r="GIH51" s="310"/>
      <c r="GII51" s="310"/>
      <c r="GIJ51" s="310"/>
      <c r="GIK51" s="310"/>
      <c r="GIL51" s="310"/>
      <c r="GIM51" s="310"/>
      <c r="GIN51" s="310"/>
      <c r="GIO51" s="310"/>
      <c r="GIP51" s="310"/>
      <c r="GIQ51" s="310"/>
      <c r="GIR51" s="310"/>
      <c r="GIS51" s="310"/>
      <c r="GIT51" s="310"/>
      <c r="GIU51" s="310"/>
      <c r="GIV51" s="310"/>
      <c r="GIW51" s="310"/>
      <c r="GIX51" s="310"/>
      <c r="GIY51" s="310"/>
      <c r="GIZ51" s="310"/>
      <c r="GJA51" s="310"/>
      <c r="GJB51" s="310"/>
      <c r="GJC51" s="310"/>
      <c r="GJD51" s="310"/>
      <c r="GJE51" s="310"/>
      <c r="GJF51" s="310"/>
      <c r="GJG51" s="310"/>
      <c r="GJH51" s="310"/>
      <c r="GJI51" s="310"/>
      <c r="GJJ51" s="310"/>
      <c r="GJK51" s="310"/>
      <c r="GJL51" s="310"/>
      <c r="GJM51" s="310"/>
      <c r="GJN51" s="310"/>
      <c r="GJO51" s="310"/>
      <c r="GJP51" s="310"/>
      <c r="GJQ51" s="310"/>
      <c r="GJR51" s="310"/>
      <c r="GJS51" s="310"/>
      <c r="GJT51" s="310"/>
      <c r="GJU51" s="310"/>
      <c r="GJV51" s="310"/>
      <c r="GJW51" s="310"/>
      <c r="GJX51" s="310"/>
      <c r="GJY51" s="310"/>
      <c r="GJZ51" s="310"/>
      <c r="GKA51" s="310"/>
      <c r="GKB51" s="310"/>
      <c r="GKC51" s="310"/>
      <c r="GKD51" s="310"/>
      <c r="GKE51" s="310"/>
      <c r="GKF51" s="310"/>
      <c r="GKG51" s="310"/>
      <c r="GKH51" s="310"/>
      <c r="GKI51" s="310"/>
      <c r="GKJ51" s="310"/>
      <c r="GKK51" s="310"/>
      <c r="GKL51" s="310"/>
      <c r="GKM51" s="310"/>
      <c r="GKN51" s="310"/>
      <c r="GKO51" s="310"/>
      <c r="GKP51" s="310"/>
      <c r="GKQ51" s="310"/>
      <c r="GKR51" s="310"/>
      <c r="GKS51" s="310"/>
      <c r="GKT51" s="310"/>
      <c r="GKU51" s="310"/>
      <c r="GKV51" s="310"/>
      <c r="GKW51" s="310"/>
      <c r="GKX51" s="310"/>
      <c r="GKY51" s="310"/>
      <c r="GKZ51" s="310"/>
      <c r="GLA51" s="310"/>
      <c r="GLB51" s="310"/>
      <c r="GLC51" s="310"/>
      <c r="GLD51" s="310"/>
      <c r="GLE51" s="310"/>
      <c r="GLF51" s="310"/>
      <c r="GLG51" s="310"/>
      <c r="GLH51" s="310"/>
      <c r="GLI51" s="310"/>
      <c r="GLJ51" s="310"/>
      <c r="GLK51" s="310"/>
      <c r="GLL51" s="310"/>
      <c r="GLM51" s="310"/>
      <c r="GLN51" s="310"/>
      <c r="GLO51" s="310"/>
      <c r="GLP51" s="310"/>
      <c r="GLQ51" s="310"/>
      <c r="GLR51" s="310"/>
      <c r="GLS51" s="310"/>
      <c r="GLT51" s="310"/>
      <c r="GLU51" s="310"/>
      <c r="GLV51" s="310"/>
      <c r="GLW51" s="310"/>
      <c r="GLX51" s="310"/>
      <c r="GLY51" s="310"/>
      <c r="GLZ51" s="310"/>
      <c r="GMA51" s="310"/>
      <c r="GMB51" s="310"/>
      <c r="GMC51" s="310"/>
      <c r="GMD51" s="310"/>
      <c r="GME51" s="310"/>
      <c r="GMF51" s="310"/>
      <c r="GMG51" s="310"/>
      <c r="GMH51" s="310"/>
      <c r="GMI51" s="310"/>
      <c r="GMJ51" s="310"/>
      <c r="GMK51" s="310"/>
      <c r="GML51" s="310"/>
      <c r="GMM51" s="310"/>
      <c r="GMN51" s="310"/>
      <c r="GMO51" s="310"/>
      <c r="GMP51" s="310"/>
      <c r="GMQ51" s="310"/>
      <c r="GMR51" s="310"/>
      <c r="GMS51" s="310"/>
      <c r="GMT51" s="310"/>
      <c r="GMU51" s="310"/>
      <c r="GMV51" s="310"/>
      <c r="GMW51" s="310"/>
      <c r="GMX51" s="310"/>
      <c r="GMY51" s="310"/>
      <c r="GMZ51" s="310"/>
      <c r="GNA51" s="310"/>
      <c r="GNB51" s="310"/>
      <c r="GNC51" s="310"/>
      <c r="GND51" s="310"/>
      <c r="GNE51" s="310"/>
      <c r="GNF51" s="310"/>
      <c r="GNG51" s="310"/>
      <c r="GNH51" s="310"/>
      <c r="GNI51" s="310"/>
      <c r="GNJ51" s="310"/>
      <c r="GNK51" s="310"/>
      <c r="GNL51" s="310"/>
      <c r="GNM51" s="310"/>
      <c r="GNN51" s="310"/>
      <c r="GNO51" s="310"/>
      <c r="GNP51" s="310"/>
      <c r="GNQ51" s="310"/>
      <c r="GNR51" s="310"/>
      <c r="GNS51" s="310"/>
      <c r="GNT51" s="310"/>
      <c r="GNU51" s="310"/>
      <c r="GNV51" s="310"/>
      <c r="GNW51" s="310"/>
      <c r="GNX51" s="310"/>
      <c r="GNY51" s="310"/>
      <c r="GNZ51" s="310"/>
      <c r="GOA51" s="310"/>
      <c r="GOB51" s="310"/>
      <c r="GOC51" s="310"/>
      <c r="GOD51" s="310"/>
      <c r="GOE51" s="310"/>
      <c r="GOF51" s="310"/>
      <c r="GOG51" s="310"/>
      <c r="GOH51" s="310"/>
      <c r="GOI51" s="310"/>
      <c r="GOJ51" s="310"/>
      <c r="GOK51" s="310"/>
      <c r="GOL51" s="310"/>
      <c r="GOM51" s="310"/>
      <c r="GON51" s="310"/>
      <c r="GOO51" s="310"/>
      <c r="GOP51" s="310"/>
      <c r="GOQ51" s="310"/>
      <c r="GOR51" s="310"/>
      <c r="GOS51" s="310"/>
      <c r="GOT51" s="310"/>
      <c r="GOU51" s="310"/>
      <c r="GOV51" s="310"/>
      <c r="GOW51" s="310"/>
      <c r="GOX51" s="310"/>
      <c r="GOY51" s="310"/>
      <c r="GOZ51" s="310"/>
      <c r="GPA51" s="310"/>
      <c r="GPB51" s="310"/>
      <c r="GPC51" s="310"/>
      <c r="GPD51" s="310"/>
      <c r="GPE51" s="310"/>
      <c r="GPF51" s="310"/>
      <c r="GPG51" s="310"/>
      <c r="GPH51" s="310"/>
      <c r="GPI51" s="310"/>
      <c r="GPJ51" s="310"/>
      <c r="GPK51" s="310"/>
      <c r="GPL51" s="310"/>
      <c r="GPM51" s="310"/>
      <c r="GPN51" s="310"/>
      <c r="GPO51" s="310"/>
      <c r="GPP51" s="310"/>
      <c r="GPQ51" s="310"/>
      <c r="GPR51" s="310"/>
      <c r="GPS51" s="310"/>
      <c r="GPT51" s="310"/>
      <c r="GPU51" s="310"/>
      <c r="GPV51" s="310"/>
      <c r="GPW51" s="310"/>
      <c r="GPX51" s="310"/>
      <c r="GPY51" s="310"/>
      <c r="GPZ51" s="310"/>
      <c r="GQA51" s="310"/>
      <c r="GQB51" s="310"/>
      <c r="GQC51" s="310"/>
      <c r="GQD51" s="310"/>
      <c r="GQE51" s="310"/>
      <c r="GQF51" s="310"/>
      <c r="GQG51" s="310"/>
      <c r="GQH51" s="310"/>
      <c r="GQI51" s="310"/>
      <c r="GQJ51" s="310"/>
      <c r="GQK51" s="310"/>
      <c r="GQL51" s="310"/>
      <c r="GQM51" s="310"/>
      <c r="GQN51" s="310"/>
      <c r="GQO51" s="310"/>
      <c r="GQP51" s="310"/>
      <c r="GQQ51" s="310"/>
      <c r="GQR51" s="310"/>
      <c r="GQS51" s="310"/>
      <c r="GQT51" s="310"/>
      <c r="GQU51" s="310"/>
      <c r="GQV51" s="310"/>
      <c r="GQW51" s="310"/>
      <c r="GQX51" s="310"/>
      <c r="GQY51" s="310"/>
      <c r="GQZ51" s="310"/>
      <c r="GRA51" s="310"/>
      <c r="GRB51" s="310"/>
      <c r="GRC51" s="310"/>
      <c r="GRD51" s="310"/>
      <c r="GRE51" s="310"/>
      <c r="GRF51" s="310"/>
      <c r="GRG51" s="310"/>
      <c r="GRH51" s="310"/>
      <c r="GRI51" s="310"/>
      <c r="GRJ51" s="310"/>
      <c r="GRK51" s="310"/>
      <c r="GRL51" s="310"/>
      <c r="GRM51" s="310"/>
      <c r="GRN51" s="310"/>
      <c r="GRO51" s="310"/>
      <c r="GRP51" s="310"/>
      <c r="GRQ51" s="310"/>
      <c r="GRR51" s="310"/>
      <c r="GRS51" s="310"/>
      <c r="GRT51" s="310"/>
      <c r="GRU51" s="310"/>
      <c r="GRV51" s="310"/>
      <c r="GRW51" s="310"/>
      <c r="GRX51" s="310"/>
      <c r="GRY51" s="310"/>
      <c r="GRZ51" s="310"/>
      <c r="GSA51" s="310"/>
      <c r="GSB51" s="310"/>
      <c r="GSC51" s="310"/>
      <c r="GSD51" s="310"/>
      <c r="GSE51" s="310"/>
      <c r="GSF51" s="310"/>
      <c r="GSG51" s="310"/>
      <c r="GSH51" s="310"/>
      <c r="GSI51" s="310"/>
      <c r="GSJ51" s="310"/>
      <c r="GSK51" s="310"/>
      <c r="GSL51" s="310"/>
      <c r="GSM51" s="310"/>
      <c r="GSN51" s="310"/>
      <c r="GSO51" s="310"/>
      <c r="GSP51" s="310"/>
      <c r="GSQ51" s="310"/>
      <c r="GSR51" s="310"/>
      <c r="GSS51" s="310"/>
      <c r="GST51" s="310"/>
      <c r="GSU51" s="310"/>
      <c r="GSV51" s="310"/>
      <c r="GSW51" s="310"/>
      <c r="GSX51" s="310"/>
      <c r="GSY51" s="310"/>
      <c r="GSZ51" s="310"/>
      <c r="GTA51" s="310"/>
      <c r="GTB51" s="310"/>
      <c r="GTC51" s="310"/>
      <c r="GTD51" s="310"/>
      <c r="GTE51" s="310"/>
      <c r="GTF51" s="310"/>
      <c r="GTG51" s="310"/>
      <c r="GTH51" s="310"/>
      <c r="GTI51" s="310"/>
      <c r="GTJ51" s="310"/>
      <c r="GTK51" s="310"/>
      <c r="GTL51" s="310"/>
      <c r="GTM51" s="310"/>
      <c r="GTN51" s="310"/>
      <c r="GTO51" s="310"/>
      <c r="GTP51" s="310"/>
      <c r="GTQ51" s="310"/>
      <c r="GTR51" s="310"/>
      <c r="GTS51" s="310"/>
      <c r="GTT51" s="310"/>
      <c r="GTU51" s="310"/>
      <c r="GTV51" s="310"/>
      <c r="GTW51" s="310"/>
      <c r="GTX51" s="310"/>
      <c r="GTY51" s="310"/>
      <c r="GTZ51" s="310"/>
      <c r="GUA51" s="310"/>
      <c r="GUB51" s="310"/>
      <c r="GUC51" s="310"/>
      <c r="GUD51" s="310"/>
      <c r="GUE51" s="310"/>
      <c r="GUF51" s="310"/>
      <c r="GUG51" s="310"/>
      <c r="GUH51" s="310"/>
      <c r="GUI51" s="310"/>
      <c r="GUJ51" s="310"/>
      <c r="GUK51" s="310"/>
      <c r="GUL51" s="310"/>
      <c r="GUM51" s="310"/>
      <c r="GUN51" s="310"/>
      <c r="GUO51" s="310"/>
      <c r="GUP51" s="310"/>
      <c r="GUQ51" s="310"/>
      <c r="GUR51" s="310"/>
      <c r="GUS51" s="310"/>
      <c r="GUT51" s="310"/>
      <c r="GUU51" s="310"/>
      <c r="GUV51" s="310"/>
      <c r="GUW51" s="310"/>
      <c r="GUX51" s="310"/>
      <c r="GUY51" s="310"/>
      <c r="GUZ51" s="310"/>
      <c r="GVA51" s="310"/>
      <c r="GVB51" s="310"/>
      <c r="GVC51" s="310"/>
      <c r="GVD51" s="310"/>
      <c r="GVE51" s="310"/>
      <c r="GVF51" s="310"/>
      <c r="GVG51" s="310"/>
      <c r="GVH51" s="310"/>
      <c r="GVI51" s="310"/>
      <c r="GVJ51" s="310"/>
      <c r="GVK51" s="310"/>
      <c r="GVL51" s="310"/>
      <c r="GVM51" s="310"/>
      <c r="GVN51" s="310"/>
      <c r="GVO51" s="310"/>
      <c r="GVP51" s="310"/>
      <c r="GVQ51" s="310"/>
      <c r="GVR51" s="310"/>
      <c r="GVS51" s="310"/>
      <c r="GVT51" s="310"/>
      <c r="GVU51" s="310"/>
      <c r="GVV51" s="310"/>
      <c r="GVW51" s="310"/>
      <c r="GVX51" s="310"/>
      <c r="GVY51" s="310"/>
      <c r="GVZ51" s="310"/>
      <c r="GWA51" s="310"/>
      <c r="GWB51" s="310"/>
      <c r="GWC51" s="310"/>
      <c r="GWD51" s="310"/>
      <c r="GWE51" s="310"/>
      <c r="GWF51" s="310"/>
      <c r="GWG51" s="310"/>
      <c r="GWH51" s="310"/>
      <c r="GWI51" s="310"/>
      <c r="GWJ51" s="310"/>
      <c r="GWK51" s="310"/>
      <c r="GWL51" s="310"/>
      <c r="GWM51" s="310"/>
      <c r="GWN51" s="310"/>
      <c r="GWO51" s="310"/>
      <c r="GWP51" s="310"/>
      <c r="GWQ51" s="310"/>
      <c r="GWR51" s="310"/>
      <c r="GWS51" s="310"/>
      <c r="GWT51" s="310"/>
      <c r="GWU51" s="310"/>
      <c r="GWV51" s="310"/>
      <c r="GWW51" s="310"/>
      <c r="GWX51" s="310"/>
      <c r="GWY51" s="310"/>
      <c r="GWZ51" s="310"/>
      <c r="GXA51" s="310"/>
      <c r="GXB51" s="310"/>
      <c r="GXC51" s="310"/>
      <c r="GXD51" s="310"/>
      <c r="GXE51" s="310"/>
      <c r="GXF51" s="310"/>
      <c r="GXG51" s="310"/>
      <c r="GXH51" s="310"/>
      <c r="GXI51" s="310"/>
      <c r="GXJ51" s="310"/>
      <c r="GXK51" s="310"/>
      <c r="GXL51" s="310"/>
      <c r="GXM51" s="310"/>
      <c r="GXN51" s="310"/>
      <c r="GXO51" s="310"/>
      <c r="GXP51" s="310"/>
      <c r="GXQ51" s="310"/>
      <c r="GXR51" s="310"/>
      <c r="GXS51" s="310"/>
      <c r="GXT51" s="310"/>
      <c r="GXU51" s="310"/>
      <c r="GXV51" s="310"/>
      <c r="GXW51" s="310"/>
      <c r="GXX51" s="310"/>
      <c r="GXY51" s="310"/>
      <c r="GXZ51" s="310"/>
      <c r="GYA51" s="310"/>
      <c r="GYB51" s="310"/>
      <c r="GYC51" s="310"/>
      <c r="GYD51" s="310"/>
      <c r="GYE51" s="310"/>
      <c r="GYF51" s="310"/>
      <c r="GYG51" s="310"/>
      <c r="GYH51" s="310"/>
      <c r="GYI51" s="310"/>
      <c r="GYJ51" s="310"/>
      <c r="GYK51" s="310"/>
      <c r="GYL51" s="310"/>
      <c r="GYM51" s="310"/>
      <c r="GYN51" s="310"/>
      <c r="GYO51" s="310"/>
      <c r="GYP51" s="310"/>
      <c r="GYQ51" s="310"/>
      <c r="GYR51" s="310"/>
      <c r="GYS51" s="310"/>
      <c r="GYT51" s="310"/>
      <c r="GYU51" s="310"/>
      <c r="GYV51" s="310"/>
      <c r="GYW51" s="310"/>
      <c r="GYX51" s="310"/>
      <c r="GYY51" s="310"/>
      <c r="GYZ51" s="310"/>
      <c r="GZA51" s="310"/>
      <c r="GZB51" s="310"/>
      <c r="GZC51" s="310"/>
      <c r="GZD51" s="310"/>
      <c r="GZE51" s="310"/>
      <c r="GZF51" s="310"/>
      <c r="GZG51" s="310"/>
      <c r="GZH51" s="310"/>
      <c r="GZI51" s="310"/>
      <c r="GZJ51" s="310"/>
      <c r="GZK51" s="310"/>
      <c r="GZL51" s="310"/>
      <c r="GZM51" s="310"/>
      <c r="GZN51" s="310"/>
      <c r="GZO51" s="310"/>
      <c r="GZP51" s="310"/>
      <c r="GZQ51" s="310"/>
      <c r="GZR51" s="310"/>
      <c r="GZS51" s="310"/>
      <c r="GZT51" s="310"/>
      <c r="GZU51" s="310"/>
      <c r="GZV51" s="310"/>
      <c r="GZW51" s="310"/>
      <c r="GZX51" s="310"/>
      <c r="GZY51" s="310"/>
      <c r="GZZ51" s="310"/>
      <c r="HAA51" s="310"/>
      <c r="HAB51" s="310"/>
      <c r="HAC51" s="310"/>
      <c r="HAD51" s="310"/>
      <c r="HAE51" s="310"/>
      <c r="HAF51" s="310"/>
      <c r="HAG51" s="310"/>
      <c r="HAH51" s="310"/>
      <c r="HAI51" s="310"/>
      <c r="HAJ51" s="310"/>
      <c r="HAK51" s="310"/>
      <c r="HAL51" s="310"/>
      <c r="HAM51" s="310"/>
      <c r="HAN51" s="310"/>
      <c r="HAO51" s="310"/>
      <c r="HAP51" s="310"/>
      <c r="HAQ51" s="310"/>
      <c r="HAR51" s="310"/>
      <c r="HAS51" s="310"/>
      <c r="HAT51" s="310"/>
      <c r="HAU51" s="310"/>
      <c r="HAV51" s="310"/>
      <c r="HAW51" s="310"/>
      <c r="HAX51" s="310"/>
      <c r="HAY51" s="310"/>
      <c r="HAZ51" s="310"/>
      <c r="HBA51" s="310"/>
      <c r="HBB51" s="310"/>
      <c r="HBC51" s="310"/>
      <c r="HBD51" s="310"/>
      <c r="HBE51" s="310"/>
      <c r="HBF51" s="310"/>
      <c r="HBG51" s="310"/>
      <c r="HBH51" s="310"/>
      <c r="HBI51" s="310"/>
      <c r="HBJ51" s="310"/>
      <c r="HBK51" s="310"/>
      <c r="HBL51" s="310"/>
      <c r="HBM51" s="310"/>
      <c r="HBN51" s="310"/>
      <c r="HBO51" s="310"/>
      <c r="HBP51" s="310"/>
      <c r="HBQ51" s="310"/>
      <c r="HBR51" s="310"/>
      <c r="HBS51" s="310"/>
      <c r="HBT51" s="310"/>
      <c r="HBU51" s="310"/>
      <c r="HBV51" s="310"/>
      <c r="HBW51" s="310"/>
      <c r="HBX51" s="310"/>
      <c r="HBY51" s="310"/>
      <c r="HBZ51" s="310"/>
      <c r="HCA51" s="310"/>
      <c r="HCB51" s="310"/>
      <c r="HCC51" s="310"/>
      <c r="HCD51" s="310"/>
      <c r="HCE51" s="310"/>
      <c r="HCF51" s="310"/>
      <c r="HCG51" s="310"/>
      <c r="HCH51" s="310"/>
      <c r="HCI51" s="310"/>
      <c r="HCJ51" s="310"/>
      <c r="HCK51" s="310"/>
      <c r="HCL51" s="310"/>
      <c r="HCM51" s="310"/>
      <c r="HCN51" s="310"/>
      <c r="HCO51" s="310"/>
      <c r="HCP51" s="310"/>
      <c r="HCQ51" s="310"/>
      <c r="HCR51" s="310"/>
      <c r="HCS51" s="310"/>
      <c r="HCT51" s="310"/>
      <c r="HCU51" s="310"/>
      <c r="HCV51" s="310"/>
      <c r="HCW51" s="310"/>
      <c r="HCX51" s="310"/>
      <c r="HCY51" s="310"/>
      <c r="HCZ51" s="310"/>
      <c r="HDA51" s="310"/>
      <c r="HDB51" s="310"/>
      <c r="HDC51" s="310"/>
      <c r="HDD51" s="310"/>
      <c r="HDE51" s="310"/>
      <c r="HDF51" s="310"/>
      <c r="HDG51" s="310"/>
      <c r="HDH51" s="310"/>
      <c r="HDI51" s="310"/>
      <c r="HDJ51" s="310"/>
      <c r="HDK51" s="310"/>
      <c r="HDL51" s="310"/>
      <c r="HDM51" s="310"/>
      <c r="HDN51" s="310"/>
      <c r="HDO51" s="310"/>
      <c r="HDP51" s="310"/>
      <c r="HDQ51" s="310"/>
      <c r="HDR51" s="310"/>
      <c r="HDS51" s="310"/>
      <c r="HDT51" s="310"/>
      <c r="HDU51" s="310"/>
      <c r="HDV51" s="310"/>
      <c r="HDW51" s="310"/>
      <c r="HDX51" s="310"/>
      <c r="HDY51" s="310"/>
      <c r="HDZ51" s="310"/>
      <c r="HEA51" s="310"/>
      <c r="HEB51" s="310"/>
      <c r="HEC51" s="310"/>
      <c r="HED51" s="310"/>
      <c r="HEE51" s="310"/>
      <c r="HEF51" s="310"/>
      <c r="HEG51" s="310"/>
      <c r="HEH51" s="310"/>
      <c r="HEI51" s="310"/>
      <c r="HEJ51" s="310"/>
      <c r="HEK51" s="310"/>
      <c r="HEL51" s="310"/>
      <c r="HEM51" s="310"/>
      <c r="HEN51" s="310"/>
      <c r="HEO51" s="310"/>
      <c r="HEP51" s="310"/>
      <c r="HEQ51" s="310"/>
      <c r="HER51" s="310"/>
      <c r="HES51" s="310"/>
      <c r="HET51" s="310"/>
      <c r="HEU51" s="310"/>
      <c r="HEV51" s="310"/>
      <c r="HEW51" s="310"/>
      <c r="HEX51" s="310"/>
      <c r="HEY51" s="310"/>
      <c r="HEZ51" s="310"/>
      <c r="HFA51" s="310"/>
      <c r="HFB51" s="310"/>
      <c r="HFC51" s="310"/>
      <c r="HFD51" s="310"/>
      <c r="HFE51" s="310"/>
      <c r="HFF51" s="310"/>
      <c r="HFG51" s="310"/>
      <c r="HFH51" s="310"/>
      <c r="HFI51" s="310"/>
      <c r="HFJ51" s="310"/>
      <c r="HFK51" s="310"/>
      <c r="HFL51" s="310"/>
      <c r="HFM51" s="310"/>
      <c r="HFN51" s="310"/>
      <c r="HFO51" s="310"/>
      <c r="HFP51" s="310"/>
      <c r="HFQ51" s="310"/>
      <c r="HFR51" s="310"/>
      <c r="HFS51" s="310"/>
      <c r="HFT51" s="310"/>
      <c r="HFU51" s="310"/>
      <c r="HFV51" s="310"/>
      <c r="HFW51" s="310"/>
      <c r="HFX51" s="310"/>
      <c r="HFY51" s="310"/>
      <c r="HFZ51" s="310"/>
      <c r="HGA51" s="310"/>
      <c r="HGB51" s="310"/>
      <c r="HGC51" s="310"/>
      <c r="HGD51" s="310"/>
      <c r="HGE51" s="310"/>
      <c r="HGF51" s="310"/>
      <c r="HGG51" s="310"/>
      <c r="HGH51" s="310"/>
      <c r="HGI51" s="310"/>
      <c r="HGJ51" s="310"/>
      <c r="HGK51" s="310"/>
      <c r="HGL51" s="310"/>
      <c r="HGM51" s="310"/>
      <c r="HGN51" s="310"/>
      <c r="HGO51" s="310"/>
      <c r="HGP51" s="310"/>
      <c r="HGQ51" s="310"/>
      <c r="HGR51" s="310"/>
      <c r="HGS51" s="310"/>
      <c r="HGT51" s="310"/>
      <c r="HGU51" s="310"/>
      <c r="HGV51" s="310"/>
      <c r="HGW51" s="310"/>
      <c r="HGX51" s="310"/>
      <c r="HGY51" s="310"/>
      <c r="HGZ51" s="310"/>
      <c r="HHA51" s="310"/>
      <c r="HHB51" s="310"/>
      <c r="HHC51" s="310"/>
      <c r="HHD51" s="310"/>
      <c r="HHE51" s="310"/>
      <c r="HHF51" s="310"/>
      <c r="HHG51" s="310"/>
      <c r="HHH51" s="310"/>
      <c r="HHI51" s="310"/>
      <c r="HHJ51" s="310"/>
      <c r="HHK51" s="310"/>
      <c r="HHL51" s="310"/>
      <c r="HHM51" s="310"/>
      <c r="HHN51" s="310"/>
      <c r="HHO51" s="310"/>
      <c r="HHP51" s="310"/>
      <c r="HHQ51" s="310"/>
      <c r="HHR51" s="310"/>
      <c r="HHS51" s="310"/>
      <c r="HHT51" s="310"/>
      <c r="HHU51" s="310"/>
      <c r="HHV51" s="310"/>
      <c r="HHW51" s="310"/>
      <c r="HHX51" s="310"/>
      <c r="HHY51" s="310"/>
      <c r="HHZ51" s="310"/>
      <c r="HIA51" s="310"/>
      <c r="HIB51" s="310"/>
      <c r="HIC51" s="310"/>
      <c r="HID51" s="310"/>
      <c r="HIE51" s="310"/>
      <c r="HIF51" s="310"/>
      <c r="HIG51" s="310"/>
      <c r="HIH51" s="310"/>
      <c r="HII51" s="310"/>
      <c r="HIJ51" s="310"/>
      <c r="HIK51" s="310"/>
      <c r="HIL51" s="310"/>
      <c r="HIM51" s="310"/>
      <c r="HIN51" s="310"/>
      <c r="HIO51" s="310"/>
      <c r="HIP51" s="310"/>
      <c r="HIQ51" s="310"/>
      <c r="HIR51" s="310"/>
      <c r="HIS51" s="310"/>
      <c r="HIT51" s="310"/>
      <c r="HIU51" s="310"/>
      <c r="HIV51" s="310"/>
      <c r="HIW51" s="310"/>
      <c r="HIX51" s="310"/>
      <c r="HIY51" s="310"/>
      <c r="HIZ51" s="310"/>
      <c r="HJA51" s="310"/>
      <c r="HJB51" s="310"/>
      <c r="HJC51" s="310"/>
      <c r="HJD51" s="310"/>
      <c r="HJE51" s="310"/>
      <c r="HJF51" s="310"/>
      <c r="HJG51" s="310"/>
      <c r="HJH51" s="310"/>
      <c r="HJI51" s="310"/>
      <c r="HJJ51" s="310"/>
      <c r="HJK51" s="310"/>
      <c r="HJL51" s="310"/>
      <c r="HJM51" s="310"/>
      <c r="HJN51" s="310"/>
      <c r="HJO51" s="310"/>
      <c r="HJP51" s="310"/>
      <c r="HJQ51" s="310"/>
      <c r="HJR51" s="310"/>
      <c r="HJS51" s="310"/>
      <c r="HJT51" s="310"/>
      <c r="HJU51" s="310"/>
      <c r="HJV51" s="310"/>
      <c r="HJW51" s="310"/>
      <c r="HJX51" s="310"/>
      <c r="HJY51" s="310"/>
      <c r="HJZ51" s="310"/>
      <c r="HKA51" s="310"/>
      <c r="HKB51" s="310"/>
      <c r="HKC51" s="310"/>
      <c r="HKD51" s="310"/>
      <c r="HKE51" s="310"/>
      <c r="HKF51" s="310"/>
      <c r="HKG51" s="310"/>
      <c r="HKH51" s="310"/>
      <c r="HKI51" s="310"/>
      <c r="HKJ51" s="310"/>
      <c r="HKK51" s="310"/>
      <c r="HKL51" s="310"/>
      <c r="HKM51" s="310"/>
      <c r="HKN51" s="310"/>
      <c r="HKO51" s="310"/>
      <c r="HKP51" s="310"/>
      <c r="HKQ51" s="310"/>
      <c r="HKR51" s="310"/>
      <c r="HKS51" s="310"/>
      <c r="HKT51" s="310"/>
      <c r="HKU51" s="310"/>
      <c r="HKV51" s="310"/>
      <c r="HKW51" s="310"/>
      <c r="HKX51" s="310"/>
      <c r="HKY51" s="310"/>
      <c r="HKZ51" s="310"/>
      <c r="HLA51" s="310"/>
      <c r="HLB51" s="310"/>
      <c r="HLC51" s="310"/>
      <c r="HLD51" s="310"/>
      <c r="HLE51" s="310"/>
      <c r="HLF51" s="310"/>
      <c r="HLG51" s="310"/>
      <c r="HLH51" s="310"/>
      <c r="HLI51" s="310"/>
      <c r="HLJ51" s="310"/>
      <c r="HLK51" s="310"/>
      <c r="HLL51" s="310"/>
      <c r="HLM51" s="310"/>
      <c r="HLN51" s="310"/>
      <c r="HLO51" s="310"/>
      <c r="HLP51" s="310"/>
      <c r="HLQ51" s="310"/>
      <c r="HLR51" s="310"/>
      <c r="HLS51" s="310"/>
      <c r="HLT51" s="310"/>
      <c r="HLU51" s="310"/>
      <c r="HLV51" s="310"/>
      <c r="HLW51" s="310"/>
      <c r="HLX51" s="310"/>
      <c r="HLY51" s="310"/>
      <c r="HLZ51" s="310"/>
      <c r="HMA51" s="310"/>
      <c r="HMB51" s="310"/>
      <c r="HMC51" s="310"/>
      <c r="HMD51" s="310"/>
      <c r="HME51" s="310"/>
      <c r="HMF51" s="310"/>
      <c r="HMG51" s="310"/>
      <c r="HMH51" s="310"/>
      <c r="HMI51" s="310"/>
      <c r="HMJ51" s="310"/>
      <c r="HMK51" s="310"/>
      <c r="HML51" s="310"/>
      <c r="HMM51" s="310"/>
      <c r="HMN51" s="310"/>
      <c r="HMO51" s="310"/>
      <c r="HMP51" s="310"/>
      <c r="HMQ51" s="310"/>
      <c r="HMR51" s="310"/>
      <c r="HMS51" s="310"/>
      <c r="HMT51" s="310"/>
      <c r="HMU51" s="310"/>
      <c r="HMV51" s="310"/>
      <c r="HMW51" s="310"/>
      <c r="HMX51" s="310"/>
      <c r="HMY51" s="310"/>
      <c r="HMZ51" s="310"/>
      <c r="HNA51" s="310"/>
      <c r="HNB51" s="310"/>
      <c r="HNC51" s="310"/>
      <c r="HND51" s="310"/>
      <c r="HNE51" s="310"/>
      <c r="HNF51" s="310"/>
      <c r="HNG51" s="310"/>
      <c r="HNH51" s="310"/>
      <c r="HNI51" s="310"/>
      <c r="HNJ51" s="310"/>
      <c r="HNK51" s="310"/>
      <c r="HNL51" s="310"/>
      <c r="HNM51" s="310"/>
      <c r="HNN51" s="310"/>
      <c r="HNO51" s="310"/>
      <c r="HNP51" s="310"/>
      <c r="HNQ51" s="310"/>
      <c r="HNR51" s="310"/>
      <c r="HNS51" s="310"/>
      <c r="HNT51" s="310"/>
      <c r="HNU51" s="310"/>
      <c r="HNV51" s="310"/>
      <c r="HNW51" s="310"/>
      <c r="HNX51" s="310"/>
      <c r="HNY51" s="310"/>
      <c r="HNZ51" s="310"/>
      <c r="HOA51" s="310"/>
      <c r="HOB51" s="310"/>
      <c r="HOC51" s="310"/>
      <c r="HOD51" s="310"/>
      <c r="HOE51" s="310"/>
      <c r="HOF51" s="310"/>
      <c r="HOG51" s="310"/>
      <c r="HOH51" s="310"/>
      <c r="HOI51" s="310"/>
      <c r="HOJ51" s="310"/>
      <c r="HOK51" s="310"/>
      <c r="HOL51" s="310"/>
      <c r="HOM51" s="310"/>
      <c r="HON51" s="310"/>
      <c r="HOO51" s="310"/>
      <c r="HOP51" s="310"/>
      <c r="HOQ51" s="310"/>
      <c r="HOR51" s="310"/>
      <c r="HOS51" s="310"/>
      <c r="HOT51" s="310"/>
      <c r="HOU51" s="310"/>
      <c r="HOV51" s="310"/>
      <c r="HOW51" s="310"/>
      <c r="HOX51" s="310"/>
      <c r="HOY51" s="310"/>
      <c r="HOZ51" s="310"/>
      <c r="HPA51" s="310"/>
      <c r="HPB51" s="310"/>
      <c r="HPC51" s="310"/>
      <c r="HPD51" s="310"/>
      <c r="HPE51" s="310"/>
      <c r="HPF51" s="310"/>
      <c r="HPG51" s="310"/>
      <c r="HPH51" s="310"/>
      <c r="HPI51" s="310"/>
      <c r="HPJ51" s="310"/>
      <c r="HPK51" s="310"/>
      <c r="HPL51" s="310"/>
      <c r="HPM51" s="310"/>
      <c r="HPN51" s="310"/>
      <c r="HPO51" s="310"/>
      <c r="HPP51" s="310"/>
      <c r="HPQ51" s="310"/>
      <c r="HPR51" s="310"/>
      <c r="HPS51" s="310"/>
      <c r="HPT51" s="310"/>
      <c r="HPU51" s="310"/>
      <c r="HPV51" s="310"/>
      <c r="HPW51" s="310"/>
      <c r="HPX51" s="310"/>
      <c r="HPY51" s="310"/>
      <c r="HPZ51" s="310"/>
      <c r="HQA51" s="310"/>
      <c r="HQB51" s="310"/>
      <c r="HQC51" s="310"/>
      <c r="HQD51" s="310"/>
      <c r="HQE51" s="310"/>
      <c r="HQF51" s="310"/>
      <c r="HQG51" s="310"/>
      <c r="HQH51" s="310"/>
      <c r="HQI51" s="310"/>
      <c r="HQJ51" s="310"/>
      <c r="HQK51" s="310"/>
      <c r="HQL51" s="310"/>
      <c r="HQM51" s="310"/>
      <c r="HQN51" s="310"/>
      <c r="HQO51" s="310"/>
      <c r="HQP51" s="310"/>
      <c r="HQQ51" s="310"/>
      <c r="HQR51" s="310"/>
      <c r="HQS51" s="310"/>
      <c r="HQT51" s="310"/>
      <c r="HQU51" s="310"/>
      <c r="HQV51" s="310"/>
      <c r="HQW51" s="310"/>
      <c r="HQX51" s="310"/>
      <c r="HQY51" s="310"/>
      <c r="HQZ51" s="310"/>
      <c r="HRA51" s="310"/>
      <c r="HRB51" s="310"/>
      <c r="HRC51" s="310"/>
      <c r="HRD51" s="310"/>
      <c r="HRE51" s="310"/>
      <c r="HRF51" s="310"/>
      <c r="HRG51" s="310"/>
      <c r="HRH51" s="310"/>
      <c r="HRI51" s="310"/>
      <c r="HRJ51" s="310"/>
      <c r="HRK51" s="310"/>
      <c r="HRL51" s="310"/>
      <c r="HRM51" s="310"/>
      <c r="HRN51" s="310"/>
      <c r="HRO51" s="310"/>
      <c r="HRP51" s="310"/>
      <c r="HRQ51" s="310"/>
      <c r="HRR51" s="310"/>
      <c r="HRS51" s="310"/>
      <c r="HRT51" s="310"/>
      <c r="HRU51" s="310"/>
      <c r="HRV51" s="310"/>
      <c r="HRW51" s="310"/>
      <c r="HRX51" s="310"/>
      <c r="HRY51" s="310"/>
      <c r="HRZ51" s="310"/>
      <c r="HSA51" s="310"/>
      <c r="HSB51" s="310"/>
      <c r="HSC51" s="310"/>
      <c r="HSD51" s="310"/>
      <c r="HSE51" s="310"/>
      <c r="HSF51" s="310"/>
      <c r="HSG51" s="310"/>
      <c r="HSH51" s="310"/>
      <c r="HSI51" s="310"/>
      <c r="HSJ51" s="310"/>
      <c r="HSK51" s="310"/>
      <c r="HSL51" s="310"/>
      <c r="HSM51" s="310"/>
      <c r="HSN51" s="310"/>
      <c r="HSO51" s="310"/>
      <c r="HSP51" s="310"/>
      <c r="HSQ51" s="310"/>
      <c r="HSR51" s="310"/>
      <c r="HSS51" s="310"/>
      <c r="HST51" s="310"/>
      <c r="HSU51" s="310"/>
      <c r="HSV51" s="310"/>
      <c r="HSW51" s="310"/>
      <c r="HSX51" s="310"/>
      <c r="HSY51" s="310"/>
      <c r="HSZ51" s="310"/>
      <c r="HTA51" s="310"/>
      <c r="HTB51" s="310"/>
      <c r="HTC51" s="310"/>
      <c r="HTD51" s="310"/>
      <c r="HTE51" s="310"/>
      <c r="HTF51" s="310"/>
      <c r="HTG51" s="310"/>
      <c r="HTH51" s="310"/>
      <c r="HTI51" s="310"/>
      <c r="HTJ51" s="310"/>
      <c r="HTK51" s="310"/>
      <c r="HTL51" s="310"/>
      <c r="HTM51" s="310"/>
      <c r="HTN51" s="310"/>
      <c r="HTO51" s="310"/>
      <c r="HTP51" s="310"/>
      <c r="HTQ51" s="310"/>
      <c r="HTR51" s="310"/>
      <c r="HTS51" s="310"/>
      <c r="HTT51" s="310"/>
      <c r="HTU51" s="310"/>
      <c r="HTV51" s="310"/>
      <c r="HTW51" s="310"/>
      <c r="HTX51" s="310"/>
      <c r="HTY51" s="310"/>
      <c r="HTZ51" s="310"/>
      <c r="HUA51" s="310"/>
      <c r="HUB51" s="310"/>
      <c r="HUC51" s="310"/>
      <c r="HUD51" s="310"/>
      <c r="HUE51" s="310"/>
      <c r="HUF51" s="310"/>
      <c r="HUG51" s="310"/>
      <c r="HUH51" s="310"/>
      <c r="HUI51" s="310"/>
      <c r="HUJ51" s="310"/>
      <c r="HUK51" s="310"/>
      <c r="HUL51" s="310"/>
      <c r="HUM51" s="310"/>
      <c r="HUN51" s="310"/>
      <c r="HUO51" s="310"/>
      <c r="HUP51" s="310"/>
      <c r="HUQ51" s="310"/>
      <c r="HUR51" s="310"/>
      <c r="HUS51" s="310"/>
      <c r="HUT51" s="310"/>
      <c r="HUU51" s="310"/>
      <c r="HUV51" s="310"/>
      <c r="HUW51" s="310"/>
      <c r="HUX51" s="310"/>
      <c r="HUY51" s="310"/>
      <c r="HUZ51" s="310"/>
      <c r="HVA51" s="310"/>
      <c r="HVB51" s="310"/>
      <c r="HVC51" s="310"/>
      <c r="HVD51" s="310"/>
      <c r="HVE51" s="310"/>
      <c r="HVF51" s="310"/>
      <c r="HVG51" s="310"/>
      <c r="HVH51" s="310"/>
      <c r="HVI51" s="310"/>
      <c r="HVJ51" s="310"/>
      <c r="HVK51" s="310"/>
      <c r="HVL51" s="310"/>
      <c r="HVM51" s="310"/>
      <c r="HVN51" s="310"/>
      <c r="HVO51" s="310"/>
      <c r="HVP51" s="310"/>
      <c r="HVQ51" s="310"/>
      <c r="HVR51" s="310"/>
      <c r="HVS51" s="310"/>
      <c r="HVT51" s="310"/>
      <c r="HVU51" s="310"/>
      <c r="HVV51" s="310"/>
      <c r="HVW51" s="310"/>
      <c r="HVX51" s="310"/>
      <c r="HVY51" s="310"/>
      <c r="HVZ51" s="310"/>
      <c r="HWA51" s="310"/>
      <c r="HWB51" s="310"/>
      <c r="HWC51" s="310"/>
      <c r="HWD51" s="310"/>
      <c r="HWE51" s="310"/>
      <c r="HWF51" s="310"/>
      <c r="HWG51" s="310"/>
      <c r="HWH51" s="310"/>
      <c r="HWI51" s="310"/>
      <c r="HWJ51" s="310"/>
      <c r="HWK51" s="310"/>
      <c r="HWL51" s="310"/>
      <c r="HWM51" s="310"/>
      <c r="HWN51" s="310"/>
      <c r="HWO51" s="310"/>
      <c r="HWP51" s="310"/>
      <c r="HWQ51" s="310"/>
      <c r="HWR51" s="310"/>
      <c r="HWS51" s="310"/>
      <c r="HWT51" s="310"/>
      <c r="HWU51" s="310"/>
      <c r="HWV51" s="310"/>
      <c r="HWW51" s="310"/>
      <c r="HWX51" s="310"/>
      <c r="HWY51" s="310"/>
      <c r="HWZ51" s="310"/>
      <c r="HXA51" s="310"/>
      <c r="HXB51" s="310"/>
      <c r="HXC51" s="310"/>
      <c r="HXD51" s="310"/>
      <c r="HXE51" s="310"/>
      <c r="HXF51" s="310"/>
      <c r="HXG51" s="310"/>
      <c r="HXH51" s="310"/>
      <c r="HXI51" s="310"/>
      <c r="HXJ51" s="310"/>
      <c r="HXK51" s="310"/>
      <c r="HXL51" s="310"/>
      <c r="HXM51" s="310"/>
      <c r="HXN51" s="310"/>
      <c r="HXO51" s="310"/>
      <c r="HXP51" s="310"/>
      <c r="HXQ51" s="310"/>
      <c r="HXR51" s="310"/>
      <c r="HXS51" s="310"/>
      <c r="HXT51" s="310"/>
      <c r="HXU51" s="310"/>
      <c r="HXV51" s="310"/>
      <c r="HXW51" s="310"/>
      <c r="HXX51" s="310"/>
      <c r="HXY51" s="310"/>
      <c r="HXZ51" s="310"/>
      <c r="HYA51" s="310"/>
      <c r="HYB51" s="310"/>
      <c r="HYC51" s="310"/>
      <c r="HYD51" s="310"/>
      <c r="HYE51" s="310"/>
      <c r="HYF51" s="310"/>
      <c r="HYG51" s="310"/>
      <c r="HYH51" s="310"/>
      <c r="HYI51" s="310"/>
      <c r="HYJ51" s="310"/>
      <c r="HYK51" s="310"/>
      <c r="HYL51" s="310"/>
      <c r="HYM51" s="310"/>
      <c r="HYN51" s="310"/>
      <c r="HYO51" s="310"/>
      <c r="HYP51" s="310"/>
      <c r="HYQ51" s="310"/>
      <c r="HYR51" s="310"/>
      <c r="HYS51" s="310"/>
      <c r="HYT51" s="310"/>
      <c r="HYU51" s="310"/>
      <c r="HYV51" s="310"/>
      <c r="HYW51" s="310"/>
      <c r="HYX51" s="310"/>
      <c r="HYY51" s="310"/>
      <c r="HYZ51" s="310"/>
      <c r="HZA51" s="310"/>
      <c r="HZB51" s="310"/>
      <c r="HZC51" s="310"/>
      <c r="HZD51" s="310"/>
      <c r="HZE51" s="310"/>
      <c r="HZF51" s="310"/>
      <c r="HZG51" s="310"/>
      <c r="HZH51" s="310"/>
      <c r="HZI51" s="310"/>
      <c r="HZJ51" s="310"/>
      <c r="HZK51" s="310"/>
      <c r="HZL51" s="310"/>
      <c r="HZM51" s="310"/>
      <c r="HZN51" s="310"/>
      <c r="HZO51" s="310"/>
      <c r="HZP51" s="310"/>
      <c r="HZQ51" s="310"/>
      <c r="HZR51" s="310"/>
      <c r="HZS51" s="310"/>
      <c r="HZT51" s="310"/>
      <c r="HZU51" s="310"/>
      <c r="HZV51" s="310"/>
      <c r="HZW51" s="310"/>
      <c r="HZX51" s="310"/>
      <c r="HZY51" s="310"/>
      <c r="HZZ51" s="310"/>
      <c r="IAA51" s="310"/>
      <c r="IAB51" s="310"/>
      <c r="IAC51" s="310"/>
      <c r="IAD51" s="310"/>
      <c r="IAE51" s="310"/>
      <c r="IAF51" s="310"/>
      <c r="IAG51" s="310"/>
      <c r="IAH51" s="310"/>
      <c r="IAI51" s="310"/>
      <c r="IAJ51" s="310"/>
      <c r="IAK51" s="310"/>
      <c r="IAL51" s="310"/>
      <c r="IAM51" s="310"/>
      <c r="IAN51" s="310"/>
      <c r="IAO51" s="310"/>
      <c r="IAP51" s="310"/>
      <c r="IAQ51" s="310"/>
      <c r="IAR51" s="310"/>
      <c r="IAS51" s="310"/>
      <c r="IAT51" s="310"/>
      <c r="IAU51" s="310"/>
      <c r="IAV51" s="310"/>
      <c r="IAW51" s="310"/>
      <c r="IAX51" s="310"/>
      <c r="IAY51" s="310"/>
      <c r="IAZ51" s="310"/>
      <c r="IBA51" s="310"/>
      <c r="IBB51" s="310"/>
      <c r="IBC51" s="310"/>
      <c r="IBD51" s="310"/>
      <c r="IBE51" s="310"/>
      <c r="IBF51" s="310"/>
      <c r="IBG51" s="310"/>
      <c r="IBH51" s="310"/>
      <c r="IBI51" s="310"/>
      <c r="IBJ51" s="310"/>
      <c r="IBK51" s="310"/>
      <c r="IBL51" s="310"/>
      <c r="IBM51" s="310"/>
      <c r="IBN51" s="310"/>
      <c r="IBO51" s="310"/>
      <c r="IBP51" s="310"/>
      <c r="IBQ51" s="310"/>
      <c r="IBR51" s="310"/>
      <c r="IBS51" s="310"/>
      <c r="IBT51" s="310"/>
      <c r="IBU51" s="310"/>
      <c r="IBV51" s="310"/>
      <c r="IBW51" s="310"/>
      <c r="IBX51" s="310"/>
      <c r="IBY51" s="310"/>
      <c r="IBZ51" s="310"/>
      <c r="ICA51" s="310"/>
      <c r="ICB51" s="310"/>
      <c r="ICC51" s="310"/>
      <c r="ICD51" s="310"/>
      <c r="ICE51" s="310"/>
      <c r="ICF51" s="310"/>
      <c r="ICG51" s="310"/>
      <c r="ICH51" s="310"/>
      <c r="ICI51" s="310"/>
      <c r="ICJ51" s="310"/>
      <c r="ICK51" s="310"/>
      <c r="ICL51" s="310"/>
      <c r="ICM51" s="310"/>
      <c r="ICN51" s="310"/>
      <c r="ICO51" s="310"/>
      <c r="ICP51" s="310"/>
      <c r="ICQ51" s="310"/>
      <c r="ICR51" s="310"/>
      <c r="ICS51" s="310"/>
      <c r="ICT51" s="310"/>
      <c r="ICU51" s="310"/>
      <c r="ICV51" s="310"/>
      <c r="ICW51" s="310"/>
      <c r="ICX51" s="310"/>
      <c r="ICY51" s="310"/>
      <c r="ICZ51" s="310"/>
      <c r="IDA51" s="310"/>
      <c r="IDB51" s="310"/>
      <c r="IDC51" s="310"/>
      <c r="IDD51" s="310"/>
      <c r="IDE51" s="310"/>
      <c r="IDF51" s="310"/>
      <c r="IDG51" s="310"/>
      <c r="IDH51" s="310"/>
      <c r="IDI51" s="310"/>
      <c r="IDJ51" s="310"/>
      <c r="IDK51" s="310"/>
      <c r="IDL51" s="310"/>
      <c r="IDM51" s="310"/>
      <c r="IDN51" s="310"/>
      <c r="IDO51" s="310"/>
      <c r="IDP51" s="310"/>
      <c r="IDQ51" s="310"/>
      <c r="IDR51" s="310"/>
      <c r="IDS51" s="310"/>
      <c r="IDT51" s="310"/>
      <c r="IDU51" s="310"/>
      <c r="IDV51" s="310"/>
      <c r="IDW51" s="310"/>
      <c r="IDX51" s="310"/>
      <c r="IDY51" s="310"/>
      <c r="IDZ51" s="310"/>
      <c r="IEA51" s="310"/>
      <c r="IEB51" s="310"/>
      <c r="IEC51" s="310"/>
      <c r="IED51" s="310"/>
      <c r="IEE51" s="310"/>
      <c r="IEF51" s="310"/>
      <c r="IEG51" s="310"/>
      <c r="IEH51" s="310"/>
      <c r="IEI51" s="310"/>
      <c r="IEJ51" s="310"/>
      <c r="IEK51" s="310"/>
      <c r="IEL51" s="310"/>
      <c r="IEM51" s="310"/>
      <c r="IEN51" s="310"/>
      <c r="IEO51" s="310"/>
      <c r="IEP51" s="310"/>
      <c r="IEQ51" s="310"/>
      <c r="IER51" s="310"/>
      <c r="IES51" s="310"/>
      <c r="IET51" s="310"/>
      <c r="IEU51" s="310"/>
      <c r="IEV51" s="310"/>
      <c r="IEW51" s="310"/>
      <c r="IEX51" s="310"/>
      <c r="IEY51" s="310"/>
      <c r="IEZ51" s="310"/>
      <c r="IFA51" s="310"/>
      <c r="IFB51" s="310"/>
      <c r="IFC51" s="310"/>
      <c r="IFD51" s="310"/>
      <c r="IFE51" s="310"/>
      <c r="IFF51" s="310"/>
      <c r="IFG51" s="310"/>
      <c r="IFH51" s="310"/>
      <c r="IFI51" s="310"/>
      <c r="IFJ51" s="310"/>
      <c r="IFK51" s="310"/>
      <c r="IFL51" s="310"/>
      <c r="IFM51" s="310"/>
      <c r="IFN51" s="310"/>
      <c r="IFO51" s="310"/>
      <c r="IFP51" s="310"/>
      <c r="IFQ51" s="310"/>
      <c r="IFR51" s="310"/>
      <c r="IFS51" s="310"/>
      <c r="IFT51" s="310"/>
      <c r="IFU51" s="310"/>
      <c r="IFV51" s="310"/>
      <c r="IFW51" s="310"/>
      <c r="IFX51" s="310"/>
      <c r="IFY51" s="310"/>
      <c r="IFZ51" s="310"/>
      <c r="IGA51" s="310"/>
      <c r="IGB51" s="310"/>
      <c r="IGC51" s="310"/>
      <c r="IGD51" s="310"/>
      <c r="IGE51" s="310"/>
      <c r="IGF51" s="310"/>
      <c r="IGG51" s="310"/>
      <c r="IGH51" s="310"/>
      <c r="IGI51" s="310"/>
      <c r="IGJ51" s="310"/>
      <c r="IGK51" s="310"/>
      <c r="IGL51" s="310"/>
      <c r="IGM51" s="310"/>
      <c r="IGN51" s="310"/>
      <c r="IGO51" s="310"/>
      <c r="IGP51" s="310"/>
      <c r="IGQ51" s="310"/>
      <c r="IGR51" s="310"/>
      <c r="IGS51" s="310"/>
      <c r="IGT51" s="310"/>
      <c r="IGU51" s="310"/>
      <c r="IGV51" s="310"/>
      <c r="IGW51" s="310"/>
      <c r="IGX51" s="310"/>
      <c r="IGY51" s="310"/>
      <c r="IGZ51" s="310"/>
      <c r="IHA51" s="310"/>
      <c r="IHB51" s="310"/>
      <c r="IHC51" s="310"/>
      <c r="IHD51" s="310"/>
      <c r="IHE51" s="310"/>
      <c r="IHF51" s="310"/>
      <c r="IHG51" s="310"/>
      <c r="IHH51" s="310"/>
      <c r="IHI51" s="310"/>
      <c r="IHJ51" s="310"/>
      <c r="IHK51" s="310"/>
      <c r="IHL51" s="310"/>
      <c r="IHM51" s="310"/>
      <c r="IHN51" s="310"/>
      <c r="IHO51" s="310"/>
      <c r="IHP51" s="310"/>
      <c r="IHQ51" s="310"/>
      <c r="IHR51" s="310"/>
      <c r="IHS51" s="310"/>
      <c r="IHT51" s="310"/>
      <c r="IHU51" s="310"/>
      <c r="IHV51" s="310"/>
      <c r="IHW51" s="310"/>
      <c r="IHX51" s="310"/>
      <c r="IHY51" s="310"/>
      <c r="IHZ51" s="310"/>
      <c r="IIA51" s="310"/>
      <c r="IIB51" s="310"/>
      <c r="IIC51" s="310"/>
      <c r="IID51" s="310"/>
      <c r="IIE51" s="310"/>
      <c r="IIF51" s="310"/>
      <c r="IIG51" s="310"/>
      <c r="IIH51" s="310"/>
      <c r="III51" s="310"/>
      <c r="IIJ51" s="310"/>
      <c r="IIK51" s="310"/>
      <c r="IIL51" s="310"/>
      <c r="IIM51" s="310"/>
      <c r="IIN51" s="310"/>
      <c r="IIO51" s="310"/>
      <c r="IIP51" s="310"/>
      <c r="IIQ51" s="310"/>
      <c r="IIR51" s="310"/>
      <c r="IIS51" s="310"/>
      <c r="IIT51" s="310"/>
      <c r="IIU51" s="310"/>
      <c r="IIV51" s="310"/>
      <c r="IIW51" s="310"/>
      <c r="IIX51" s="310"/>
      <c r="IIY51" s="310"/>
      <c r="IIZ51" s="310"/>
      <c r="IJA51" s="310"/>
      <c r="IJB51" s="310"/>
      <c r="IJC51" s="310"/>
      <c r="IJD51" s="310"/>
      <c r="IJE51" s="310"/>
      <c r="IJF51" s="310"/>
      <c r="IJG51" s="310"/>
      <c r="IJH51" s="310"/>
      <c r="IJI51" s="310"/>
      <c r="IJJ51" s="310"/>
      <c r="IJK51" s="310"/>
      <c r="IJL51" s="310"/>
      <c r="IJM51" s="310"/>
      <c r="IJN51" s="310"/>
      <c r="IJO51" s="310"/>
      <c r="IJP51" s="310"/>
      <c r="IJQ51" s="310"/>
      <c r="IJR51" s="310"/>
      <c r="IJS51" s="310"/>
      <c r="IJT51" s="310"/>
      <c r="IJU51" s="310"/>
      <c r="IJV51" s="310"/>
      <c r="IJW51" s="310"/>
      <c r="IJX51" s="310"/>
      <c r="IJY51" s="310"/>
      <c r="IJZ51" s="310"/>
      <c r="IKA51" s="310"/>
      <c r="IKB51" s="310"/>
      <c r="IKC51" s="310"/>
      <c r="IKD51" s="310"/>
      <c r="IKE51" s="310"/>
      <c r="IKF51" s="310"/>
      <c r="IKG51" s="310"/>
      <c r="IKH51" s="310"/>
      <c r="IKI51" s="310"/>
      <c r="IKJ51" s="310"/>
      <c r="IKK51" s="310"/>
      <c r="IKL51" s="310"/>
      <c r="IKM51" s="310"/>
      <c r="IKN51" s="310"/>
      <c r="IKO51" s="310"/>
      <c r="IKP51" s="310"/>
      <c r="IKQ51" s="310"/>
      <c r="IKR51" s="310"/>
      <c r="IKS51" s="310"/>
      <c r="IKT51" s="310"/>
      <c r="IKU51" s="310"/>
      <c r="IKV51" s="310"/>
      <c r="IKW51" s="310"/>
      <c r="IKX51" s="310"/>
      <c r="IKY51" s="310"/>
      <c r="IKZ51" s="310"/>
      <c r="ILA51" s="310"/>
      <c r="ILB51" s="310"/>
      <c r="ILC51" s="310"/>
      <c r="ILD51" s="310"/>
      <c r="ILE51" s="310"/>
      <c r="ILF51" s="310"/>
      <c r="ILG51" s="310"/>
      <c r="ILH51" s="310"/>
      <c r="ILI51" s="310"/>
      <c r="ILJ51" s="310"/>
      <c r="ILK51" s="310"/>
      <c r="ILL51" s="310"/>
      <c r="ILM51" s="310"/>
      <c r="ILN51" s="310"/>
      <c r="ILO51" s="310"/>
      <c r="ILP51" s="310"/>
      <c r="ILQ51" s="310"/>
      <c r="ILR51" s="310"/>
      <c r="ILS51" s="310"/>
      <c r="ILT51" s="310"/>
      <c r="ILU51" s="310"/>
      <c r="ILV51" s="310"/>
      <c r="ILW51" s="310"/>
      <c r="ILX51" s="310"/>
      <c r="ILY51" s="310"/>
      <c r="ILZ51" s="310"/>
      <c r="IMA51" s="310"/>
      <c r="IMB51" s="310"/>
      <c r="IMC51" s="310"/>
      <c r="IMD51" s="310"/>
      <c r="IME51" s="310"/>
      <c r="IMF51" s="310"/>
      <c r="IMG51" s="310"/>
      <c r="IMH51" s="310"/>
      <c r="IMI51" s="310"/>
      <c r="IMJ51" s="310"/>
      <c r="IMK51" s="310"/>
      <c r="IML51" s="310"/>
      <c r="IMM51" s="310"/>
      <c r="IMN51" s="310"/>
      <c r="IMO51" s="310"/>
      <c r="IMP51" s="310"/>
      <c r="IMQ51" s="310"/>
      <c r="IMR51" s="310"/>
      <c r="IMS51" s="310"/>
      <c r="IMT51" s="310"/>
      <c r="IMU51" s="310"/>
      <c r="IMV51" s="310"/>
      <c r="IMW51" s="310"/>
      <c r="IMX51" s="310"/>
      <c r="IMY51" s="310"/>
      <c r="IMZ51" s="310"/>
      <c r="INA51" s="310"/>
      <c r="INB51" s="310"/>
      <c r="INC51" s="310"/>
      <c r="IND51" s="310"/>
      <c r="INE51" s="310"/>
      <c r="INF51" s="310"/>
      <c r="ING51" s="310"/>
      <c r="INH51" s="310"/>
      <c r="INI51" s="310"/>
      <c r="INJ51" s="310"/>
      <c r="INK51" s="310"/>
      <c r="INL51" s="310"/>
      <c r="INM51" s="310"/>
      <c r="INN51" s="310"/>
      <c r="INO51" s="310"/>
      <c r="INP51" s="310"/>
      <c r="INQ51" s="310"/>
      <c r="INR51" s="310"/>
      <c r="INS51" s="310"/>
      <c r="INT51" s="310"/>
      <c r="INU51" s="310"/>
      <c r="INV51" s="310"/>
      <c r="INW51" s="310"/>
      <c r="INX51" s="310"/>
      <c r="INY51" s="310"/>
      <c r="INZ51" s="310"/>
      <c r="IOA51" s="310"/>
      <c r="IOB51" s="310"/>
      <c r="IOC51" s="310"/>
      <c r="IOD51" s="310"/>
      <c r="IOE51" s="310"/>
      <c r="IOF51" s="310"/>
      <c r="IOG51" s="310"/>
      <c r="IOH51" s="310"/>
      <c r="IOI51" s="310"/>
      <c r="IOJ51" s="310"/>
      <c r="IOK51" s="310"/>
      <c r="IOL51" s="310"/>
      <c r="IOM51" s="310"/>
      <c r="ION51" s="310"/>
      <c r="IOO51" s="310"/>
      <c r="IOP51" s="310"/>
      <c r="IOQ51" s="310"/>
      <c r="IOR51" s="310"/>
      <c r="IOS51" s="310"/>
      <c r="IOT51" s="310"/>
      <c r="IOU51" s="310"/>
      <c r="IOV51" s="310"/>
      <c r="IOW51" s="310"/>
      <c r="IOX51" s="310"/>
      <c r="IOY51" s="310"/>
      <c r="IOZ51" s="310"/>
      <c r="IPA51" s="310"/>
      <c r="IPB51" s="310"/>
      <c r="IPC51" s="310"/>
      <c r="IPD51" s="310"/>
      <c r="IPE51" s="310"/>
      <c r="IPF51" s="310"/>
      <c r="IPG51" s="310"/>
      <c r="IPH51" s="310"/>
      <c r="IPI51" s="310"/>
      <c r="IPJ51" s="310"/>
      <c r="IPK51" s="310"/>
      <c r="IPL51" s="310"/>
      <c r="IPM51" s="310"/>
      <c r="IPN51" s="310"/>
      <c r="IPO51" s="310"/>
      <c r="IPP51" s="310"/>
      <c r="IPQ51" s="310"/>
      <c r="IPR51" s="310"/>
      <c r="IPS51" s="310"/>
      <c r="IPT51" s="310"/>
      <c r="IPU51" s="310"/>
      <c r="IPV51" s="310"/>
      <c r="IPW51" s="310"/>
      <c r="IPX51" s="310"/>
      <c r="IPY51" s="310"/>
      <c r="IPZ51" s="310"/>
      <c r="IQA51" s="310"/>
      <c r="IQB51" s="310"/>
      <c r="IQC51" s="310"/>
      <c r="IQD51" s="310"/>
      <c r="IQE51" s="310"/>
      <c r="IQF51" s="310"/>
      <c r="IQG51" s="310"/>
      <c r="IQH51" s="310"/>
      <c r="IQI51" s="310"/>
      <c r="IQJ51" s="310"/>
      <c r="IQK51" s="310"/>
      <c r="IQL51" s="310"/>
      <c r="IQM51" s="310"/>
      <c r="IQN51" s="310"/>
      <c r="IQO51" s="310"/>
      <c r="IQP51" s="310"/>
      <c r="IQQ51" s="310"/>
      <c r="IQR51" s="310"/>
      <c r="IQS51" s="310"/>
      <c r="IQT51" s="310"/>
      <c r="IQU51" s="310"/>
      <c r="IQV51" s="310"/>
      <c r="IQW51" s="310"/>
      <c r="IQX51" s="310"/>
      <c r="IQY51" s="310"/>
      <c r="IQZ51" s="310"/>
      <c r="IRA51" s="310"/>
      <c r="IRB51" s="310"/>
      <c r="IRC51" s="310"/>
      <c r="IRD51" s="310"/>
      <c r="IRE51" s="310"/>
      <c r="IRF51" s="310"/>
      <c r="IRG51" s="310"/>
      <c r="IRH51" s="310"/>
      <c r="IRI51" s="310"/>
      <c r="IRJ51" s="310"/>
      <c r="IRK51" s="310"/>
      <c r="IRL51" s="310"/>
      <c r="IRM51" s="310"/>
      <c r="IRN51" s="310"/>
      <c r="IRO51" s="310"/>
      <c r="IRP51" s="310"/>
      <c r="IRQ51" s="310"/>
      <c r="IRR51" s="310"/>
      <c r="IRS51" s="310"/>
      <c r="IRT51" s="310"/>
      <c r="IRU51" s="310"/>
      <c r="IRV51" s="310"/>
      <c r="IRW51" s="310"/>
      <c r="IRX51" s="310"/>
      <c r="IRY51" s="310"/>
      <c r="IRZ51" s="310"/>
      <c r="ISA51" s="310"/>
      <c r="ISB51" s="310"/>
      <c r="ISC51" s="310"/>
      <c r="ISD51" s="310"/>
      <c r="ISE51" s="310"/>
      <c r="ISF51" s="310"/>
      <c r="ISG51" s="310"/>
      <c r="ISH51" s="310"/>
      <c r="ISI51" s="310"/>
      <c r="ISJ51" s="310"/>
      <c r="ISK51" s="310"/>
      <c r="ISL51" s="310"/>
      <c r="ISM51" s="310"/>
      <c r="ISN51" s="310"/>
      <c r="ISO51" s="310"/>
      <c r="ISP51" s="310"/>
      <c r="ISQ51" s="310"/>
      <c r="ISR51" s="310"/>
      <c r="ISS51" s="310"/>
      <c r="IST51" s="310"/>
      <c r="ISU51" s="310"/>
      <c r="ISV51" s="310"/>
      <c r="ISW51" s="310"/>
      <c r="ISX51" s="310"/>
      <c r="ISY51" s="310"/>
      <c r="ISZ51" s="310"/>
      <c r="ITA51" s="310"/>
      <c r="ITB51" s="310"/>
      <c r="ITC51" s="310"/>
      <c r="ITD51" s="310"/>
      <c r="ITE51" s="310"/>
      <c r="ITF51" s="310"/>
      <c r="ITG51" s="310"/>
      <c r="ITH51" s="310"/>
      <c r="ITI51" s="310"/>
      <c r="ITJ51" s="310"/>
      <c r="ITK51" s="310"/>
      <c r="ITL51" s="310"/>
      <c r="ITM51" s="310"/>
      <c r="ITN51" s="310"/>
      <c r="ITO51" s="310"/>
      <c r="ITP51" s="310"/>
      <c r="ITQ51" s="310"/>
      <c r="ITR51" s="310"/>
      <c r="ITS51" s="310"/>
      <c r="ITT51" s="310"/>
      <c r="ITU51" s="310"/>
      <c r="ITV51" s="310"/>
      <c r="ITW51" s="310"/>
      <c r="ITX51" s="310"/>
      <c r="ITY51" s="310"/>
      <c r="ITZ51" s="310"/>
      <c r="IUA51" s="310"/>
      <c r="IUB51" s="310"/>
      <c r="IUC51" s="310"/>
      <c r="IUD51" s="310"/>
      <c r="IUE51" s="310"/>
      <c r="IUF51" s="310"/>
      <c r="IUG51" s="310"/>
      <c r="IUH51" s="310"/>
      <c r="IUI51" s="310"/>
      <c r="IUJ51" s="310"/>
      <c r="IUK51" s="310"/>
      <c r="IUL51" s="310"/>
      <c r="IUM51" s="310"/>
      <c r="IUN51" s="310"/>
      <c r="IUO51" s="310"/>
      <c r="IUP51" s="310"/>
      <c r="IUQ51" s="310"/>
      <c r="IUR51" s="310"/>
      <c r="IUS51" s="310"/>
      <c r="IUT51" s="310"/>
      <c r="IUU51" s="310"/>
      <c r="IUV51" s="310"/>
      <c r="IUW51" s="310"/>
      <c r="IUX51" s="310"/>
      <c r="IUY51" s="310"/>
      <c r="IUZ51" s="310"/>
      <c r="IVA51" s="310"/>
      <c r="IVB51" s="310"/>
      <c r="IVC51" s="310"/>
      <c r="IVD51" s="310"/>
      <c r="IVE51" s="310"/>
      <c r="IVF51" s="310"/>
      <c r="IVG51" s="310"/>
      <c r="IVH51" s="310"/>
      <c r="IVI51" s="310"/>
      <c r="IVJ51" s="310"/>
      <c r="IVK51" s="310"/>
      <c r="IVL51" s="310"/>
      <c r="IVM51" s="310"/>
      <c r="IVN51" s="310"/>
      <c r="IVO51" s="310"/>
      <c r="IVP51" s="310"/>
      <c r="IVQ51" s="310"/>
      <c r="IVR51" s="310"/>
      <c r="IVS51" s="310"/>
      <c r="IVT51" s="310"/>
      <c r="IVU51" s="310"/>
      <c r="IVV51" s="310"/>
      <c r="IVW51" s="310"/>
      <c r="IVX51" s="310"/>
      <c r="IVY51" s="310"/>
      <c r="IVZ51" s="310"/>
      <c r="IWA51" s="310"/>
      <c r="IWB51" s="310"/>
      <c r="IWC51" s="310"/>
      <c r="IWD51" s="310"/>
      <c r="IWE51" s="310"/>
      <c r="IWF51" s="310"/>
      <c r="IWG51" s="310"/>
      <c r="IWH51" s="310"/>
      <c r="IWI51" s="310"/>
      <c r="IWJ51" s="310"/>
      <c r="IWK51" s="310"/>
      <c r="IWL51" s="310"/>
      <c r="IWM51" s="310"/>
      <c r="IWN51" s="310"/>
      <c r="IWO51" s="310"/>
      <c r="IWP51" s="310"/>
      <c r="IWQ51" s="310"/>
      <c r="IWR51" s="310"/>
      <c r="IWS51" s="310"/>
      <c r="IWT51" s="310"/>
      <c r="IWU51" s="310"/>
      <c r="IWV51" s="310"/>
      <c r="IWW51" s="310"/>
      <c r="IWX51" s="310"/>
      <c r="IWY51" s="310"/>
      <c r="IWZ51" s="310"/>
      <c r="IXA51" s="310"/>
      <c r="IXB51" s="310"/>
      <c r="IXC51" s="310"/>
      <c r="IXD51" s="310"/>
      <c r="IXE51" s="310"/>
      <c r="IXF51" s="310"/>
      <c r="IXG51" s="310"/>
      <c r="IXH51" s="310"/>
      <c r="IXI51" s="310"/>
      <c r="IXJ51" s="310"/>
      <c r="IXK51" s="310"/>
      <c r="IXL51" s="310"/>
      <c r="IXM51" s="310"/>
      <c r="IXN51" s="310"/>
      <c r="IXO51" s="310"/>
      <c r="IXP51" s="310"/>
      <c r="IXQ51" s="310"/>
      <c r="IXR51" s="310"/>
      <c r="IXS51" s="310"/>
      <c r="IXT51" s="310"/>
      <c r="IXU51" s="310"/>
      <c r="IXV51" s="310"/>
      <c r="IXW51" s="310"/>
      <c r="IXX51" s="310"/>
      <c r="IXY51" s="310"/>
      <c r="IXZ51" s="310"/>
      <c r="IYA51" s="310"/>
      <c r="IYB51" s="310"/>
      <c r="IYC51" s="310"/>
      <c r="IYD51" s="310"/>
      <c r="IYE51" s="310"/>
      <c r="IYF51" s="310"/>
      <c r="IYG51" s="310"/>
      <c r="IYH51" s="310"/>
      <c r="IYI51" s="310"/>
      <c r="IYJ51" s="310"/>
      <c r="IYK51" s="310"/>
      <c r="IYL51" s="310"/>
      <c r="IYM51" s="310"/>
      <c r="IYN51" s="310"/>
      <c r="IYO51" s="310"/>
      <c r="IYP51" s="310"/>
      <c r="IYQ51" s="310"/>
      <c r="IYR51" s="310"/>
      <c r="IYS51" s="310"/>
      <c r="IYT51" s="310"/>
      <c r="IYU51" s="310"/>
      <c r="IYV51" s="310"/>
      <c r="IYW51" s="310"/>
      <c r="IYX51" s="310"/>
      <c r="IYY51" s="310"/>
      <c r="IYZ51" s="310"/>
      <c r="IZA51" s="310"/>
      <c r="IZB51" s="310"/>
      <c r="IZC51" s="310"/>
      <c r="IZD51" s="310"/>
      <c r="IZE51" s="310"/>
      <c r="IZF51" s="310"/>
      <c r="IZG51" s="310"/>
      <c r="IZH51" s="310"/>
      <c r="IZI51" s="310"/>
      <c r="IZJ51" s="310"/>
      <c r="IZK51" s="310"/>
      <c r="IZL51" s="310"/>
      <c r="IZM51" s="310"/>
      <c r="IZN51" s="310"/>
      <c r="IZO51" s="310"/>
      <c r="IZP51" s="310"/>
      <c r="IZQ51" s="310"/>
      <c r="IZR51" s="310"/>
      <c r="IZS51" s="310"/>
      <c r="IZT51" s="310"/>
      <c r="IZU51" s="310"/>
      <c r="IZV51" s="310"/>
      <c r="IZW51" s="310"/>
      <c r="IZX51" s="310"/>
      <c r="IZY51" s="310"/>
      <c r="IZZ51" s="310"/>
      <c r="JAA51" s="310"/>
      <c r="JAB51" s="310"/>
      <c r="JAC51" s="310"/>
      <c r="JAD51" s="310"/>
      <c r="JAE51" s="310"/>
      <c r="JAF51" s="310"/>
      <c r="JAG51" s="310"/>
      <c r="JAH51" s="310"/>
      <c r="JAI51" s="310"/>
      <c r="JAJ51" s="310"/>
      <c r="JAK51" s="310"/>
      <c r="JAL51" s="310"/>
      <c r="JAM51" s="310"/>
      <c r="JAN51" s="310"/>
      <c r="JAO51" s="310"/>
      <c r="JAP51" s="310"/>
      <c r="JAQ51" s="310"/>
      <c r="JAR51" s="310"/>
      <c r="JAS51" s="310"/>
      <c r="JAT51" s="310"/>
      <c r="JAU51" s="310"/>
      <c r="JAV51" s="310"/>
      <c r="JAW51" s="310"/>
      <c r="JAX51" s="310"/>
      <c r="JAY51" s="310"/>
      <c r="JAZ51" s="310"/>
      <c r="JBA51" s="310"/>
      <c r="JBB51" s="310"/>
      <c r="JBC51" s="310"/>
      <c r="JBD51" s="310"/>
      <c r="JBE51" s="310"/>
      <c r="JBF51" s="310"/>
      <c r="JBG51" s="310"/>
      <c r="JBH51" s="310"/>
      <c r="JBI51" s="310"/>
      <c r="JBJ51" s="310"/>
      <c r="JBK51" s="310"/>
      <c r="JBL51" s="310"/>
      <c r="JBM51" s="310"/>
      <c r="JBN51" s="310"/>
      <c r="JBO51" s="310"/>
      <c r="JBP51" s="310"/>
      <c r="JBQ51" s="310"/>
      <c r="JBR51" s="310"/>
      <c r="JBS51" s="310"/>
      <c r="JBT51" s="310"/>
      <c r="JBU51" s="310"/>
      <c r="JBV51" s="310"/>
      <c r="JBW51" s="310"/>
      <c r="JBX51" s="310"/>
      <c r="JBY51" s="310"/>
      <c r="JBZ51" s="310"/>
      <c r="JCA51" s="310"/>
      <c r="JCB51" s="310"/>
      <c r="JCC51" s="310"/>
      <c r="JCD51" s="310"/>
      <c r="JCE51" s="310"/>
      <c r="JCF51" s="310"/>
      <c r="JCG51" s="310"/>
      <c r="JCH51" s="310"/>
      <c r="JCI51" s="310"/>
      <c r="JCJ51" s="310"/>
      <c r="JCK51" s="310"/>
      <c r="JCL51" s="310"/>
      <c r="JCM51" s="310"/>
      <c r="JCN51" s="310"/>
      <c r="JCO51" s="310"/>
      <c r="JCP51" s="310"/>
      <c r="JCQ51" s="310"/>
      <c r="JCR51" s="310"/>
      <c r="JCS51" s="310"/>
      <c r="JCT51" s="310"/>
      <c r="JCU51" s="310"/>
      <c r="JCV51" s="310"/>
      <c r="JCW51" s="310"/>
      <c r="JCX51" s="310"/>
      <c r="JCY51" s="310"/>
      <c r="JCZ51" s="310"/>
      <c r="JDA51" s="310"/>
      <c r="JDB51" s="310"/>
      <c r="JDC51" s="310"/>
      <c r="JDD51" s="310"/>
      <c r="JDE51" s="310"/>
      <c r="JDF51" s="310"/>
      <c r="JDG51" s="310"/>
      <c r="JDH51" s="310"/>
      <c r="JDI51" s="310"/>
      <c r="JDJ51" s="310"/>
      <c r="JDK51" s="310"/>
      <c r="JDL51" s="310"/>
      <c r="JDM51" s="310"/>
      <c r="JDN51" s="310"/>
      <c r="JDO51" s="310"/>
      <c r="JDP51" s="310"/>
      <c r="JDQ51" s="310"/>
      <c r="JDR51" s="310"/>
      <c r="JDS51" s="310"/>
      <c r="JDT51" s="310"/>
      <c r="JDU51" s="310"/>
      <c r="JDV51" s="310"/>
      <c r="JDW51" s="310"/>
      <c r="JDX51" s="310"/>
      <c r="JDY51" s="310"/>
      <c r="JDZ51" s="310"/>
      <c r="JEA51" s="310"/>
      <c r="JEB51" s="310"/>
      <c r="JEC51" s="310"/>
      <c r="JED51" s="310"/>
      <c r="JEE51" s="310"/>
      <c r="JEF51" s="310"/>
      <c r="JEG51" s="310"/>
      <c r="JEH51" s="310"/>
      <c r="JEI51" s="310"/>
      <c r="JEJ51" s="310"/>
      <c r="JEK51" s="310"/>
      <c r="JEL51" s="310"/>
      <c r="JEM51" s="310"/>
      <c r="JEN51" s="310"/>
      <c r="JEO51" s="310"/>
      <c r="JEP51" s="310"/>
      <c r="JEQ51" s="310"/>
      <c r="JER51" s="310"/>
      <c r="JES51" s="310"/>
      <c r="JET51" s="310"/>
      <c r="JEU51" s="310"/>
      <c r="JEV51" s="310"/>
      <c r="JEW51" s="310"/>
      <c r="JEX51" s="310"/>
      <c r="JEY51" s="310"/>
      <c r="JEZ51" s="310"/>
      <c r="JFA51" s="310"/>
      <c r="JFB51" s="310"/>
      <c r="JFC51" s="310"/>
      <c r="JFD51" s="310"/>
      <c r="JFE51" s="310"/>
      <c r="JFF51" s="310"/>
      <c r="JFG51" s="310"/>
      <c r="JFH51" s="310"/>
      <c r="JFI51" s="310"/>
      <c r="JFJ51" s="310"/>
      <c r="JFK51" s="310"/>
      <c r="JFL51" s="310"/>
      <c r="JFM51" s="310"/>
      <c r="JFN51" s="310"/>
      <c r="JFO51" s="310"/>
      <c r="JFP51" s="310"/>
      <c r="JFQ51" s="310"/>
      <c r="JFR51" s="310"/>
      <c r="JFS51" s="310"/>
      <c r="JFT51" s="310"/>
      <c r="JFU51" s="310"/>
      <c r="JFV51" s="310"/>
      <c r="JFW51" s="310"/>
      <c r="JFX51" s="310"/>
      <c r="JFY51" s="310"/>
      <c r="JFZ51" s="310"/>
      <c r="JGA51" s="310"/>
      <c r="JGB51" s="310"/>
      <c r="JGC51" s="310"/>
      <c r="JGD51" s="310"/>
      <c r="JGE51" s="310"/>
      <c r="JGF51" s="310"/>
      <c r="JGG51" s="310"/>
      <c r="JGH51" s="310"/>
      <c r="JGI51" s="310"/>
      <c r="JGJ51" s="310"/>
      <c r="JGK51" s="310"/>
      <c r="JGL51" s="310"/>
      <c r="JGM51" s="310"/>
      <c r="JGN51" s="310"/>
      <c r="JGO51" s="310"/>
      <c r="JGP51" s="310"/>
      <c r="JGQ51" s="310"/>
      <c r="JGR51" s="310"/>
      <c r="JGS51" s="310"/>
      <c r="JGT51" s="310"/>
      <c r="JGU51" s="310"/>
      <c r="JGV51" s="310"/>
      <c r="JGW51" s="310"/>
      <c r="JGX51" s="310"/>
      <c r="JGY51" s="310"/>
      <c r="JGZ51" s="310"/>
      <c r="JHA51" s="310"/>
      <c r="JHB51" s="310"/>
      <c r="JHC51" s="310"/>
      <c r="JHD51" s="310"/>
      <c r="JHE51" s="310"/>
      <c r="JHF51" s="310"/>
      <c r="JHG51" s="310"/>
      <c r="JHH51" s="310"/>
      <c r="JHI51" s="310"/>
      <c r="JHJ51" s="310"/>
      <c r="JHK51" s="310"/>
      <c r="JHL51" s="310"/>
      <c r="JHM51" s="310"/>
      <c r="JHN51" s="310"/>
      <c r="JHO51" s="310"/>
      <c r="JHP51" s="310"/>
      <c r="JHQ51" s="310"/>
      <c r="JHR51" s="310"/>
      <c r="JHS51" s="310"/>
      <c r="JHT51" s="310"/>
      <c r="JHU51" s="310"/>
      <c r="JHV51" s="310"/>
      <c r="JHW51" s="310"/>
      <c r="JHX51" s="310"/>
      <c r="JHY51" s="310"/>
      <c r="JHZ51" s="310"/>
      <c r="JIA51" s="310"/>
      <c r="JIB51" s="310"/>
      <c r="JIC51" s="310"/>
      <c r="JID51" s="310"/>
      <c r="JIE51" s="310"/>
      <c r="JIF51" s="310"/>
      <c r="JIG51" s="310"/>
      <c r="JIH51" s="310"/>
      <c r="JII51" s="310"/>
      <c r="JIJ51" s="310"/>
      <c r="JIK51" s="310"/>
      <c r="JIL51" s="310"/>
      <c r="JIM51" s="310"/>
      <c r="JIN51" s="310"/>
      <c r="JIO51" s="310"/>
      <c r="JIP51" s="310"/>
      <c r="JIQ51" s="310"/>
      <c r="JIR51" s="310"/>
      <c r="JIS51" s="310"/>
      <c r="JIT51" s="310"/>
      <c r="JIU51" s="310"/>
      <c r="JIV51" s="310"/>
      <c r="JIW51" s="310"/>
      <c r="JIX51" s="310"/>
      <c r="JIY51" s="310"/>
      <c r="JIZ51" s="310"/>
      <c r="JJA51" s="310"/>
      <c r="JJB51" s="310"/>
      <c r="JJC51" s="310"/>
      <c r="JJD51" s="310"/>
      <c r="JJE51" s="310"/>
      <c r="JJF51" s="310"/>
      <c r="JJG51" s="310"/>
      <c r="JJH51" s="310"/>
      <c r="JJI51" s="310"/>
      <c r="JJJ51" s="310"/>
      <c r="JJK51" s="310"/>
      <c r="JJL51" s="310"/>
      <c r="JJM51" s="310"/>
      <c r="JJN51" s="310"/>
      <c r="JJO51" s="310"/>
      <c r="JJP51" s="310"/>
      <c r="JJQ51" s="310"/>
      <c r="JJR51" s="310"/>
      <c r="JJS51" s="310"/>
      <c r="JJT51" s="310"/>
      <c r="JJU51" s="310"/>
      <c r="JJV51" s="310"/>
      <c r="JJW51" s="310"/>
      <c r="JJX51" s="310"/>
      <c r="JJY51" s="310"/>
      <c r="JJZ51" s="310"/>
      <c r="JKA51" s="310"/>
      <c r="JKB51" s="310"/>
      <c r="JKC51" s="310"/>
      <c r="JKD51" s="310"/>
      <c r="JKE51" s="310"/>
      <c r="JKF51" s="310"/>
      <c r="JKG51" s="310"/>
      <c r="JKH51" s="310"/>
      <c r="JKI51" s="310"/>
      <c r="JKJ51" s="310"/>
      <c r="JKK51" s="310"/>
      <c r="JKL51" s="310"/>
      <c r="JKM51" s="310"/>
      <c r="JKN51" s="310"/>
      <c r="JKO51" s="310"/>
      <c r="JKP51" s="310"/>
      <c r="JKQ51" s="310"/>
      <c r="JKR51" s="310"/>
      <c r="JKS51" s="310"/>
      <c r="JKT51" s="310"/>
      <c r="JKU51" s="310"/>
      <c r="JKV51" s="310"/>
      <c r="JKW51" s="310"/>
      <c r="JKX51" s="310"/>
      <c r="JKY51" s="310"/>
      <c r="JKZ51" s="310"/>
      <c r="JLA51" s="310"/>
      <c r="JLB51" s="310"/>
      <c r="JLC51" s="310"/>
      <c r="JLD51" s="310"/>
      <c r="JLE51" s="310"/>
      <c r="JLF51" s="310"/>
      <c r="JLG51" s="310"/>
      <c r="JLH51" s="310"/>
      <c r="JLI51" s="310"/>
      <c r="JLJ51" s="310"/>
      <c r="JLK51" s="310"/>
      <c r="JLL51" s="310"/>
      <c r="JLM51" s="310"/>
      <c r="JLN51" s="310"/>
      <c r="JLO51" s="310"/>
      <c r="JLP51" s="310"/>
      <c r="JLQ51" s="310"/>
      <c r="JLR51" s="310"/>
      <c r="JLS51" s="310"/>
      <c r="JLT51" s="310"/>
      <c r="JLU51" s="310"/>
      <c r="JLV51" s="310"/>
      <c r="JLW51" s="310"/>
      <c r="JLX51" s="310"/>
      <c r="JLY51" s="310"/>
      <c r="JLZ51" s="310"/>
      <c r="JMA51" s="310"/>
      <c r="JMB51" s="310"/>
      <c r="JMC51" s="310"/>
      <c r="JMD51" s="310"/>
      <c r="JME51" s="310"/>
      <c r="JMF51" s="310"/>
      <c r="JMG51" s="310"/>
      <c r="JMH51" s="310"/>
      <c r="JMI51" s="310"/>
      <c r="JMJ51" s="310"/>
      <c r="JMK51" s="310"/>
      <c r="JML51" s="310"/>
      <c r="JMM51" s="310"/>
      <c r="JMN51" s="310"/>
      <c r="JMO51" s="310"/>
      <c r="JMP51" s="310"/>
      <c r="JMQ51" s="310"/>
      <c r="JMR51" s="310"/>
      <c r="JMS51" s="310"/>
      <c r="JMT51" s="310"/>
      <c r="JMU51" s="310"/>
      <c r="JMV51" s="310"/>
      <c r="JMW51" s="310"/>
      <c r="JMX51" s="310"/>
      <c r="JMY51" s="310"/>
      <c r="JMZ51" s="310"/>
      <c r="JNA51" s="310"/>
      <c r="JNB51" s="310"/>
      <c r="JNC51" s="310"/>
      <c r="JND51" s="310"/>
      <c r="JNE51" s="310"/>
      <c r="JNF51" s="310"/>
      <c r="JNG51" s="310"/>
      <c r="JNH51" s="310"/>
      <c r="JNI51" s="310"/>
      <c r="JNJ51" s="310"/>
      <c r="JNK51" s="310"/>
      <c r="JNL51" s="310"/>
      <c r="JNM51" s="310"/>
      <c r="JNN51" s="310"/>
      <c r="JNO51" s="310"/>
      <c r="JNP51" s="310"/>
      <c r="JNQ51" s="310"/>
      <c r="JNR51" s="310"/>
      <c r="JNS51" s="310"/>
      <c r="JNT51" s="310"/>
      <c r="JNU51" s="310"/>
      <c r="JNV51" s="310"/>
      <c r="JNW51" s="310"/>
      <c r="JNX51" s="310"/>
      <c r="JNY51" s="310"/>
      <c r="JNZ51" s="310"/>
      <c r="JOA51" s="310"/>
      <c r="JOB51" s="310"/>
      <c r="JOC51" s="310"/>
      <c r="JOD51" s="310"/>
      <c r="JOE51" s="310"/>
      <c r="JOF51" s="310"/>
      <c r="JOG51" s="310"/>
      <c r="JOH51" s="310"/>
      <c r="JOI51" s="310"/>
      <c r="JOJ51" s="310"/>
      <c r="JOK51" s="310"/>
      <c r="JOL51" s="310"/>
      <c r="JOM51" s="310"/>
      <c r="JON51" s="310"/>
      <c r="JOO51" s="310"/>
      <c r="JOP51" s="310"/>
      <c r="JOQ51" s="310"/>
      <c r="JOR51" s="310"/>
      <c r="JOS51" s="310"/>
      <c r="JOT51" s="310"/>
      <c r="JOU51" s="310"/>
      <c r="JOV51" s="310"/>
      <c r="JOW51" s="310"/>
      <c r="JOX51" s="310"/>
      <c r="JOY51" s="310"/>
      <c r="JOZ51" s="310"/>
      <c r="JPA51" s="310"/>
      <c r="JPB51" s="310"/>
      <c r="JPC51" s="310"/>
      <c r="JPD51" s="310"/>
      <c r="JPE51" s="310"/>
      <c r="JPF51" s="310"/>
      <c r="JPG51" s="310"/>
      <c r="JPH51" s="310"/>
      <c r="JPI51" s="310"/>
      <c r="JPJ51" s="310"/>
      <c r="JPK51" s="310"/>
      <c r="JPL51" s="310"/>
      <c r="JPM51" s="310"/>
      <c r="JPN51" s="310"/>
      <c r="JPO51" s="310"/>
      <c r="JPP51" s="310"/>
      <c r="JPQ51" s="310"/>
      <c r="JPR51" s="310"/>
      <c r="JPS51" s="310"/>
      <c r="JPT51" s="310"/>
      <c r="JPU51" s="310"/>
      <c r="JPV51" s="310"/>
      <c r="JPW51" s="310"/>
      <c r="JPX51" s="310"/>
      <c r="JPY51" s="310"/>
      <c r="JPZ51" s="310"/>
      <c r="JQA51" s="310"/>
      <c r="JQB51" s="310"/>
      <c r="JQC51" s="310"/>
      <c r="JQD51" s="310"/>
      <c r="JQE51" s="310"/>
      <c r="JQF51" s="310"/>
      <c r="JQG51" s="310"/>
      <c r="JQH51" s="310"/>
      <c r="JQI51" s="310"/>
      <c r="JQJ51" s="310"/>
      <c r="JQK51" s="310"/>
      <c r="JQL51" s="310"/>
      <c r="JQM51" s="310"/>
      <c r="JQN51" s="310"/>
      <c r="JQO51" s="310"/>
      <c r="JQP51" s="310"/>
      <c r="JQQ51" s="310"/>
      <c r="JQR51" s="310"/>
      <c r="JQS51" s="310"/>
      <c r="JQT51" s="310"/>
      <c r="JQU51" s="310"/>
      <c r="JQV51" s="310"/>
      <c r="JQW51" s="310"/>
      <c r="JQX51" s="310"/>
      <c r="JQY51" s="310"/>
      <c r="JQZ51" s="310"/>
      <c r="JRA51" s="310"/>
      <c r="JRB51" s="310"/>
      <c r="JRC51" s="310"/>
      <c r="JRD51" s="310"/>
      <c r="JRE51" s="310"/>
      <c r="JRF51" s="310"/>
      <c r="JRG51" s="310"/>
      <c r="JRH51" s="310"/>
      <c r="JRI51" s="310"/>
      <c r="JRJ51" s="310"/>
      <c r="JRK51" s="310"/>
      <c r="JRL51" s="310"/>
      <c r="JRM51" s="310"/>
      <c r="JRN51" s="310"/>
      <c r="JRO51" s="310"/>
      <c r="JRP51" s="310"/>
      <c r="JRQ51" s="310"/>
      <c r="JRR51" s="310"/>
      <c r="JRS51" s="310"/>
      <c r="JRT51" s="310"/>
      <c r="JRU51" s="310"/>
      <c r="JRV51" s="310"/>
      <c r="JRW51" s="310"/>
      <c r="JRX51" s="310"/>
      <c r="JRY51" s="310"/>
      <c r="JRZ51" s="310"/>
      <c r="JSA51" s="310"/>
      <c r="JSB51" s="310"/>
      <c r="JSC51" s="310"/>
      <c r="JSD51" s="310"/>
      <c r="JSE51" s="310"/>
      <c r="JSF51" s="310"/>
      <c r="JSG51" s="310"/>
      <c r="JSH51" s="310"/>
      <c r="JSI51" s="310"/>
      <c r="JSJ51" s="310"/>
      <c r="JSK51" s="310"/>
      <c r="JSL51" s="310"/>
      <c r="JSM51" s="310"/>
      <c r="JSN51" s="310"/>
      <c r="JSO51" s="310"/>
      <c r="JSP51" s="310"/>
      <c r="JSQ51" s="310"/>
      <c r="JSR51" s="310"/>
      <c r="JSS51" s="310"/>
      <c r="JST51" s="310"/>
      <c r="JSU51" s="310"/>
      <c r="JSV51" s="310"/>
      <c r="JSW51" s="310"/>
      <c r="JSX51" s="310"/>
      <c r="JSY51" s="310"/>
      <c r="JSZ51" s="310"/>
      <c r="JTA51" s="310"/>
      <c r="JTB51" s="310"/>
      <c r="JTC51" s="310"/>
      <c r="JTD51" s="310"/>
      <c r="JTE51" s="310"/>
      <c r="JTF51" s="310"/>
      <c r="JTG51" s="310"/>
      <c r="JTH51" s="310"/>
      <c r="JTI51" s="310"/>
      <c r="JTJ51" s="310"/>
      <c r="JTK51" s="310"/>
      <c r="JTL51" s="310"/>
      <c r="JTM51" s="310"/>
      <c r="JTN51" s="310"/>
      <c r="JTO51" s="310"/>
      <c r="JTP51" s="310"/>
      <c r="JTQ51" s="310"/>
      <c r="JTR51" s="310"/>
      <c r="JTS51" s="310"/>
      <c r="JTT51" s="310"/>
      <c r="JTU51" s="310"/>
      <c r="JTV51" s="310"/>
      <c r="JTW51" s="310"/>
      <c r="JTX51" s="310"/>
      <c r="JTY51" s="310"/>
      <c r="JTZ51" s="310"/>
      <c r="JUA51" s="310"/>
      <c r="JUB51" s="310"/>
      <c r="JUC51" s="310"/>
      <c r="JUD51" s="310"/>
      <c r="JUE51" s="310"/>
      <c r="JUF51" s="310"/>
      <c r="JUG51" s="310"/>
      <c r="JUH51" s="310"/>
      <c r="JUI51" s="310"/>
      <c r="JUJ51" s="310"/>
      <c r="JUK51" s="310"/>
      <c r="JUL51" s="310"/>
      <c r="JUM51" s="310"/>
      <c r="JUN51" s="310"/>
      <c r="JUO51" s="310"/>
      <c r="JUP51" s="310"/>
      <c r="JUQ51" s="310"/>
      <c r="JUR51" s="310"/>
      <c r="JUS51" s="310"/>
      <c r="JUT51" s="310"/>
      <c r="JUU51" s="310"/>
      <c r="JUV51" s="310"/>
      <c r="JUW51" s="310"/>
      <c r="JUX51" s="310"/>
      <c r="JUY51" s="310"/>
      <c r="JUZ51" s="310"/>
      <c r="JVA51" s="310"/>
      <c r="JVB51" s="310"/>
      <c r="JVC51" s="310"/>
      <c r="JVD51" s="310"/>
      <c r="JVE51" s="310"/>
      <c r="JVF51" s="310"/>
      <c r="JVG51" s="310"/>
      <c r="JVH51" s="310"/>
      <c r="JVI51" s="310"/>
      <c r="JVJ51" s="310"/>
      <c r="JVK51" s="310"/>
      <c r="JVL51" s="310"/>
      <c r="JVM51" s="310"/>
      <c r="JVN51" s="310"/>
      <c r="JVO51" s="310"/>
      <c r="JVP51" s="310"/>
      <c r="JVQ51" s="310"/>
      <c r="JVR51" s="310"/>
      <c r="JVS51" s="310"/>
      <c r="JVT51" s="310"/>
      <c r="JVU51" s="310"/>
      <c r="JVV51" s="310"/>
      <c r="JVW51" s="310"/>
      <c r="JVX51" s="310"/>
      <c r="JVY51" s="310"/>
      <c r="JVZ51" s="310"/>
      <c r="JWA51" s="310"/>
      <c r="JWB51" s="310"/>
      <c r="JWC51" s="310"/>
      <c r="JWD51" s="310"/>
      <c r="JWE51" s="310"/>
      <c r="JWF51" s="310"/>
      <c r="JWG51" s="310"/>
      <c r="JWH51" s="310"/>
      <c r="JWI51" s="310"/>
      <c r="JWJ51" s="310"/>
      <c r="JWK51" s="310"/>
      <c r="JWL51" s="310"/>
      <c r="JWM51" s="310"/>
      <c r="JWN51" s="310"/>
      <c r="JWO51" s="310"/>
      <c r="JWP51" s="310"/>
      <c r="JWQ51" s="310"/>
      <c r="JWR51" s="310"/>
      <c r="JWS51" s="310"/>
      <c r="JWT51" s="310"/>
      <c r="JWU51" s="310"/>
      <c r="JWV51" s="310"/>
      <c r="JWW51" s="310"/>
      <c r="JWX51" s="310"/>
      <c r="JWY51" s="310"/>
      <c r="JWZ51" s="310"/>
      <c r="JXA51" s="310"/>
      <c r="JXB51" s="310"/>
      <c r="JXC51" s="310"/>
      <c r="JXD51" s="310"/>
      <c r="JXE51" s="310"/>
      <c r="JXF51" s="310"/>
      <c r="JXG51" s="310"/>
      <c r="JXH51" s="310"/>
      <c r="JXI51" s="310"/>
      <c r="JXJ51" s="310"/>
      <c r="JXK51" s="310"/>
      <c r="JXL51" s="310"/>
      <c r="JXM51" s="310"/>
      <c r="JXN51" s="310"/>
      <c r="JXO51" s="310"/>
      <c r="JXP51" s="310"/>
      <c r="JXQ51" s="310"/>
      <c r="JXR51" s="310"/>
      <c r="JXS51" s="310"/>
      <c r="JXT51" s="310"/>
      <c r="JXU51" s="310"/>
      <c r="JXV51" s="310"/>
      <c r="JXW51" s="310"/>
      <c r="JXX51" s="310"/>
      <c r="JXY51" s="310"/>
      <c r="JXZ51" s="310"/>
      <c r="JYA51" s="310"/>
      <c r="JYB51" s="310"/>
      <c r="JYC51" s="310"/>
      <c r="JYD51" s="310"/>
      <c r="JYE51" s="310"/>
      <c r="JYF51" s="310"/>
      <c r="JYG51" s="310"/>
      <c r="JYH51" s="310"/>
      <c r="JYI51" s="310"/>
      <c r="JYJ51" s="310"/>
      <c r="JYK51" s="310"/>
      <c r="JYL51" s="310"/>
      <c r="JYM51" s="310"/>
      <c r="JYN51" s="310"/>
      <c r="JYO51" s="310"/>
      <c r="JYP51" s="310"/>
      <c r="JYQ51" s="310"/>
      <c r="JYR51" s="310"/>
      <c r="JYS51" s="310"/>
      <c r="JYT51" s="310"/>
      <c r="JYU51" s="310"/>
      <c r="JYV51" s="310"/>
      <c r="JYW51" s="310"/>
      <c r="JYX51" s="310"/>
      <c r="JYY51" s="310"/>
      <c r="JYZ51" s="310"/>
      <c r="JZA51" s="310"/>
      <c r="JZB51" s="310"/>
      <c r="JZC51" s="310"/>
      <c r="JZD51" s="310"/>
      <c r="JZE51" s="310"/>
      <c r="JZF51" s="310"/>
      <c r="JZG51" s="310"/>
      <c r="JZH51" s="310"/>
      <c r="JZI51" s="310"/>
      <c r="JZJ51" s="310"/>
      <c r="JZK51" s="310"/>
      <c r="JZL51" s="310"/>
      <c r="JZM51" s="310"/>
      <c r="JZN51" s="310"/>
      <c r="JZO51" s="310"/>
      <c r="JZP51" s="310"/>
      <c r="JZQ51" s="310"/>
      <c r="JZR51" s="310"/>
      <c r="JZS51" s="310"/>
      <c r="JZT51" s="310"/>
      <c r="JZU51" s="310"/>
      <c r="JZV51" s="310"/>
      <c r="JZW51" s="310"/>
      <c r="JZX51" s="310"/>
      <c r="JZY51" s="310"/>
      <c r="JZZ51" s="310"/>
      <c r="KAA51" s="310"/>
      <c r="KAB51" s="310"/>
      <c r="KAC51" s="310"/>
      <c r="KAD51" s="310"/>
      <c r="KAE51" s="310"/>
      <c r="KAF51" s="310"/>
      <c r="KAG51" s="310"/>
      <c r="KAH51" s="310"/>
      <c r="KAI51" s="310"/>
      <c r="KAJ51" s="310"/>
      <c r="KAK51" s="310"/>
      <c r="KAL51" s="310"/>
      <c r="KAM51" s="310"/>
      <c r="KAN51" s="310"/>
      <c r="KAO51" s="310"/>
      <c r="KAP51" s="310"/>
      <c r="KAQ51" s="310"/>
      <c r="KAR51" s="310"/>
      <c r="KAS51" s="310"/>
      <c r="KAT51" s="310"/>
      <c r="KAU51" s="310"/>
      <c r="KAV51" s="310"/>
      <c r="KAW51" s="310"/>
      <c r="KAX51" s="310"/>
      <c r="KAY51" s="310"/>
      <c r="KAZ51" s="310"/>
      <c r="KBA51" s="310"/>
      <c r="KBB51" s="310"/>
      <c r="KBC51" s="310"/>
      <c r="KBD51" s="310"/>
      <c r="KBE51" s="310"/>
      <c r="KBF51" s="310"/>
      <c r="KBG51" s="310"/>
      <c r="KBH51" s="310"/>
      <c r="KBI51" s="310"/>
      <c r="KBJ51" s="310"/>
      <c r="KBK51" s="310"/>
      <c r="KBL51" s="310"/>
      <c r="KBM51" s="310"/>
      <c r="KBN51" s="310"/>
      <c r="KBO51" s="310"/>
      <c r="KBP51" s="310"/>
      <c r="KBQ51" s="310"/>
      <c r="KBR51" s="310"/>
      <c r="KBS51" s="310"/>
      <c r="KBT51" s="310"/>
      <c r="KBU51" s="310"/>
      <c r="KBV51" s="310"/>
      <c r="KBW51" s="310"/>
      <c r="KBX51" s="310"/>
      <c r="KBY51" s="310"/>
      <c r="KBZ51" s="310"/>
      <c r="KCA51" s="310"/>
      <c r="KCB51" s="310"/>
      <c r="KCC51" s="310"/>
      <c r="KCD51" s="310"/>
      <c r="KCE51" s="310"/>
      <c r="KCF51" s="310"/>
      <c r="KCG51" s="310"/>
      <c r="KCH51" s="310"/>
      <c r="KCI51" s="310"/>
      <c r="KCJ51" s="310"/>
      <c r="KCK51" s="310"/>
      <c r="KCL51" s="310"/>
      <c r="KCM51" s="310"/>
      <c r="KCN51" s="310"/>
      <c r="KCO51" s="310"/>
      <c r="KCP51" s="310"/>
      <c r="KCQ51" s="310"/>
      <c r="KCR51" s="310"/>
      <c r="KCS51" s="310"/>
      <c r="KCT51" s="310"/>
      <c r="KCU51" s="310"/>
      <c r="KCV51" s="310"/>
      <c r="KCW51" s="310"/>
      <c r="KCX51" s="310"/>
      <c r="KCY51" s="310"/>
      <c r="KCZ51" s="310"/>
      <c r="KDA51" s="310"/>
      <c r="KDB51" s="310"/>
      <c r="KDC51" s="310"/>
      <c r="KDD51" s="310"/>
      <c r="KDE51" s="310"/>
      <c r="KDF51" s="310"/>
      <c r="KDG51" s="310"/>
      <c r="KDH51" s="310"/>
      <c r="KDI51" s="310"/>
      <c r="KDJ51" s="310"/>
      <c r="KDK51" s="310"/>
      <c r="KDL51" s="310"/>
      <c r="KDM51" s="310"/>
      <c r="KDN51" s="310"/>
      <c r="KDO51" s="310"/>
      <c r="KDP51" s="310"/>
      <c r="KDQ51" s="310"/>
      <c r="KDR51" s="310"/>
      <c r="KDS51" s="310"/>
      <c r="KDT51" s="310"/>
      <c r="KDU51" s="310"/>
      <c r="KDV51" s="310"/>
      <c r="KDW51" s="310"/>
      <c r="KDX51" s="310"/>
      <c r="KDY51" s="310"/>
      <c r="KDZ51" s="310"/>
      <c r="KEA51" s="310"/>
      <c r="KEB51" s="310"/>
      <c r="KEC51" s="310"/>
      <c r="KED51" s="310"/>
      <c r="KEE51" s="310"/>
      <c r="KEF51" s="310"/>
      <c r="KEG51" s="310"/>
      <c r="KEH51" s="310"/>
      <c r="KEI51" s="310"/>
      <c r="KEJ51" s="310"/>
      <c r="KEK51" s="310"/>
      <c r="KEL51" s="310"/>
      <c r="KEM51" s="310"/>
      <c r="KEN51" s="310"/>
      <c r="KEO51" s="310"/>
      <c r="KEP51" s="310"/>
      <c r="KEQ51" s="310"/>
      <c r="KER51" s="310"/>
      <c r="KES51" s="310"/>
      <c r="KET51" s="310"/>
      <c r="KEU51" s="310"/>
      <c r="KEV51" s="310"/>
      <c r="KEW51" s="310"/>
      <c r="KEX51" s="310"/>
      <c r="KEY51" s="310"/>
      <c r="KEZ51" s="310"/>
      <c r="KFA51" s="310"/>
      <c r="KFB51" s="310"/>
      <c r="KFC51" s="310"/>
      <c r="KFD51" s="310"/>
      <c r="KFE51" s="310"/>
      <c r="KFF51" s="310"/>
      <c r="KFG51" s="310"/>
      <c r="KFH51" s="310"/>
      <c r="KFI51" s="310"/>
      <c r="KFJ51" s="310"/>
      <c r="KFK51" s="310"/>
      <c r="KFL51" s="310"/>
      <c r="KFM51" s="310"/>
      <c r="KFN51" s="310"/>
      <c r="KFO51" s="310"/>
      <c r="KFP51" s="310"/>
      <c r="KFQ51" s="310"/>
      <c r="KFR51" s="310"/>
      <c r="KFS51" s="310"/>
      <c r="KFT51" s="310"/>
      <c r="KFU51" s="310"/>
      <c r="KFV51" s="310"/>
      <c r="KFW51" s="310"/>
      <c r="KFX51" s="310"/>
      <c r="KFY51" s="310"/>
      <c r="KFZ51" s="310"/>
      <c r="KGA51" s="310"/>
      <c r="KGB51" s="310"/>
      <c r="KGC51" s="310"/>
      <c r="KGD51" s="310"/>
      <c r="KGE51" s="310"/>
      <c r="KGF51" s="310"/>
      <c r="KGG51" s="310"/>
      <c r="KGH51" s="310"/>
      <c r="KGI51" s="310"/>
      <c r="KGJ51" s="310"/>
      <c r="KGK51" s="310"/>
      <c r="KGL51" s="310"/>
      <c r="KGM51" s="310"/>
      <c r="KGN51" s="310"/>
      <c r="KGO51" s="310"/>
      <c r="KGP51" s="310"/>
      <c r="KGQ51" s="310"/>
      <c r="KGR51" s="310"/>
      <c r="KGS51" s="310"/>
      <c r="KGT51" s="310"/>
      <c r="KGU51" s="310"/>
      <c r="KGV51" s="310"/>
      <c r="KGW51" s="310"/>
      <c r="KGX51" s="310"/>
      <c r="KGY51" s="310"/>
      <c r="KGZ51" s="310"/>
      <c r="KHA51" s="310"/>
      <c r="KHB51" s="310"/>
      <c r="KHC51" s="310"/>
      <c r="KHD51" s="310"/>
      <c r="KHE51" s="310"/>
      <c r="KHF51" s="310"/>
      <c r="KHG51" s="310"/>
      <c r="KHH51" s="310"/>
      <c r="KHI51" s="310"/>
      <c r="KHJ51" s="310"/>
      <c r="KHK51" s="310"/>
      <c r="KHL51" s="310"/>
      <c r="KHM51" s="310"/>
      <c r="KHN51" s="310"/>
      <c r="KHO51" s="310"/>
      <c r="KHP51" s="310"/>
      <c r="KHQ51" s="310"/>
      <c r="KHR51" s="310"/>
      <c r="KHS51" s="310"/>
      <c r="KHT51" s="310"/>
      <c r="KHU51" s="310"/>
      <c r="KHV51" s="310"/>
      <c r="KHW51" s="310"/>
      <c r="KHX51" s="310"/>
      <c r="KHY51" s="310"/>
      <c r="KHZ51" s="310"/>
      <c r="KIA51" s="310"/>
      <c r="KIB51" s="310"/>
      <c r="KIC51" s="310"/>
      <c r="KID51" s="310"/>
      <c r="KIE51" s="310"/>
      <c r="KIF51" s="310"/>
      <c r="KIG51" s="310"/>
      <c r="KIH51" s="310"/>
      <c r="KII51" s="310"/>
      <c r="KIJ51" s="310"/>
      <c r="KIK51" s="310"/>
      <c r="KIL51" s="310"/>
      <c r="KIM51" s="310"/>
      <c r="KIN51" s="310"/>
      <c r="KIO51" s="310"/>
      <c r="KIP51" s="310"/>
      <c r="KIQ51" s="310"/>
      <c r="KIR51" s="310"/>
      <c r="KIS51" s="310"/>
      <c r="KIT51" s="310"/>
      <c r="KIU51" s="310"/>
      <c r="KIV51" s="310"/>
      <c r="KIW51" s="310"/>
      <c r="KIX51" s="310"/>
      <c r="KIY51" s="310"/>
      <c r="KIZ51" s="310"/>
      <c r="KJA51" s="310"/>
      <c r="KJB51" s="310"/>
      <c r="KJC51" s="310"/>
      <c r="KJD51" s="310"/>
      <c r="KJE51" s="310"/>
      <c r="KJF51" s="310"/>
      <c r="KJG51" s="310"/>
      <c r="KJH51" s="310"/>
      <c r="KJI51" s="310"/>
      <c r="KJJ51" s="310"/>
      <c r="KJK51" s="310"/>
      <c r="KJL51" s="310"/>
      <c r="KJM51" s="310"/>
      <c r="KJN51" s="310"/>
      <c r="KJO51" s="310"/>
      <c r="KJP51" s="310"/>
      <c r="KJQ51" s="310"/>
      <c r="KJR51" s="310"/>
      <c r="KJS51" s="310"/>
      <c r="KJT51" s="310"/>
      <c r="KJU51" s="310"/>
      <c r="KJV51" s="310"/>
      <c r="KJW51" s="310"/>
      <c r="KJX51" s="310"/>
      <c r="KJY51" s="310"/>
      <c r="KJZ51" s="310"/>
      <c r="KKA51" s="310"/>
      <c r="KKB51" s="310"/>
      <c r="KKC51" s="310"/>
      <c r="KKD51" s="310"/>
      <c r="KKE51" s="310"/>
      <c r="KKF51" s="310"/>
      <c r="KKG51" s="310"/>
      <c r="KKH51" s="310"/>
      <c r="KKI51" s="310"/>
      <c r="KKJ51" s="310"/>
      <c r="KKK51" s="310"/>
      <c r="KKL51" s="310"/>
      <c r="KKM51" s="310"/>
      <c r="KKN51" s="310"/>
      <c r="KKO51" s="310"/>
      <c r="KKP51" s="310"/>
      <c r="KKQ51" s="310"/>
      <c r="KKR51" s="310"/>
      <c r="KKS51" s="310"/>
      <c r="KKT51" s="310"/>
      <c r="KKU51" s="310"/>
      <c r="KKV51" s="310"/>
      <c r="KKW51" s="310"/>
      <c r="KKX51" s="310"/>
      <c r="KKY51" s="310"/>
      <c r="KKZ51" s="310"/>
      <c r="KLA51" s="310"/>
      <c r="KLB51" s="310"/>
      <c r="KLC51" s="310"/>
      <c r="KLD51" s="310"/>
      <c r="KLE51" s="310"/>
      <c r="KLF51" s="310"/>
      <c r="KLG51" s="310"/>
      <c r="KLH51" s="310"/>
      <c r="KLI51" s="310"/>
      <c r="KLJ51" s="310"/>
      <c r="KLK51" s="310"/>
      <c r="KLL51" s="310"/>
      <c r="KLM51" s="310"/>
      <c r="KLN51" s="310"/>
      <c r="KLO51" s="310"/>
      <c r="KLP51" s="310"/>
      <c r="KLQ51" s="310"/>
      <c r="KLR51" s="310"/>
      <c r="KLS51" s="310"/>
      <c r="KLT51" s="310"/>
      <c r="KLU51" s="310"/>
      <c r="KLV51" s="310"/>
      <c r="KLW51" s="310"/>
      <c r="KLX51" s="310"/>
      <c r="KLY51" s="310"/>
      <c r="KLZ51" s="310"/>
      <c r="KMA51" s="310"/>
      <c r="KMB51" s="310"/>
      <c r="KMC51" s="310"/>
      <c r="KMD51" s="310"/>
      <c r="KME51" s="310"/>
      <c r="KMF51" s="310"/>
      <c r="KMG51" s="310"/>
      <c r="KMH51" s="310"/>
      <c r="KMI51" s="310"/>
      <c r="KMJ51" s="310"/>
      <c r="KMK51" s="310"/>
      <c r="KML51" s="310"/>
      <c r="KMM51" s="310"/>
      <c r="KMN51" s="310"/>
      <c r="KMO51" s="310"/>
      <c r="KMP51" s="310"/>
      <c r="KMQ51" s="310"/>
      <c r="KMR51" s="310"/>
      <c r="KMS51" s="310"/>
      <c r="KMT51" s="310"/>
      <c r="KMU51" s="310"/>
      <c r="KMV51" s="310"/>
      <c r="KMW51" s="310"/>
      <c r="KMX51" s="310"/>
      <c r="KMY51" s="310"/>
      <c r="KMZ51" s="310"/>
      <c r="KNA51" s="310"/>
      <c r="KNB51" s="310"/>
      <c r="KNC51" s="310"/>
      <c r="KND51" s="310"/>
      <c r="KNE51" s="310"/>
      <c r="KNF51" s="310"/>
      <c r="KNG51" s="310"/>
      <c r="KNH51" s="310"/>
      <c r="KNI51" s="310"/>
      <c r="KNJ51" s="310"/>
      <c r="KNK51" s="310"/>
      <c r="KNL51" s="310"/>
      <c r="KNM51" s="310"/>
      <c r="KNN51" s="310"/>
      <c r="KNO51" s="310"/>
      <c r="KNP51" s="310"/>
      <c r="KNQ51" s="310"/>
      <c r="KNR51" s="310"/>
      <c r="KNS51" s="310"/>
      <c r="KNT51" s="310"/>
      <c r="KNU51" s="310"/>
      <c r="KNV51" s="310"/>
      <c r="KNW51" s="310"/>
      <c r="KNX51" s="310"/>
      <c r="KNY51" s="310"/>
      <c r="KNZ51" s="310"/>
      <c r="KOA51" s="310"/>
      <c r="KOB51" s="310"/>
      <c r="KOC51" s="310"/>
      <c r="KOD51" s="310"/>
      <c r="KOE51" s="310"/>
      <c r="KOF51" s="310"/>
      <c r="KOG51" s="310"/>
      <c r="KOH51" s="310"/>
      <c r="KOI51" s="310"/>
      <c r="KOJ51" s="310"/>
      <c r="KOK51" s="310"/>
      <c r="KOL51" s="310"/>
      <c r="KOM51" s="310"/>
      <c r="KON51" s="310"/>
      <c r="KOO51" s="310"/>
      <c r="KOP51" s="310"/>
      <c r="KOQ51" s="310"/>
      <c r="KOR51" s="310"/>
      <c r="KOS51" s="310"/>
      <c r="KOT51" s="310"/>
      <c r="KOU51" s="310"/>
      <c r="KOV51" s="310"/>
      <c r="KOW51" s="310"/>
      <c r="KOX51" s="310"/>
      <c r="KOY51" s="310"/>
      <c r="KOZ51" s="310"/>
      <c r="KPA51" s="310"/>
      <c r="KPB51" s="310"/>
      <c r="KPC51" s="310"/>
      <c r="KPD51" s="310"/>
      <c r="KPE51" s="310"/>
      <c r="KPF51" s="310"/>
      <c r="KPG51" s="310"/>
      <c r="KPH51" s="310"/>
      <c r="KPI51" s="310"/>
      <c r="KPJ51" s="310"/>
      <c r="KPK51" s="310"/>
      <c r="KPL51" s="310"/>
      <c r="KPM51" s="310"/>
      <c r="KPN51" s="310"/>
      <c r="KPO51" s="310"/>
      <c r="KPP51" s="310"/>
      <c r="KPQ51" s="310"/>
      <c r="KPR51" s="310"/>
      <c r="KPS51" s="310"/>
      <c r="KPT51" s="310"/>
      <c r="KPU51" s="310"/>
      <c r="KPV51" s="310"/>
      <c r="KPW51" s="310"/>
      <c r="KPX51" s="310"/>
      <c r="KPY51" s="310"/>
      <c r="KPZ51" s="310"/>
      <c r="KQA51" s="310"/>
      <c r="KQB51" s="310"/>
      <c r="KQC51" s="310"/>
      <c r="KQD51" s="310"/>
      <c r="KQE51" s="310"/>
      <c r="KQF51" s="310"/>
      <c r="KQG51" s="310"/>
      <c r="KQH51" s="310"/>
      <c r="KQI51" s="310"/>
      <c r="KQJ51" s="310"/>
      <c r="KQK51" s="310"/>
      <c r="KQL51" s="310"/>
      <c r="KQM51" s="310"/>
      <c r="KQN51" s="310"/>
      <c r="KQO51" s="310"/>
      <c r="KQP51" s="310"/>
      <c r="KQQ51" s="310"/>
      <c r="KQR51" s="310"/>
      <c r="KQS51" s="310"/>
      <c r="KQT51" s="310"/>
      <c r="KQU51" s="310"/>
      <c r="KQV51" s="310"/>
      <c r="KQW51" s="310"/>
      <c r="KQX51" s="310"/>
      <c r="KQY51" s="310"/>
      <c r="KQZ51" s="310"/>
      <c r="KRA51" s="310"/>
      <c r="KRB51" s="310"/>
      <c r="KRC51" s="310"/>
      <c r="KRD51" s="310"/>
      <c r="KRE51" s="310"/>
      <c r="KRF51" s="310"/>
      <c r="KRG51" s="310"/>
      <c r="KRH51" s="310"/>
      <c r="KRI51" s="310"/>
      <c r="KRJ51" s="310"/>
      <c r="KRK51" s="310"/>
      <c r="KRL51" s="310"/>
      <c r="KRM51" s="310"/>
      <c r="KRN51" s="310"/>
      <c r="KRO51" s="310"/>
      <c r="KRP51" s="310"/>
      <c r="KRQ51" s="310"/>
      <c r="KRR51" s="310"/>
      <c r="KRS51" s="310"/>
      <c r="KRT51" s="310"/>
      <c r="KRU51" s="310"/>
      <c r="KRV51" s="310"/>
      <c r="KRW51" s="310"/>
      <c r="KRX51" s="310"/>
      <c r="KRY51" s="310"/>
      <c r="KRZ51" s="310"/>
      <c r="KSA51" s="310"/>
      <c r="KSB51" s="310"/>
      <c r="KSC51" s="310"/>
      <c r="KSD51" s="310"/>
      <c r="KSE51" s="310"/>
      <c r="KSF51" s="310"/>
      <c r="KSG51" s="310"/>
      <c r="KSH51" s="310"/>
      <c r="KSI51" s="310"/>
      <c r="KSJ51" s="310"/>
      <c r="KSK51" s="310"/>
      <c r="KSL51" s="310"/>
      <c r="KSM51" s="310"/>
      <c r="KSN51" s="310"/>
      <c r="KSO51" s="310"/>
      <c r="KSP51" s="310"/>
      <c r="KSQ51" s="310"/>
      <c r="KSR51" s="310"/>
      <c r="KSS51" s="310"/>
      <c r="KST51" s="310"/>
      <c r="KSU51" s="310"/>
      <c r="KSV51" s="310"/>
      <c r="KSW51" s="310"/>
      <c r="KSX51" s="310"/>
      <c r="KSY51" s="310"/>
      <c r="KSZ51" s="310"/>
      <c r="KTA51" s="310"/>
      <c r="KTB51" s="310"/>
      <c r="KTC51" s="310"/>
      <c r="KTD51" s="310"/>
      <c r="KTE51" s="310"/>
      <c r="KTF51" s="310"/>
      <c r="KTG51" s="310"/>
      <c r="KTH51" s="310"/>
      <c r="KTI51" s="310"/>
      <c r="KTJ51" s="310"/>
      <c r="KTK51" s="310"/>
      <c r="KTL51" s="310"/>
      <c r="KTM51" s="310"/>
      <c r="KTN51" s="310"/>
      <c r="KTO51" s="310"/>
      <c r="KTP51" s="310"/>
      <c r="KTQ51" s="310"/>
      <c r="KTR51" s="310"/>
      <c r="KTS51" s="310"/>
      <c r="KTT51" s="310"/>
      <c r="KTU51" s="310"/>
      <c r="KTV51" s="310"/>
      <c r="KTW51" s="310"/>
      <c r="KTX51" s="310"/>
      <c r="KTY51" s="310"/>
      <c r="KTZ51" s="310"/>
      <c r="KUA51" s="310"/>
      <c r="KUB51" s="310"/>
      <c r="KUC51" s="310"/>
      <c r="KUD51" s="310"/>
      <c r="KUE51" s="310"/>
      <c r="KUF51" s="310"/>
      <c r="KUG51" s="310"/>
      <c r="KUH51" s="310"/>
      <c r="KUI51" s="310"/>
      <c r="KUJ51" s="310"/>
      <c r="KUK51" s="310"/>
      <c r="KUL51" s="310"/>
      <c r="KUM51" s="310"/>
      <c r="KUN51" s="310"/>
      <c r="KUO51" s="310"/>
      <c r="KUP51" s="310"/>
      <c r="KUQ51" s="310"/>
      <c r="KUR51" s="310"/>
      <c r="KUS51" s="310"/>
      <c r="KUT51" s="310"/>
      <c r="KUU51" s="310"/>
      <c r="KUV51" s="310"/>
      <c r="KUW51" s="310"/>
      <c r="KUX51" s="310"/>
      <c r="KUY51" s="310"/>
      <c r="KUZ51" s="310"/>
      <c r="KVA51" s="310"/>
      <c r="KVB51" s="310"/>
      <c r="KVC51" s="310"/>
      <c r="KVD51" s="310"/>
      <c r="KVE51" s="310"/>
      <c r="KVF51" s="310"/>
      <c r="KVG51" s="310"/>
      <c r="KVH51" s="310"/>
      <c r="KVI51" s="310"/>
      <c r="KVJ51" s="310"/>
      <c r="KVK51" s="310"/>
      <c r="KVL51" s="310"/>
      <c r="KVM51" s="310"/>
      <c r="KVN51" s="310"/>
      <c r="KVO51" s="310"/>
      <c r="KVP51" s="310"/>
      <c r="KVQ51" s="310"/>
      <c r="KVR51" s="310"/>
      <c r="KVS51" s="310"/>
      <c r="KVT51" s="310"/>
      <c r="KVU51" s="310"/>
      <c r="KVV51" s="310"/>
      <c r="KVW51" s="310"/>
      <c r="KVX51" s="310"/>
      <c r="KVY51" s="310"/>
      <c r="KVZ51" s="310"/>
      <c r="KWA51" s="310"/>
      <c r="KWB51" s="310"/>
      <c r="KWC51" s="310"/>
      <c r="KWD51" s="310"/>
      <c r="KWE51" s="310"/>
      <c r="KWF51" s="310"/>
      <c r="KWG51" s="310"/>
      <c r="KWH51" s="310"/>
      <c r="KWI51" s="310"/>
      <c r="KWJ51" s="310"/>
      <c r="KWK51" s="310"/>
      <c r="KWL51" s="310"/>
      <c r="KWM51" s="310"/>
      <c r="KWN51" s="310"/>
      <c r="KWO51" s="310"/>
      <c r="KWP51" s="310"/>
      <c r="KWQ51" s="310"/>
      <c r="KWR51" s="310"/>
      <c r="KWS51" s="310"/>
      <c r="KWT51" s="310"/>
      <c r="KWU51" s="310"/>
      <c r="KWV51" s="310"/>
      <c r="KWW51" s="310"/>
      <c r="KWX51" s="310"/>
      <c r="KWY51" s="310"/>
      <c r="KWZ51" s="310"/>
      <c r="KXA51" s="310"/>
      <c r="KXB51" s="310"/>
      <c r="KXC51" s="310"/>
      <c r="KXD51" s="310"/>
      <c r="KXE51" s="310"/>
      <c r="KXF51" s="310"/>
      <c r="KXG51" s="310"/>
      <c r="KXH51" s="310"/>
      <c r="KXI51" s="310"/>
      <c r="KXJ51" s="310"/>
      <c r="KXK51" s="310"/>
      <c r="KXL51" s="310"/>
      <c r="KXM51" s="310"/>
      <c r="KXN51" s="310"/>
      <c r="KXO51" s="310"/>
      <c r="KXP51" s="310"/>
      <c r="KXQ51" s="310"/>
      <c r="KXR51" s="310"/>
      <c r="KXS51" s="310"/>
      <c r="KXT51" s="310"/>
      <c r="KXU51" s="310"/>
      <c r="KXV51" s="310"/>
      <c r="KXW51" s="310"/>
      <c r="KXX51" s="310"/>
      <c r="KXY51" s="310"/>
      <c r="KXZ51" s="310"/>
      <c r="KYA51" s="310"/>
      <c r="KYB51" s="310"/>
      <c r="KYC51" s="310"/>
      <c r="KYD51" s="310"/>
      <c r="KYE51" s="310"/>
      <c r="KYF51" s="310"/>
      <c r="KYG51" s="310"/>
      <c r="KYH51" s="310"/>
      <c r="KYI51" s="310"/>
      <c r="KYJ51" s="310"/>
      <c r="KYK51" s="310"/>
      <c r="KYL51" s="310"/>
      <c r="KYM51" s="310"/>
      <c r="KYN51" s="310"/>
      <c r="KYO51" s="310"/>
      <c r="KYP51" s="310"/>
      <c r="KYQ51" s="310"/>
      <c r="KYR51" s="310"/>
      <c r="KYS51" s="310"/>
      <c r="KYT51" s="310"/>
      <c r="KYU51" s="310"/>
      <c r="KYV51" s="310"/>
      <c r="KYW51" s="310"/>
      <c r="KYX51" s="310"/>
      <c r="KYY51" s="310"/>
      <c r="KYZ51" s="310"/>
      <c r="KZA51" s="310"/>
      <c r="KZB51" s="310"/>
      <c r="KZC51" s="310"/>
      <c r="KZD51" s="310"/>
      <c r="KZE51" s="310"/>
      <c r="KZF51" s="310"/>
      <c r="KZG51" s="310"/>
      <c r="KZH51" s="310"/>
      <c r="KZI51" s="310"/>
      <c r="KZJ51" s="310"/>
      <c r="KZK51" s="310"/>
      <c r="KZL51" s="310"/>
      <c r="KZM51" s="310"/>
      <c r="KZN51" s="310"/>
      <c r="KZO51" s="310"/>
      <c r="KZP51" s="310"/>
      <c r="KZQ51" s="310"/>
      <c r="KZR51" s="310"/>
      <c r="KZS51" s="310"/>
      <c r="KZT51" s="310"/>
      <c r="KZU51" s="310"/>
      <c r="KZV51" s="310"/>
      <c r="KZW51" s="310"/>
      <c r="KZX51" s="310"/>
      <c r="KZY51" s="310"/>
      <c r="KZZ51" s="310"/>
      <c r="LAA51" s="310"/>
      <c r="LAB51" s="310"/>
      <c r="LAC51" s="310"/>
      <c r="LAD51" s="310"/>
      <c r="LAE51" s="310"/>
      <c r="LAF51" s="310"/>
      <c r="LAG51" s="310"/>
      <c r="LAH51" s="310"/>
      <c r="LAI51" s="310"/>
      <c r="LAJ51" s="310"/>
      <c r="LAK51" s="310"/>
      <c r="LAL51" s="310"/>
      <c r="LAM51" s="310"/>
      <c r="LAN51" s="310"/>
      <c r="LAO51" s="310"/>
      <c r="LAP51" s="310"/>
      <c r="LAQ51" s="310"/>
      <c r="LAR51" s="310"/>
      <c r="LAS51" s="310"/>
      <c r="LAT51" s="310"/>
      <c r="LAU51" s="310"/>
      <c r="LAV51" s="310"/>
      <c r="LAW51" s="310"/>
      <c r="LAX51" s="310"/>
      <c r="LAY51" s="310"/>
      <c r="LAZ51" s="310"/>
      <c r="LBA51" s="310"/>
      <c r="LBB51" s="310"/>
      <c r="LBC51" s="310"/>
      <c r="LBD51" s="310"/>
      <c r="LBE51" s="310"/>
      <c r="LBF51" s="310"/>
      <c r="LBG51" s="310"/>
      <c r="LBH51" s="310"/>
      <c r="LBI51" s="310"/>
      <c r="LBJ51" s="310"/>
      <c r="LBK51" s="310"/>
      <c r="LBL51" s="310"/>
      <c r="LBM51" s="310"/>
      <c r="LBN51" s="310"/>
      <c r="LBO51" s="310"/>
      <c r="LBP51" s="310"/>
      <c r="LBQ51" s="310"/>
      <c r="LBR51" s="310"/>
      <c r="LBS51" s="310"/>
      <c r="LBT51" s="310"/>
      <c r="LBU51" s="310"/>
      <c r="LBV51" s="310"/>
      <c r="LBW51" s="310"/>
      <c r="LBX51" s="310"/>
      <c r="LBY51" s="310"/>
      <c r="LBZ51" s="310"/>
      <c r="LCA51" s="310"/>
      <c r="LCB51" s="310"/>
      <c r="LCC51" s="310"/>
      <c r="LCD51" s="310"/>
      <c r="LCE51" s="310"/>
      <c r="LCF51" s="310"/>
      <c r="LCG51" s="310"/>
      <c r="LCH51" s="310"/>
      <c r="LCI51" s="310"/>
      <c r="LCJ51" s="310"/>
      <c r="LCK51" s="310"/>
      <c r="LCL51" s="310"/>
      <c r="LCM51" s="310"/>
      <c r="LCN51" s="310"/>
      <c r="LCO51" s="310"/>
      <c r="LCP51" s="310"/>
      <c r="LCQ51" s="310"/>
      <c r="LCR51" s="310"/>
      <c r="LCS51" s="310"/>
      <c r="LCT51" s="310"/>
      <c r="LCU51" s="310"/>
      <c r="LCV51" s="310"/>
      <c r="LCW51" s="310"/>
      <c r="LCX51" s="310"/>
      <c r="LCY51" s="310"/>
      <c r="LCZ51" s="310"/>
      <c r="LDA51" s="310"/>
      <c r="LDB51" s="310"/>
      <c r="LDC51" s="310"/>
      <c r="LDD51" s="310"/>
      <c r="LDE51" s="310"/>
      <c r="LDF51" s="310"/>
      <c r="LDG51" s="310"/>
      <c r="LDH51" s="310"/>
      <c r="LDI51" s="310"/>
      <c r="LDJ51" s="310"/>
      <c r="LDK51" s="310"/>
      <c r="LDL51" s="310"/>
      <c r="LDM51" s="310"/>
      <c r="LDN51" s="310"/>
      <c r="LDO51" s="310"/>
      <c r="LDP51" s="310"/>
      <c r="LDQ51" s="310"/>
      <c r="LDR51" s="310"/>
      <c r="LDS51" s="310"/>
      <c r="LDT51" s="310"/>
      <c r="LDU51" s="310"/>
      <c r="LDV51" s="310"/>
      <c r="LDW51" s="310"/>
      <c r="LDX51" s="310"/>
      <c r="LDY51" s="310"/>
      <c r="LDZ51" s="310"/>
      <c r="LEA51" s="310"/>
      <c r="LEB51" s="310"/>
      <c r="LEC51" s="310"/>
      <c r="LED51" s="310"/>
      <c r="LEE51" s="310"/>
      <c r="LEF51" s="310"/>
      <c r="LEG51" s="310"/>
      <c r="LEH51" s="310"/>
      <c r="LEI51" s="310"/>
      <c r="LEJ51" s="310"/>
      <c r="LEK51" s="310"/>
      <c r="LEL51" s="310"/>
      <c r="LEM51" s="310"/>
      <c r="LEN51" s="310"/>
      <c r="LEO51" s="310"/>
      <c r="LEP51" s="310"/>
      <c r="LEQ51" s="310"/>
      <c r="LER51" s="310"/>
      <c r="LES51" s="310"/>
      <c r="LET51" s="310"/>
      <c r="LEU51" s="310"/>
      <c r="LEV51" s="310"/>
      <c r="LEW51" s="310"/>
      <c r="LEX51" s="310"/>
      <c r="LEY51" s="310"/>
      <c r="LEZ51" s="310"/>
      <c r="LFA51" s="310"/>
      <c r="LFB51" s="310"/>
      <c r="LFC51" s="310"/>
      <c r="LFD51" s="310"/>
      <c r="LFE51" s="310"/>
      <c r="LFF51" s="310"/>
      <c r="LFG51" s="310"/>
      <c r="LFH51" s="310"/>
      <c r="LFI51" s="310"/>
      <c r="LFJ51" s="310"/>
      <c r="LFK51" s="310"/>
      <c r="LFL51" s="310"/>
      <c r="LFM51" s="310"/>
      <c r="LFN51" s="310"/>
      <c r="LFO51" s="310"/>
      <c r="LFP51" s="310"/>
      <c r="LFQ51" s="310"/>
      <c r="LFR51" s="310"/>
      <c r="LFS51" s="310"/>
      <c r="LFT51" s="310"/>
      <c r="LFU51" s="310"/>
      <c r="LFV51" s="310"/>
      <c r="LFW51" s="310"/>
      <c r="LFX51" s="310"/>
      <c r="LFY51" s="310"/>
      <c r="LFZ51" s="310"/>
      <c r="LGA51" s="310"/>
      <c r="LGB51" s="310"/>
      <c r="LGC51" s="310"/>
      <c r="LGD51" s="310"/>
      <c r="LGE51" s="310"/>
      <c r="LGF51" s="310"/>
      <c r="LGG51" s="310"/>
      <c r="LGH51" s="310"/>
      <c r="LGI51" s="310"/>
      <c r="LGJ51" s="310"/>
      <c r="LGK51" s="310"/>
      <c r="LGL51" s="310"/>
      <c r="LGM51" s="310"/>
      <c r="LGN51" s="310"/>
      <c r="LGO51" s="310"/>
      <c r="LGP51" s="310"/>
      <c r="LGQ51" s="310"/>
      <c r="LGR51" s="310"/>
      <c r="LGS51" s="310"/>
      <c r="LGT51" s="310"/>
      <c r="LGU51" s="310"/>
      <c r="LGV51" s="310"/>
      <c r="LGW51" s="310"/>
      <c r="LGX51" s="310"/>
      <c r="LGY51" s="310"/>
      <c r="LGZ51" s="310"/>
      <c r="LHA51" s="310"/>
      <c r="LHB51" s="310"/>
      <c r="LHC51" s="310"/>
      <c r="LHD51" s="310"/>
      <c r="LHE51" s="310"/>
      <c r="LHF51" s="310"/>
      <c r="LHG51" s="310"/>
      <c r="LHH51" s="310"/>
      <c r="LHI51" s="310"/>
      <c r="LHJ51" s="310"/>
      <c r="LHK51" s="310"/>
      <c r="LHL51" s="310"/>
      <c r="LHM51" s="310"/>
      <c r="LHN51" s="310"/>
      <c r="LHO51" s="310"/>
      <c r="LHP51" s="310"/>
      <c r="LHQ51" s="310"/>
      <c r="LHR51" s="310"/>
      <c r="LHS51" s="310"/>
      <c r="LHT51" s="310"/>
      <c r="LHU51" s="310"/>
      <c r="LHV51" s="310"/>
      <c r="LHW51" s="310"/>
      <c r="LHX51" s="310"/>
      <c r="LHY51" s="310"/>
      <c r="LHZ51" s="310"/>
      <c r="LIA51" s="310"/>
      <c r="LIB51" s="310"/>
      <c r="LIC51" s="310"/>
      <c r="LID51" s="310"/>
      <c r="LIE51" s="310"/>
      <c r="LIF51" s="310"/>
      <c r="LIG51" s="310"/>
      <c r="LIH51" s="310"/>
      <c r="LII51" s="310"/>
      <c r="LIJ51" s="310"/>
      <c r="LIK51" s="310"/>
      <c r="LIL51" s="310"/>
      <c r="LIM51" s="310"/>
      <c r="LIN51" s="310"/>
      <c r="LIO51" s="310"/>
      <c r="LIP51" s="310"/>
      <c r="LIQ51" s="310"/>
      <c r="LIR51" s="310"/>
      <c r="LIS51" s="310"/>
      <c r="LIT51" s="310"/>
      <c r="LIU51" s="310"/>
      <c r="LIV51" s="310"/>
      <c r="LIW51" s="310"/>
      <c r="LIX51" s="310"/>
      <c r="LIY51" s="310"/>
      <c r="LIZ51" s="310"/>
      <c r="LJA51" s="310"/>
      <c r="LJB51" s="310"/>
      <c r="LJC51" s="310"/>
      <c r="LJD51" s="310"/>
      <c r="LJE51" s="310"/>
      <c r="LJF51" s="310"/>
      <c r="LJG51" s="310"/>
      <c r="LJH51" s="310"/>
      <c r="LJI51" s="310"/>
      <c r="LJJ51" s="310"/>
      <c r="LJK51" s="310"/>
      <c r="LJL51" s="310"/>
      <c r="LJM51" s="310"/>
      <c r="LJN51" s="310"/>
      <c r="LJO51" s="310"/>
      <c r="LJP51" s="310"/>
      <c r="LJQ51" s="310"/>
      <c r="LJR51" s="310"/>
      <c r="LJS51" s="310"/>
      <c r="LJT51" s="310"/>
      <c r="LJU51" s="310"/>
      <c r="LJV51" s="310"/>
      <c r="LJW51" s="310"/>
      <c r="LJX51" s="310"/>
      <c r="LJY51" s="310"/>
      <c r="LJZ51" s="310"/>
      <c r="LKA51" s="310"/>
      <c r="LKB51" s="310"/>
      <c r="LKC51" s="310"/>
      <c r="LKD51" s="310"/>
      <c r="LKE51" s="310"/>
      <c r="LKF51" s="310"/>
      <c r="LKG51" s="310"/>
      <c r="LKH51" s="310"/>
      <c r="LKI51" s="310"/>
      <c r="LKJ51" s="310"/>
      <c r="LKK51" s="310"/>
      <c r="LKL51" s="310"/>
      <c r="LKM51" s="310"/>
      <c r="LKN51" s="310"/>
      <c r="LKO51" s="310"/>
      <c r="LKP51" s="310"/>
      <c r="LKQ51" s="310"/>
      <c r="LKR51" s="310"/>
      <c r="LKS51" s="310"/>
      <c r="LKT51" s="310"/>
      <c r="LKU51" s="310"/>
      <c r="LKV51" s="310"/>
      <c r="LKW51" s="310"/>
      <c r="LKX51" s="310"/>
      <c r="LKY51" s="310"/>
      <c r="LKZ51" s="310"/>
      <c r="LLA51" s="310"/>
      <c r="LLB51" s="310"/>
      <c r="LLC51" s="310"/>
      <c r="LLD51" s="310"/>
      <c r="LLE51" s="310"/>
      <c r="LLF51" s="310"/>
      <c r="LLG51" s="310"/>
      <c r="LLH51" s="310"/>
      <c r="LLI51" s="310"/>
      <c r="LLJ51" s="310"/>
      <c r="LLK51" s="310"/>
      <c r="LLL51" s="310"/>
      <c r="LLM51" s="310"/>
      <c r="LLN51" s="310"/>
      <c r="LLO51" s="310"/>
      <c r="LLP51" s="310"/>
      <c r="LLQ51" s="310"/>
      <c r="LLR51" s="310"/>
      <c r="LLS51" s="310"/>
      <c r="LLT51" s="310"/>
      <c r="LLU51" s="310"/>
      <c r="LLV51" s="310"/>
      <c r="LLW51" s="310"/>
      <c r="LLX51" s="310"/>
      <c r="LLY51" s="310"/>
      <c r="LLZ51" s="310"/>
      <c r="LMA51" s="310"/>
      <c r="LMB51" s="310"/>
      <c r="LMC51" s="310"/>
      <c r="LMD51" s="310"/>
      <c r="LME51" s="310"/>
      <c r="LMF51" s="310"/>
      <c r="LMG51" s="310"/>
      <c r="LMH51" s="310"/>
      <c r="LMI51" s="310"/>
      <c r="LMJ51" s="310"/>
      <c r="LMK51" s="310"/>
      <c r="LML51" s="310"/>
      <c r="LMM51" s="310"/>
      <c r="LMN51" s="310"/>
      <c r="LMO51" s="310"/>
      <c r="LMP51" s="310"/>
      <c r="LMQ51" s="310"/>
      <c r="LMR51" s="310"/>
      <c r="LMS51" s="310"/>
      <c r="LMT51" s="310"/>
      <c r="LMU51" s="310"/>
      <c r="LMV51" s="310"/>
      <c r="LMW51" s="310"/>
      <c r="LMX51" s="310"/>
      <c r="LMY51" s="310"/>
      <c r="LMZ51" s="310"/>
      <c r="LNA51" s="310"/>
      <c r="LNB51" s="310"/>
      <c r="LNC51" s="310"/>
      <c r="LND51" s="310"/>
      <c r="LNE51" s="310"/>
      <c r="LNF51" s="310"/>
      <c r="LNG51" s="310"/>
      <c r="LNH51" s="310"/>
      <c r="LNI51" s="310"/>
      <c r="LNJ51" s="310"/>
      <c r="LNK51" s="310"/>
      <c r="LNL51" s="310"/>
      <c r="LNM51" s="310"/>
      <c r="LNN51" s="310"/>
      <c r="LNO51" s="310"/>
      <c r="LNP51" s="310"/>
      <c r="LNQ51" s="310"/>
      <c r="LNR51" s="310"/>
      <c r="LNS51" s="310"/>
      <c r="LNT51" s="310"/>
      <c r="LNU51" s="310"/>
      <c r="LNV51" s="310"/>
      <c r="LNW51" s="310"/>
      <c r="LNX51" s="310"/>
      <c r="LNY51" s="310"/>
      <c r="LNZ51" s="310"/>
      <c r="LOA51" s="310"/>
      <c r="LOB51" s="310"/>
      <c r="LOC51" s="310"/>
      <c r="LOD51" s="310"/>
      <c r="LOE51" s="310"/>
      <c r="LOF51" s="310"/>
      <c r="LOG51" s="310"/>
      <c r="LOH51" s="310"/>
      <c r="LOI51" s="310"/>
      <c r="LOJ51" s="310"/>
      <c r="LOK51" s="310"/>
      <c r="LOL51" s="310"/>
      <c r="LOM51" s="310"/>
      <c r="LON51" s="310"/>
      <c r="LOO51" s="310"/>
      <c r="LOP51" s="310"/>
      <c r="LOQ51" s="310"/>
      <c r="LOR51" s="310"/>
      <c r="LOS51" s="310"/>
      <c r="LOT51" s="310"/>
      <c r="LOU51" s="310"/>
      <c r="LOV51" s="310"/>
      <c r="LOW51" s="310"/>
      <c r="LOX51" s="310"/>
      <c r="LOY51" s="310"/>
      <c r="LOZ51" s="310"/>
      <c r="LPA51" s="310"/>
      <c r="LPB51" s="310"/>
      <c r="LPC51" s="310"/>
      <c r="LPD51" s="310"/>
      <c r="LPE51" s="310"/>
      <c r="LPF51" s="310"/>
      <c r="LPG51" s="310"/>
      <c r="LPH51" s="310"/>
      <c r="LPI51" s="310"/>
      <c r="LPJ51" s="310"/>
      <c r="LPK51" s="310"/>
      <c r="LPL51" s="310"/>
      <c r="LPM51" s="310"/>
      <c r="LPN51" s="310"/>
      <c r="LPO51" s="310"/>
      <c r="LPP51" s="310"/>
      <c r="LPQ51" s="310"/>
      <c r="LPR51" s="310"/>
      <c r="LPS51" s="310"/>
      <c r="LPT51" s="310"/>
      <c r="LPU51" s="310"/>
      <c r="LPV51" s="310"/>
      <c r="LPW51" s="310"/>
      <c r="LPX51" s="310"/>
      <c r="LPY51" s="310"/>
      <c r="LPZ51" s="310"/>
      <c r="LQA51" s="310"/>
      <c r="LQB51" s="310"/>
      <c r="LQC51" s="310"/>
      <c r="LQD51" s="310"/>
      <c r="LQE51" s="310"/>
      <c r="LQF51" s="310"/>
      <c r="LQG51" s="310"/>
      <c r="LQH51" s="310"/>
      <c r="LQI51" s="310"/>
      <c r="LQJ51" s="310"/>
      <c r="LQK51" s="310"/>
      <c r="LQL51" s="310"/>
      <c r="LQM51" s="310"/>
      <c r="LQN51" s="310"/>
      <c r="LQO51" s="310"/>
      <c r="LQP51" s="310"/>
      <c r="LQQ51" s="310"/>
      <c r="LQR51" s="310"/>
      <c r="LQS51" s="310"/>
      <c r="LQT51" s="310"/>
      <c r="LQU51" s="310"/>
      <c r="LQV51" s="310"/>
      <c r="LQW51" s="310"/>
      <c r="LQX51" s="310"/>
      <c r="LQY51" s="310"/>
      <c r="LQZ51" s="310"/>
      <c r="LRA51" s="310"/>
      <c r="LRB51" s="310"/>
      <c r="LRC51" s="310"/>
      <c r="LRD51" s="310"/>
      <c r="LRE51" s="310"/>
      <c r="LRF51" s="310"/>
      <c r="LRG51" s="310"/>
      <c r="LRH51" s="310"/>
      <c r="LRI51" s="310"/>
      <c r="LRJ51" s="310"/>
      <c r="LRK51" s="310"/>
      <c r="LRL51" s="310"/>
      <c r="LRM51" s="310"/>
      <c r="LRN51" s="310"/>
      <c r="LRO51" s="310"/>
      <c r="LRP51" s="310"/>
      <c r="LRQ51" s="310"/>
      <c r="LRR51" s="310"/>
      <c r="LRS51" s="310"/>
      <c r="LRT51" s="310"/>
      <c r="LRU51" s="310"/>
      <c r="LRV51" s="310"/>
      <c r="LRW51" s="310"/>
      <c r="LRX51" s="310"/>
      <c r="LRY51" s="310"/>
      <c r="LRZ51" s="310"/>
      <c r="LSA51" s="310"/>
      <c r="LSB51" s="310"/>
      <c r="LSC51" s="310"/>
      <c r="LSD51" s="310"/>
      <c r="LSE51" s="310"/>
      <c r="LSF51" s="310"/>
      <c r="LSG51" s="310"/>
      <c r="LSH51" s="310"/>
      <c r="LSI51" s="310"/>
      <c r="LSJ51" s="310"/>
      <c r="LSK51" s="310"/>
      <c r="LSL51" s="310"/>
      <c r="LSM51" s="310"/>
      <c r="LSN51" s="310"/>
      <c r="LSO51" s="310"/>
      <c r="LSP51" s="310"/>
      <c r="LSQ51" s="310"/>
      <c r="LSR51" s="310"/>
      <c r="LSS51" s="310"/>
      <c r="LST51" s="310"/>
      <c r="LSU51" s="310"/>
      <c r="LSV51" s="310"/>
      <c r="LSW51" s="310"/>
      <c r="LSX51" s="310"/>
      <c r="LSY51" s="310"/>
      <c r="LSZ51" s="310"/>
      <c r="LTA51" s="310"/>
      <c r="LTB51" s="310"/>
      <c r="LTC51" s="310"/>
      <c r="LTD51" s="310"/>
      <c r="LTE51" s="310"/>
      <c r="LTF51" s="310"/>
      <c r="LTG51" s="310"/>
      <c r="LTH51" s="310"/>
      <c r="LTI51" s="310"/>
      <c r="LTJ51" s="310"/>
      <c r="LTK51" s="310"/>
      <c r="LTL51" s="310"/>
      <c r="LTM51" s="310"/>
      <c r="LTN51" s="310"/>
      <c r="LTO51" s="310"/>
      <c r="LTP51" s="310"/>
      <c r="LTQ51" s="310"/>
      <c r="LTR51" s="310"/>
      <c r="LTS51" s="310"/>
      <c r="LTT51" s="310"/>
      <c r="LTU51" s="310"/>
      <c r="LTV51" s="310"/>
      <c r="LTW51" s="310"/>
      <c r="LTX51" s="310"/>
      <c r="LTY51" s="310"/>
      <c r="LTZ51" s="310"/>
      <c r="LUA51" s="310"/>
      <c r="LUB51" s="310"/>
      <c r="LUC51" s="310"/>
      <c r="LUD51" s="310"/>
      <c r="LUE51" s="310"/>
      <c r="LUF51" s="310"/>
      <c r="LUG51" s="310"/>
      <c r="LUH51" s="310"/>
      <c r="LUI51" s="310"/>
      <c r="LUJ51" s="310"/>
      <c r="LUK51" s="310"/>
      <c r="LUL51" s="310"/>
      <c r="LUM51" s="310"/>
      <c r="LUN51" s="310"/>
      <c r="LUO51" s="310"/>
      <c r="LUP51" s="310"/>
      <c r="LUQ51" s="310"/>
      <c r="LUR51" s="310"/>
      <c r="LUS51" s="310"/>
      <c r="LUT51" s="310"/>
      <c r="LUU51" s="310"/>
      <c r="LUV51" s="310"/>
      <c r="LUW51" s="310"/>
      <c r="LUX51" s="310"/>
      <c r="LUY51" s="310"/>
      <c r="LUZ51" s="310"/>
      <c r="LVA51" s="310"/>
      <c r="LVB51" s="310"/>
      <c r="LVC51" s="310"/>
      <c r="LVD51" s="310"/>
      <c r="LVE51" s="310"/>
      <c r="LVF51" s="310"/>
      <c r="LVG51" s="310"/>
      <c r="LVH51" s="310"/>
      <c r="LVI51" s="310"/>
      <c r="LVJ51" s="310"/>
      <c r="LVK51" s="310"/>
      <c r="LVL51" s="310"/>
      <c r="LVM51" s="310"/>
      <c r="LVN51" s="310"/>
      <c r="LVO51" s="310"/>
      <c r="LVP51" s="310"/>
      <c r="LVQ51" s="310"/>
      <c r="LVR51" s="310"/>
      <c r="LVS51" s="310"/>
      <c r="LVT51" s="310"/>
      <c r="LVU51" s="310"/>
      <c r="LVV51" s="310"/>
      <c r="LVW51" s="310"/>
      <c r="LVX51" s="310"/>
      <c r="LVY51" s="310"/>
      <c r="LVZ51" s="310"/>
      <c r="LWA51" s="310"/>
      <c r="LWB51" s="310"/>
      <c r="LWC51" s="310"/>
      <c r="LWD51" s="310"/>
      <c r="LWE51" s="310"/>
      <c r="LWF51" s="310"/>
      <c r="LWG51" s="310"/>
      <c r="LWH51" s="310"/>
      <c r="LWI51" s="310"/>
      <c r="LWJ51" s="310"/>
      <c r="LWK51" s="310"/>
      <c r="LWL51" s="310"/>
      <c r="LWM51" s="310"/>
      <c r="LWN51" s="310"/>
      <c r="LWO51" s="310"/>
      <c r="LWP51" s="310"/>
      <c r="LWQ51" s="310"/>
      <c r="LWR51" s="310"/>
      <c r="LWS51" s="310"/>
      <c r="LWT51" s="310"/>
      <c r="LWU51" s="310"/>
      <c r="LWV51" s="310"/>
      <c r="LWW51" s="310"/>
      <c r="LWX51" s="310"/>
      <c r="LWY51" s="310"/>
      <c r="LWZ51" s="310"/>
      <c r="LXA51" s="310"/>
      <c r="LXB51" s="310"/>
      <c r="LXC51" s="310"/>
      <c r="LXD51" s="310"/>
      <c r="LXE51" s="310"/>
      <c r="LXF51" s="310"/>
      <c r="LXG51" s="310"/>
      <c r="LXH51" s="310"/>
      <c r="LXI51" s="310"/>
      <c r="LXJ51" s="310"/>
      <c r="LXK51" s="310"/>
      <c r="LXL51" s="310"/>
      <c r="LXM51" s="310"/>
      <c r="LXN51" s="310"/>
      <c r="LXO51" s="310"/>
      <c r="LXP51" s="310"/>
      <c r="LXQ51" s="310"/>
      <c r="LXR51" s="310"/>
      <c r="LXS51" s="310"/>
      <c r="LXT51" s="310"/>
      <c r="LXU51" s="310"/>
      <c r="LXV51" s="310"/>
      <c r="LXW51" s="310"/>
      <c r="LXX51" s="310"/>
      <c r="LXY51" s="310"/>
      <c r="LXZ51" s="310"/>
      <c r="LYA51" s="310"/>
      <c r="LYB51" s="310"/>
      <c r="LYC51" s="310"/>
      <c r="LYD51" s="310"/>
      <c r="LYE51" s="310"/>
      <c r="LYF51" s="310"/>
      <c r="LYG51" s="310"/>
      <c r="LYH51" s="310"/>
      <c r="LYI51" s="310"/>
      <c r="LYJ51" s="310"/>
      <c r="LYK51" s="310"/>
      <c r="LYL51" s="310"/>
      <c r="LYM51" s="310"/>
      <c r="LYN51" s="310"/>
      <c r="LYO51" s="310"/>
      <c r="LYP51" s="310"/>
      <c r="LYQ51" s="310"/>
      <c r="LYR51" s="310"/>
      <c r="LYS51" s="310"/>
      <c r="LYT51" s="310"/>
      <c r="LYU51" s="310"/>
      <c r="LYV51" s="310"/>
      <c r="LYW51" s="310"/>
      <c r="LYX51" s="310"/>
      <c r="LYY51" s="310"/>
      <c r="LYZ51" s="310"/>
      <c r="LZA51" s="310"/>
      <c r="LZB51" s="310"/>
      <c r="LZC51" s="310"/>
      <c r="LZD51" s="310"/>
      <c r="LZE51" s="310"/>
      <c r="LZF51" s="310"/>
      <c r="LZG51" s="310"/>
      <c r="LZH51" s="310"/>
      <c r="LZI51" s="310"/>
      <c r="LZJ51" s="310"/>
      <c r="LZK51" s="310"/>
      <c r="LZL51" s="310"/>
      <c r="LZM51" s="310"/>
      <c r="LZN51" s="310"/>
      <c r="LZO51" s="310"/>
      <c r="LZP51" s="310"/>
      <c r="LZQ51" s="310"/>
      <c r="LZR51" s="310"/>
      <c r="LZS51" s="310"/>
      <c r="LZT51" s="310"/>
      <c r="LZU51" s="310"/>
      <c r="LZV51" s="310"/>
      <c r="LZW51" s="310"/>
      <c r="LZX51" s="310"/>
      <c r="LZY51" s="310"/>
      <c r="LZZ51" s="310"/>
      <c r="MAA51" s="310"/>
      <c r="MAB51" s="310"/>
      <c r="MAC51" s="310"/>
      <c r="MAD51" s="310"/>
      <c r="MAE51" s="310"/>
      <c r="MAF51" s="310"/>
      <c r="MAG51" s="310"/>
      <c r="MAH51" s="310"/>
      <c r="MAI51" s="310"/>
      <c r="MAJ51" s="310"/>
      <c r="MAK51" s="310"/>
      <c r="MAL51" s="310"/>
      <c r="MAM51" s="310"/>
      <c r="MAN51" s="310"/>
      <c r="MAO51" s="310"/>
      <c r="MAP51" s="310"/>
      <c r="MAQ51" s="310"/>
      <c r="MAR51" s="310"/>
      <c r="MAS51" s="310"/>
      <c r="MAT51" s="310"/>
      <c r="MAU51" s="310"/>
      <c r="MAV51" s="310"/>
      <c r="MAW51" s="310"/>
      <c r="MAX51" s="310"/>
      <c r="MAY51" s="310"/>
      <c r="MAZ51" s="310"/>
      <c r="MBA51" s="310"/>
      <c r="MBB51" s="310"/>
      <c r="MBC51" s="310"/>
      <c r="MBD51" s="310"/>
      <c r="MBE51" s="310"/>
      <c r="MBF51" s="310"/>
      <c r="MBG51" s="310"/>
      <c r="MBH51" s="310"/>
      <c r="MBI51" s="310"/>
      <c r="MBJ51" s="310"/>
      <c r="MBK51" s="310"/>
      <c r="MBL51" s="310"/>
      <c r="MBM51" s="310"/>
      <c r="MBN51" s="310"/>
      <c r="MBO51" s="310"/>
      <c r="MBP51" s="310"/>
      <c r="MBQ51" s="310"/>
      <c r="MBR51" s="310"/>
      <c r="MBS51" s="310"/>
      <c r="MBT51" s="310"/>
      <c r="MBU51" s="310"/>
      <c r="MBV51" s="310"/>
      <c r="MBW51" s="310"/>
      <c r="MBX51" s="310"/>
      <c r="MBY51" s="310"/>
      <c r="MBZ51" s="310"/>
      <c r="MCA51" s="310"/>
      <c r="MCB51" s="310"/>
      <c r="MCC51" s="310"/>
      <c r="MCD51" s="310"/>
      <c r="MCE51" s="310"/>
      <c r="MCF51" s="310"/>
      <c r="MCG51" s="310"/>
      <c r="MCH51" s="310"/>
      <c r="MCI51" s="310"/>
      <c r="MCJ51" s="310"/>
      <c r="MCK51" s="310"/>
      <c r="MCL51" s="310"/>
      <c r="MCM51" s="310"/>
      <c r="MCN51" s="310"/>
      <c r="MCO51" s="310"/>
      <c r="MCP51" s="310"/>
      <c r="MCQ51" s="310"/>
      <c r="MCR51" s="310"/>
      <c r="MCS51" s="310"/>
      <c r="MCT51" s="310"/>
      <c r="MCU51" s="310"/>
      <c r="MCV51" s="310"/>
      <c r="MCW51" s="310"/>
      <c r="MCX51" s="310"/>
      <c r="MCY51" s="310"/>
      <c r="MCZ51" s="310"/>
      <c r="MDA51" s="310"/>
      <c r="MDB51" s="310"/>
      <c r="MDC51" s="310"/>
      <c r="MDD51" s="310"/>
      <c r="MDE51" s="310"/>
      <c r="MDF51" s="310"/>
      <c r="MDG51" s="310"/>
      <c r="MDH51" s="310"/>
      <c r="MDI51" s="310"/>
      <c r="MDJ51" s="310"/>
      <c r="MDK51" s="310"/>
      <c r="MDL51" s="310"/>
      <c r="MDM51" s="310"/>
      <c r="MDN51" s="310"/>
      <c r="MDO51" s="310"/>
      <c r="MDP51" s="310"/>
      <c r="MDQ51" s="310"/>
      <c r="MDR51" s="310"/>
      <c r="MDS51" s="310"/>
      <c r="MDT51" s="310"/>
      <c r="MDU51" s="310"/>
      <c r="MDV51" s="310"/>
      <c r="MDW51" s="310"/>
      <c r="MDX51" s="310"/>
      <c r="MDY51" s="310"/>
      <c r="MDZ51" s="310"/>
      <c r="MEA51" s="310"/>
      <c r="MEB51" s="310"/>
      <c r="MEC51" s="310"/>
      <c r="MED51" s="310"/>
      <c r="MEE51" s="310"/>
      <c r="MEF51" s="310"/>
      <c r="MEG51" s="310"/>
      <c r="MEH51" s="310"/>
      <c r="MEI51" s="310"/>
      <c r="MEJ51" s="310"/>
      <c r="MEK51" s="310"/>
      <c r="MEL51" s="310"/>
      <c r="MEM51" s="310"/>
      <c r="MEN51" s="310"/>
      <c r="MEO51" s="310"/>
      <c r="MEP51" s="310"/>
      <c r="MEQ51" s="310"/>
      <c r="MER51" s="310"/>
      <c r="MES51" s="310"/>
      <c r="MET51" s="310"/>
      <c r="MEU51" s="310"/>
      <c r="MEV51" s="310"/>
      <c r="MEW51" s="310"/>
      <c r="MEX51" s="310"/>
      <c r="MEY51" s="310"/>
      <c r="MEZ51" s="310"/>
      <c r="MFA51" s="310"/>
      <c r="MFB51" s="310"/>
      <c r="MFC51" s="310"/>
      <c r="MFD51" s="310"/>
      <c r="MFE51" s="310"/>
      <c r="MFF51" s="310"/>
      <c r="MFG51" s="310"/>
      <c r="MFH51" s="310"/>
      <c r="MFI51" s="310"/>
      <c r="MFJ51" s="310"/>
      <c r="MFK51" s="310"/>
      <c r="MFL51" s="310"/>
      <c r="MFM51" s="310"/>
      <c r="MFN51" s="310"/>
      <c r="MFO51" s="310"/>
      <c r="MFP51" s="310"/>
      <c r="MFQ51" s="310"/>
      <c r="MFR51" s="310"/>
      <c r="MFS51" s="310"/>
      <c r="MFT51" s="310"/>
      <c r="MFU51" s="310"/>
      <c r="MFV51" s="310"/>
      <c r="MFW51" s="310"/>
      <c r="MFX51" s="310"/>
      <c r="MFY51" s="310"/>
      <c r="MFZ51" s="310"/>
      <c r="MGA51" s="310"/>
      <c r="MGB51" s="310"/>
      <c r="MGC51" s="310"/>
      <c r="MGD51" s="310"/>
      <c r="MGE51" s="310"/>
      <c r="MGF51" s="310"/>
      <c r="MGG51" s="310"/>
      <c r="MGH51" s="310"/>
      <c r="MGI51" s="310"/>
      <c r="MGJ51" s="310"/>
      <c r="MGK51" s="310"/>
      <c r="MGL51" s="310"/>
      <c r="MGM51" s="310"/>
      <c r="MGN51" s="310"/>
      <c r="MGO51" s="310"/>
      <c r="MGP51" s="310"/>
      <c r="MGQ51" s="310"/>
      <c r="MGR51" s="310"/>
      <c r="MGS51" s="310"/>
      <c r="MGT51" s="310"/>
      <c r="MGU51" s="310"/>
      <c r="MGV51" s="310"/>
      <c r="MGW51" s="310"/>
      <c r="MGX51" s="310"/>
      <c r="MGY51" s="310"/>
      <c r="MGZ51" s="310"/>
      <c r="MHA51" s="310"/>
      <c r="MHB51" s="310"/>
      <c r="MHC51" s="310"/>
      <c r="MHD51" s="310"/>
      <c r="MHE51" s="310"/>
      <c r="MHF51" s="310"/>
      <c r="MHG51" s="310"/>
      <c r="MHH51" s="310"/>
      <c r="MHI51" s="310"/>
      <c r="MHJ51" s="310"/>
      <c r="MHK51" s="310"/>
      <c r="MHL51" s="310"/>
      <c r="MHM51" s="310"/>
      <c r="MHN51" s="310"/>
      <c r="MHO51" s="310"/>
      <c r="MHP51" s="310"/>
      <c r="MHQ51" s="310"/>
      <c r="MHR51" s="310"/>
      <c r="MHS51" s="310"/>
      <c r="MHT51" s="310"/>
      <c r="MHU51" s="310"/>
      <c r="MHV51" s="310"/>
      <c r="MHW51" s="310"/>
      <c r="MHX51" s="310"/>
      <c r="MHY51" s="310"/>
      <c r="MHZ51" s="310"/>
      <c r="MIA51" s="310"/>
      <c r="MIB51" s="310"/>
      <c r="MIC51" s="310"/>
      <c r="MID51" s="310"/>
      <c r="MIE51" s="310"/>
      <c r="MIF51" s="310"/>
      <c r="MIG51" s="310"/>
      <c r="MIH51" s="310"/>
      <c r="MII51" s="310"/>
      <c r="MIJ51" s="310"/>
      <c r="MIK51" s="310"/>
      <c r="MIL51" s="310"/>
      <c r="MIM51" s="310"/>
      <c r="MIN51" s="310"/>
      <c r="MIO51" s="310"/>
      <c r="MIP51" s="310"/>
      <c r="MIQ51" s="310"/>
      <c r="MIR51" s="310"/>
      <c r="MIS51" s="310"/>
      <c r="MIT51" s="310"/>
      <c r="MIU51" s="310"/>
      <c r="MIV51" s="310"/>
      <c r="MIW51" s="310"/>
      <c r="MIX51" s="310"/>
      <c r="MIY51" s="310"/>
      <c r="MIZ51" s="310"/>
      <c r="MJA51" s="310"/>
      <c r="MJB51" s="310"/>
      <c r="MJC51" s="310"/>
      <c r="MJD51" s="310"/>
      <c r="MJE51" s="310"/>
      <c r="MJF51" s="310"/>
      <c r="MJG51" s="310"/>
      <c r="MJH51" s="310"/>
      <c r="MJI51" s="310"/>
      <c r="MJJ51" s="310"/>
      <c r="MJK51" s="310"/>
      <c r="MJL51" s="310"/>
      <c r="MJM51" s="310"/>
      <c r="MJN51" s="310"/>
      <c r="MJO51" s="310"/>
      <c r="MJP51" s="310"/>
      <c r="MJQ51" s="310"/>
      <c r="MJR51" s="310"/>
      <c r="MJS51" s="310"/>
      <c r="MJT51" s="310"/>
      <c r="MJU51" s="310"/>
      <c r="MJV51" s="310"/>
      <c r="MJW51" s="310"/>
      <c r="MJX51" s="310"/>
      <c r="MJY51" s="310"/>
      <c r="MJZ51" s="310"/>
      <c r="MKA51" s="310"/>
      <c r="MKB51" s="310"/>
      <c r="MKC51" s="310"/>
      <c r="MKD51" s="310"/>
      <c r="MKE51" s="310"/>
      <c r="MKF51" s="310"/>
      <c r="MKG51" s="310"/>
      <c r="MKH51" s="310"/>
      <c r="MKI51" s="310"/>
      <c r="MKJ51" s="310"/>
      <c r="MKK51" s="310"/>
      <c r="MKL51" s="310"/>
      <c r="MKM51" s="310"/>
      <c r="MKN51" s="310"/>
      <c r="MKO51" s="310"/>
      <c r="MKP51" s="310"/>
      <c r="MKQ51" s="310"/>
      <c r="MKR51" s="310"/>
      <c r="MKS51" s="310"/>
      <c r="MKT51" s="310"/>
      <c r="MKU51" s="310"/>
      <c r="MKV51" s="310"/>
      <c r="MKW51" s="310"/>
      <c r="MKX51" s="310"/>
      <c r="MKY51" s="310"/>
      <c r="MKZ51" s="310"/>
      <c r="MLA51" s="310"/>
      <c r="MLB51" s="310"/>
      <c r="MLC51" s="310"/>
      <c r="MLD51" s="310"/>
      <c r="MLE51" s="310"/>
      <c r="MLF51" s="310"/>
      <c r="MLG51" s="310"/>
      <c r="MLH51" s="310"/>
      <c r="MLI51" s="310"/>
      <c r="MLJ51" s="310"/>
      <c r="MLK51" s="310"/>
      <c r="MLL51" s="310"/>
      <c r="MLM51" s="310"/>
      <c r="MLN51" s="310"/>
      <c r="MLO51" s="310"/>
      <c r="MLP51" s="310"/>
      <c r="MLQ51" s="310"/>
      <c r="MLR51" s="310"/>
      <c r="MLS51" s="310"/>
      <c r="MLT51" s="310"/>
      <c r="MLU51" s="310"/>
      <c r="MLV51" s="310"/>
      <c r="MLW51" s="310"/>
      <c r="MLX51" s="310"/>
      <c r="MLY51" s="310"/>
      <c r="MLZ51" s="310"/>
      <c r="MMA51" s="310"/>
      <c r="MMB51" s="310"/>
      <c r="MMC51" s="310"/>
      <c r="MMD51" s="310"/>
      <c r="MME51" s="310"/>
      <c r="MMF51" s="310"/>
      <c r="MMG51" s="310"/>
      <c r="MMH51" s="310"/>
      <c r="MMI51" s="310"/>
      <c r="MMJ51" s="310"/>
      <c r="MMK51" s="310"/>
      <c r="MML51" s="310"/>
      <c r="MMM51" s="310"/>
      <c r="MMN51" s="310"/>
      <c r="MMO51" s="310"/>
      <c r="MMP51" s="310"/>
      <c r="MMQ51" s="310"/>
      <c r="MMR51" s="310"/>
      <c r="MMS51" s="310"/>
      <c r="MMT51" s="310"/>
      <c r="MMU51" s="310"/>
      <c r="MMV51" s="310"/>
      <c r="MMW51" s="310"/>
      <c r="MMX51" s="310"/>
      <c r="MMY51" s="310"/>
      <c r="MMZ51" s="310"/>
      <c r="MNA51" s="310"/>
      <c r="MNB51" s="310"/>
      <c r="MNC51" s="310"/>
      <c r="MND51" s="310"/>
      <c r="MNE51" s="310"/>
      <c r="MNF51" s="310"/>
      <c r="MNG51" s="310"/>
      <c r="MNH51" s="310"/>
      <c r="MNI51" s="310"/>
      <c r="MNJ51" s="310"/>
      <c r="MNK51" s="310"/>
      <c r="MNL51" s="310"/>
      <c r="MNM51" s="310"/>
      <c r="MNN51" s="310"/>
      <c r="MNO51" s="310"/>
      <c r="MNP51" s="310"/>
      <c r="MNQ51" s="310"/>
      <c r="MNR51" s="310"/>
      <c r="MNS51" s="310"/>
      <c r="MNT51" s="310"/>
      <c r="MNU51" s="310"/>
      <c r="MNV51" s="310"/>
      <c r="MNW51" s="310"/>
      <c r="MNX51" s="310"/>
      <c r="MNY51" s="310"/>
      <c r="MNZ51" s="310"/>
      <c r="MOA51" s="310"/>
      <c r="MOB51" s="310"/>
      <c r="MOC51" s="310"/>
      <c r="MOD51" s="310"/>
      <c r="MOE51" s="310"/>
      <c r="MOF51" s="310"/>
      <c r="MOG51" s="310"/>
      <c r="MOH51" s="310"/>
      <c r="MOI51" s="310"/>
      <c r="MOJ51" s="310"/>
      <c r="MOK51" s="310"/>
      <c r="MOL51" s="310"/>
      <c r="MOM51" s="310"/>
      <c r="MON51" s="310"/>
      <c r="MOO51" s="310"/>
      <c r="MOP51" s="310"/>
      <c r="MOQ51" s="310"/>
      <c r="MOR51" s="310"/>
      <c r="MOS51" s="310"/>
      <c r="MOT51" s="310"/>
      <c r="MOU51" s="310"/>
      <c r="MOV51" s="310"/>
      <c r="MOW51" s="310"/>
      <c r="MOX51" s="310"/>
      <c r="MOY51" s="310"/>
      <c r="MOZ51" s="310"/>
      <c r="MPA51" s="310"/>
      <c r="MPB51" s="310"/>
      <c r="MPC51" s="310"/>
      <c r="MPD51" s="310"/>
      <c r="MPE51" s="310"/>
      <c r="MPF51" s="310"/>
      <c r="MPG51" s="310"/>
      <c r="MPH51" s="310"/>
      <c r="MPI51" s="310"/>
      <c r="MPJ51" s="310"/>
      <c r="MPK51" s="310"/>
      <c r="MPL51" s="310"/>
      <c r="MPM51" s="310"/>
      <c r="MPN51" s="310"/>
      <c r="MPO51" s="310"/>
      <c r="MPP51" s="310"/>
      <c r="MPQ51" s="310"/>
      <c r="MPR51" s="310"/>
      <c r="MPS51" s="310"/>
      <c r="MPT51" s="310"/>
      <c r="MPU51" s="310"/>
      <c r="MPV51" s="310"/>
      <c r="MPW51" s="310"/>
      <c r="MPX51" s="310"/>
      <c r="MPY51" s="310"/>
      <c r="MPZ51" s="310"/>
      <c r="MQA51" s="310"/>
      <c r="MQB51" s="310"/>
      <c r="MQC51" s="310"/>
      <c r="MQD51" s="310"/>
      <c r="MQE51" s="310"/>
      <c r="MQF51" s="310"/>
      <c r="MQG51" s="310"/>
      <c r="MQH51" s="310"/>
      <c r="MQI51" s="310"/>
      <c r="MQJ51" s="310"/>
      <c r="MQK51" s="310"/>
      <c r="MQL51" s="310"/>
      <c r="MQM51" s="310"/>
      <c r="MQN51" s="310"/>
      <c r="MQO51" s="310"/>
      <c r="MQP51" s="310"/>
      <c r="MQQ51" s="310"/>
      <c r="MQR51" s="310"/>
      <c r="MQS51" s="310"/>
      <c r="MQT51" s="310"/>
      <c r="MQU51" s="310"/>
      <c r="MQV51" s="310"/>
      <c r="MQW51" s="310"/>
      <c r="MQX51" s="310"/>
      <c r="MQY51" s="310"/>
      <c r="MQZ51" s="310"/>
      <c r="MRA51" s="310"/>
      <c r="MRB51" s="310"/>
      <c r="MRC51" s="310"/>
      <c r="MRD51" s="310"/>
      <c r="MRE51" s="310"/>
      <c r="MRF51" s="310"/>
      <c r="MRG51" s="310"/>
      <c r="MRH51" s="310"/>
      <c r="MRI51" s="310"/>
      <c r="MRJ51" s="310"/>
      <c r="MRK51" s="310"/>
      <c r="MRL51" s="310"/>
      <c r="MRM51" s="310"/>
      <c r="MRN51" s="310"/>
      <c r="MRO51" s="310"/>
      <c r="MRP51" s="310"/>
      <c r="MRQ51" s="310"/>
      <c r="MRR51" s="310"/>
      <c r="MRS51" s="310"/>
      <c r="MRT51" s="310"/>
      <c r="MRU51" s="310"/>
      <c r="MRV51" s="310"/>
      <c r="MRW51" s="310"/>
      <c r="MRX51" s="310"/>
      <c r="MRY51" s="310"/>
      <c r="MRZ51" s="310"/>
      <c r="MSA51" s="310"/>
      <c r="MSB51" s="310"/>
      <c r="MSC51" s="310"/>
      <c r="MSD51" s="310"/>
      <c r="MSE51" s="310"/>
      <c r="MSF51" s="310"/>
      <c r="MSG51" s="310"/>
      <c r="MSH51" s="310"/>
      <c r="MSI51" s="310"/>
      <c r="MSJ51" s="310"/>
      <c r="MSK51" s="310"/>
      <c r="MSL51" s="310"/>
      <c r="MSM51" s="310"/>
      <c r="MSN51" s="310"/>
      <c r="MSO51" s="310"/>
      <c r="MSP51" s="310"/>
      <c r="MSQ51" s="310"/>
      <c r="MSR51" s="310"/>
      <c r="MSS51" s="310"/>
      <c r="MST51" s="310"/>
      <c r="MSU51" s="310"/>
      <c r="MSV51" s="310"/>
      <c r="MSW51" s="310"/>
      <c r="MSX51" s="310"/>
      <c r="MSY51" s="310"/>
      <c r="MSZ51" s="310"/>
      <c r="MTA51" s="310"/>
      <c r="MTB51" s="310"/>
      <c r="MTC51" s="310"/>
      <c r="MTD51" s="310"/>
      <c r="MTE51" s="310"/>
      <c r="MTF51" s="310"/>
      <c r="MTG51" s="310"/>
      <c r="MTH51" s="310"/>
      <c r="MTI51" s="310"/>
      <c r="MTJ51" s="310"/>
      <c r="MTK51" s="310"/>
      <c r="MTL51" s="310"/>
      <c r="MTM51" s="310"/>
      <c r="MTN51" s="310"/>
      <c r="MTO51" s="310"/>
      <c r="MTP51" s="310"/>
      <c r="MTQ51" s="310"/>
      <c r="MTR51" s="310"/>
      <c r="MTS51" s="310"/>
      <c r="MTT51" s="310"/>
      <c r="MTU51" s="310"/>
      <c r="MTV51" s="310"/>
      <c r="MTW51" s="310"/>
      <c r="MTX51" s="310"/>
      <c r="MTY51" s="310"/>
      <c r="MTZ51" s="310"/>
      <c r="MUA51" s="310"/>
      <c r="MUB51" s="310"/>
      <c r="MUC51" s="310"/>
      <c r="MUD51" s="310"/>
      <c r="MUE51" s="310"/>
      <c r="MUF51" s="310"/>
      <c r="MUG51" s="310"/>
      <c r="MUH51" s="310"/>
      <c r="MUI51" s="310"/>
      <c r="MUJ51" s="310"/>
      <c r="MUK51" s="310"/>
      <c r="MUL51" s="310"/>
      <c r="MUM51" s="310"/>
      <c r="MUN51" s="310"/>
      <c r="MUO51" s="310"/>
      <c r="MUP51" s="310"/>
      <c r="MUQ51" s="310"/>
      <c r="MUR51" s="310"/>
      <c r="MUS51" s="310"/>
      <c r="MUT51" s="310"/>
      <c r="MUU51" s="310"/>
      <c r="MUV51" s="310"/>
      <c r="MUW51" s="310"/>
      <c r="MUX51" s="310"/>
      <c r="MUY51" s="310"/>
      <c r="MUZ51" s="310"/>
      <c r="MVA51" s="310"/>
      <c r="MVB51" s="310"/>
      <c r="MVC51" s="310"/>
      <c r="MVD51" s="310"/>
      <c r="MVE51" s="310"/>
      <c r="MVF51" s="310"/>
      <c r="MVG51" s="310"/>
      <c r="MVH51" s="310"/>
      <c r="MVI51" s="310"/>
      <c r="MVJ51" s="310"/>
      <c r="MVK51" s="310"/>
      <c r="MVL51" s="310"/>
      <c r="MVM51" s="310"/>
      <c r="MVN51" s="310"/>
      <c r="MVO51" s="310"/>
      <c r="MVP51" s="310"/>
      <c r="MVQ51" s="310"/>
      <c r="MVR51" s="310"/>
      <c r="MVS51" s="310"/>
      <c r="MVT51" s="310"/>
      <c r="MVU51" s="310"/>
      <c r="MVV51" s="310"/>
      <c r="MVW51" s="310"/>
      <c r="MVX51" s="310"/>
      <c r="MVY51" s="310"/>
      <c r="MVZ51" s="310"/>
      <c r="MWA51" s="310"/>
      <c r="MWB51" s="310"/>
      <c r="MWC51" s="310"/>
      <c r="MWD51" s="310"/>
      <c r="MWE51" s="310"/>
      <c r="MWF51" s="310"/>
      <c r="MWG51" s="310"/>
      <c r="MWH51" s="310"/>
      <c r="MWI51" s="310"/>
      <c r="MWJ51" s="310"/>
      <c r="MWK51" s="310"/>
      <c r="MWL51" s="310"/>
      <c r="MWM51" s="310"/>
      <c r="MWN51" s="310"/>
      <c r="MWO51" s="310"/>
      <c r="MWP51" s="310"/>
      <c r="MWQ51" s="310"/>
      <c r="MWR51" s="310"/>
      <c r="MWS51" s="310"/>
      <c r="MWT51" s="310"/>
      <c r="MWU51" s="310"/>
      <c r="MWV51" s="310"/>
      <c r="MWW51" s="310"/>
      <c r="MWX51" s="310"/>
      <c r="MWY51" s="310"/>
      <c r="MWZ51" s="310"/>
      <c r="MXA51" s="310"/>
      <c r="MXB51" s="310"/>
      <c r="MXC51" s="310"/>
      <c r="MXD51" s="310"/>
      <c r="MXE51" s="310"/>
      <c r="MXF51" s="310"/>
      <c r="MXG51" s="310"/>
      <c r="MXH51" s="310"/>
      <c r="MXI51" s="310"/>
      <c r="MXJ51" s="310"/>
      <c r="MXK51" s="310"/>
      <c r="MXL51" s="310"/>
      <c r="MXM51" s="310"/>
      <c r="MXN51" s="310"/>
      <c r="MXO51" s="310"/>
      <c r="MXP51" s="310"/>
      <c r="MXQ51" s="310"/>
      <c r="MXR51" s="310"/>
      <c r="MXS51" s="310"/>
      <c r="MXT51" s="310"/>
      <c r="MXU51" s="310"/>
      <c r="MXV51" s="310"/>
      <c r="MXW51" s="310"/>
      <c r="MXX51" s="310"/>
      <c r="MXY51" s="310"/>
      <c r="MXZ51" s="310"/>
      <c r="MYA51" s="310"/>
      <c r="MYB51" s="310"/>
      <c r="MYC51" s="310"/>
      <c r="MYD51" s="310"/>
      <c r="MYE51" s="310"/>
      <c r="MYF51" s="310"/>
      <c r="MYG51" s="310"/>
      <c r="MYH51" s="310"/>
      <c r="MYI51" s="310"/>
      <c r="MYJ51" s="310"/>
      <c r="MYK51" s="310"/>
      <c r="MYL51" s="310"/>
      <c r="MYM51" s="310"/>
      <c r="MYN51" s="310"/>
      <c r="MYO51" s="310"/>
      <c r="MYP51" s="310"/>
      <c r="MYQ51" s="310"/>
      <c r="MYR51" s="310"/>
      <c r="MYS51" s="310"/>
      <c r="MYT51" s="310"/>
      <c r="MYU51" s="310"/>
      <c r="MYV51" s="310"/>
      <c r="MYW51" s="310"/>
      <c r="MYX51" s="310"/>
      <c r="MYY51" s="310"/>
      <c r="MYZ51" s="310"/>
      <c r="MZA51" s="310"/>
      <c r="MZB51" s="310"/>
      <c r="MZC51" s="310"/>
      <c r="MZD51" s="310"/>
      <c r="MZE51" s="310"/>
      <c r="MZF51" s="310"/>
      <c r="MZG51" s="310"/>
      <c r="MZH51" s="310"/>
      <c r="MZI51" s="310"/>
      <c r="MZJ51" s="310"/>
      <c r="MZK51" s="310"/>
      <c r="MZL51" s="310"/>
      <c r="MZM51" s="310"/>
      <c r="MZN51" s="310"/>
      <c r="MZO51" s="310"/>
      <c r="MZP51" s="310"/>
      <c r="MZQ51" s="310"/>
      <c r="MZR51" s="310"/>
      <c r="MZS51" s="310"/>
      <c r="MZT51" s="310"/>
      <c r="MZU51" s="310"/>
      <c r="MZV51" s="310"/>
      <c r="MZW51" s="310"/>
      <c r="MZX51" s="310"/>
      <c r="MZY51" s="310"/>
      <c r="MZZ51" s="310"/>
      <c r="NAA51" s="310"/>
      <c r="NAB51" s="310"/>
      <c r="NAC51" s="310"/>
      <c r="NAD51" s="310"/>
      <c r="NAE51" s="310"/>
      <c r="NAF51" s="310"/>
      <c r="NAG51" s="310"/>
      <c r="NAH51" s="310"/>
      <c r="NAI51" s="310"/>
      <c r="NAJ51" s="310"/>
      <c r="NAK51" s="310"/>
      <c r="NAL51" s="310"/>
      <c r="NAM51" s="310"/>
      <c r="NAN51" s="310"/>
      <c r="NAO51" s="310"/>
      <c r="NAP51" s="310"/>
      <c r="NAQ51" s="310"/>
      <c r="NAR51" s="310"/>
      <c r="NAS51" s="310"/>
      <c r="NAT51" s="310"/>
      <c r="NAU51" s="310"/>
      <c r="NAV51" s="310"/>
      <c r="NAW51" s="310"/>
      <c r="NAX51" s="310"/>
      <c r="NAY51" s="310"/>
      <c r="NAZ51" s="310"/>
      <c r="NBA51" s="310"/>
      <c r="NBB51" s="310"/>
      <c r="NBC51" s="310"/>
      <c r="NBD51" s="310"/>
      <c r="NBE51" s="310"/>
      <c r="NBF51" s="310"/>
      <c r="NBG51" s="310"/>
      <c r="NBH51" s="310"/>
      <c r="NBI51" s="310"/>
      <c r="NBJ51" s="310"/>
      <c r="NBK51" s="310"/>
      <c r="NBL51" s="310"/>
      <c r="NBM51" s="310"/>
      <c r="NBN51" s="310"/>
      <c r="NBO51" s="310"/>
      <c r="NBP51" s="310"/>
      <c r="NBQ51" s="310"/>
      <c r="NBR51" s="310"/>
      <c r="NBS51" s="310"/>
      <c r="NBT51" s="310"/>
      <c r="NBU51" s="310"/>
      <c r="NBV51" s="310"/>
      <c r="NBW51" s="310"/>
      <c r="NBX51" s="310"/>
      <c r="NBY51" s="310"/>
      <c r="NBZ51" s="310"/>
      <c r="NCA51" s="310"/>
      <c r="NCB51" s="310"/>
      <c r="NCC51" s="310"/>
      <c r="NCD51" s="310"/>
      <c r="NCE51" s="310"/>
      <c r="NCF51" s="310"/>
      <c r="NCG51" s="310"/>
      <c r="NCH51" s="310"/>
      <c r="NCI51" s="310"/>
      <c r="NCJ51" s="310"/>
      <c r="NCK51" s="310"/>
      <c r="NCL51" s="310"/>
      <c r="NCM51" s="310"/>
      <c r="NCN51" s="310"/>
      <c r="NCO51" s="310"/>
      <c r="NCP51" s="310"/>
      <c r="NCQ51" s="310"/>
      <c r="NCR51" s="310"/>
      <c r="NCS51" s="310"/>
      <c r="NCT51" s="310"/>
      <c r="NCU51" s="310"/>
      <c r="NCV51" s="310"/>
      <c r="NCW51" s="310"/>
      <c r="NCX51" s="310"/>
      <c r="NCY51" s="310"/>
      <c r="NCZ51" s="310"/>
      <c r="NDA51" s="310"/>
      <c r="NDB51" s="310"/>
      <c r="NDC51" s="310"/>
      <c r="NDD51" s="310"/>
      <c r="NDE51" s="310"/>
      <c r="NDF51" s="310"/>
      <c r="NDG51" s="310"/>
      <c r="NDH51" s="310"/>
      <c r="NDI51" s="310"/>
      <c r="NDJ51" s="310"/>
      <c r="NDK51" s="310"/>
      <c r="NDL51" s="310"/>
      <c r="NDM51" s="310"/>
      <c r="NDN51" s="310"/>
      <c r="NDO51" s="310"/>
      <c r="NDP51" s="310"/>
      <c r="NDQ51" s="310"/>
      <c r="NDR51" s="310"/>
      <c r="NDS51" s="310"/>
      <c r="NDT51" s="310"/>
      <c r="NDU51" s="310"/>
      <c r="NDV51" s="310"/>
      <c r="NDW51" s="310"/>
      <c r="NDX51" s="310"/>
      <c r="NDY51" s="310"/>
      <c r="NDZ51" s="310"/>
      <c r="NEA51" s="310"/>
      <c r="NEB51" s="310"/>
      <c r="NEC51" s="310"/>
      <c r="NED51" s="310"/>
      <c r="NEE51" s="310"/>
      <c r="NEF51" s="310"/>
      <c r="NEG51" s="310"/>
      <c r="NEH51" s="310"/>
      <c r="NEI51" s="310"/>
      <c r="NEJ51" s="310"/>
      <c r="NEK51" s="310"/>
      <c r="NEL51" s="310"/>
      <c r="NEM51" s="310"/>
      <c r="NEN51" s="310"/>
      <c r="NEO51" s="310"/>
      <c r="NEP51" s="310"/>
      <c r="NEQ51" s="310"/>
      <c r="NER51" s="310"/>
      <c r="NES51" s="310"/>
      <c r="NET51" s="310"/>
      <c r="NEU51" s="310"/>
      <c r="NEV51" s="310"/>
      <c r="NEW51" s="310"/>
      <c r="NEX51" s="310"/>
      <c r="NEY51" s="310"/>
      <c r="NEZ51" s="310"/>
      <c r="NFA51" s="310"/>
      <c r="NFB51" s="310"/>
      <c r="NFC51" s="310"/>
      <c r="NFD51" s="310"/>
      <c r="NFE51" s="310"/>
      <c r="NFF51" s="310"/>
      <c r="NFG51" s="310"/>
      <c r="NFH51" s="310"/>
      <c r="NFI51" s="310"/>
      <c r="NFJ51" s="310"/>
      <c r="NFK51" s="310"/>
      <c r="NFL51" s="310"/>
      <c r="NFM51" s="310"/>
      <c r="NFN51" s="310"/>
      <c r="NFO51" s="310"/>
      <c r="NFP51" s="310"/>
      <c r="NFQ51" s="310"/>
      <c r="NFR51" s="310"/>
      <c r="NFS51" s="310"/>
      <c r="NFT51" s="310"/>
      <c r="NFU51" s="310"/>
      <c r="NFV51" s="310"/>
      <c r="NFW51" s="310"/>
      <c r="NFX51" s="310"/>
      <c r="NFY51" s="310"/>
      <c r="NFZ51" s="310"/>
      <c r="NGA51" s="310"/>
      <c r="NGB51" s="310"/>
      <c r="NGC51" s="310"/>
      <c r="NGD51" s="310"/>
      <c r="NGE51" s="310"/>
      <c r="NGF51" s="310"/>
      <c r="NGG51" s="310"/>
      <c r="NGH51" s="310"/>
      <c r="NGI51" s="310"/>
      <c r="NGJ51" s="310"/>
      <c r="NGK51" s="310"/>
      <c r="NGL51" s="310"/>
      <c r="NGM51" s="310"/>
      <c r="NGN51" s="310"/>
      <c r="NGO51" s="310"/>
      <c r="NGP51" s="310"/>
      <c r="NGQ51" s="310"/>
      <c r="NGR51" s="310"/>
      <c r="NGS51" s="310"/>
      <c r="NGT51" s="310"/>
      <c r="NGU51" s="310"/>
      <c r="NGV51" s="310"/>
      <c r="NGW51" s="310"/>
      <c r="NGX51" s="310"/>
      <c r="NGY51" s="310"/>
      <c r="NGZ51" s="310"/>
      <c r="NHA51" s="310"/>
      <c r="NHB51" s="310"/>
      <c r="NHC51" s="310"/>
      <c r="NHD51" s="310"/>
      <c r="NHE51" s="310"/>
      <c r="NHF51" s="310"/>
      <c r="NHG51" s="310"/>
      <c r="NHH51" s="310"/>
      <c r="NHI51" s="310"/>
      <c r="NHJ51" s="310"/>
      <c r="NHK51" s="310"/>
      <c r="NHL51" s="310"/>
      <c r="NHM51" s="310"/>
      <c r="NHN51" s="310"/>
      <c r="NHO51" s="310"/>
      <c r="NHP51" s="310"/>
      <c r="NHQ51" s="310"/>
      <c r="NHR51" s="310"/>
      <c r="NHS51" s="310"/>
      <c r="NHT51" s="310"/>
      <c r="NHU51" s="310"/>
      <c r="NHV51" s="310"/>
      <c r="NHW51" s="310"/>
      <c r="NHX51" s="310"/>
      <c r="NHY51" s="310"/>
      <c r="NHZ51" s="310"/>
      <c r="NIA51" s="310"/>
      <c r="NIB51" s="310"/>
      <c r="NIC51" s="310"/>
      <c r="NID51" s="310"/>
      <c r="NIE51" s="310"/>
      <c r="NIF51" s="310"/>
      <c r="NIG51" s="310"/>
      <c r="NIH51" s="310"/>
      <c r="NII51" s="310"/>
      <c r="NIJ51" s="310"/>
      <c r="NIK51" s="310"/>
      <c r="NIL51" s="310"/>
      <c r="NIM51" s="310"/>
      <c r="NIN51" s="310"/>
      <c r="NIO51" s="310"/>
      <c r="NIP51" s="310"/>
      <c r="NIQ51" s="310"/>
      <c r="NIR51" s="310"/>
      <c r="NIS51" s="310"/>
      <c r="NIT51" s="310"/>
      <c r="NIU51" s="310"/>
      <c r="NIV51" s="310"/>
      <c r="NIW51" s="310"/>
      <c r="NIX51" s="310"/>
      <c r="NIY51" s="310"/>
      <c r="NIZ51" s="310"/>
      <c r="NJA51" s="310"/>
      <c r="NJB51" s="310"/>
      <c r="NJC51" s="310"/>
      <c r="NJD51" s="310"/>
      <c r="NJE51" s="310"/>
      <c r="NJF51" s="310"/>
      <c r="NJG51" s="310"/>
      <c r="NJH51" s="310"/>
      <c r="NJI51" s="310"/>
      <c r="NJJ51" s="310"/>
      <c r="NJK51" s="310"/>
      <c r="NJL51" s="310"/>
      <c r="NJM51" s="310"/>
      <c r="NJN51" s="310"/>
      <c r="NJO51" s="310"/>
      <c r="NJP51" s="310"/>
      <c r="NJQ51" s="310"/>
      <c r="NJR51" s="310"/>
      <c r="NJS51" s="310"/>
      <c r="NJT51" s="310"/>
      <c r="NJU51" s="310"/>
      <c r="NJV51" s="310"/>
      <c r="NJW51" s="310"/>
      <c r="NJX51" s="310"/>
      <c r="NJY51" s="310"/>
      <c r="NJZ51" s="310"/>
      <c r="NKA51" s="310"/>
      <c r="NKB51" s="310"/>
      <c r="NKC51" s="310"/>
      <c r="NKD51" s="310"/>
      <c r="NKE51" s="310"/>
      <c r="NKF51" s="310"/>
      <c r="NKG51" s="310"/>
      <c r="NKH51" s="310"/>
      <c r="NKI51" s="310"/>
      <c r="NKJ51" s="310"/>
      <c r="NKK51" s="310"/>
      <c r="NKL51" s="310"/>
      <c r="NKM51" s="310"/>
      <c r="NKN51" s="310"/>
      <c r="NKO51" s="310"/>
      <c r="NKP51" s="310"/>
      <c r="NKQ51" s="310"/>
      <c r="NKR51" s="310"/>
      <c r="NKS51" s="310"/>
      <c r="NKT51" s="310"/>
      <c r="NKU51" s="310"/>
      <c r="NKV51" s="310"/>
      <c r="NKW51" s="310"/>
      <c r="NKX51" s="310"/>
      <c r="NKY51" s="310"/>
      <c r="NKZ51" s="310"/>
      <c r="NLA51" s="310"/>
      <c r="NLB51" s="310"/>
      <c r="NLC51" s="310"/>
      <c r="NLD51" s="310"/>
      <c r="NLE51" s="310"/>
      <c r="NLF51" s="310"/>
      <c r="NLG51" s="310"/>
      <c r="NLH51" s="310"/>
      <c r="NLI51" s="310"/>
      <c r="NLJ51" s="310"/>
      <c r="NLK51" s="310"/>
      <c r="NLL51" s="310"/>
      <c r="NLM51" s="310"/>
      <c r="NLN51" s="310"/>
      <c r="NLO51" s="310"/>
      <c r="NLP51" s="310"/>
      <c r="NLQ51" s="310"/>
      <c r="NLR51" s="310"/>
      <c r="NLS51" s="310"/>
      <c r="NLT51" s="310"/>
      <c r="NLU51" s="310"/>
      <c r="NLV51" s="310"/>
      <c r="NLW51" s="310"/>
      <c r="NLX51" s="310"/>
      <c r="NLY51" s="310"/>
      <c r="NLZ51" s="310"/>
      <c r="NMA51" s="310"/>
      <c r="NMB51" s="310"/>
      <c r="NMC51" s="310"/>
      <c r="NMD51" s="310"/>
      <c r="NME51" s="310"/>
      <c r="NMF51" s="310"/>
      <c r="NMG51" s="310"/>
      <c r="NMH51" s="310"/>
      <c r="NMI51" s="310"/>
      <c r="NMJ51" s="310"/>
      <c r="NMK51" s="310"/>
      <c r="NML51" s="310"/>
      <c r="NMM51" s="310"/>
      <c r="NMN51" s="310"/>
      <c r="NMO51" s="310"/>
      <c r="NMP51" s="310"/>
      <c r="NMQ51" s="310"/>
      <c r="NMR51" s="310"/>
      <c r="NMS51" s="310"/>
      <c r="NMT51" s="310"/>
      <c r="NMU51" s="310"/>
      <c r="NMV51" s="310"/>
      <c r="NMW51" s="310"/>
      <c r="NMX51" s="310"/>
      <c r="NMY51" s="310"/>
      <c r="NMZ51" s="310"/>
      <c r="NNA51" s="310"/>
      <c r="NNB51" s="310"/>
      <c r="NNC51" s="310"/>
      <c r="NND51" s="310"/>
      <c r="NNE51" s="310"/>
      <c r="NNF51" s="310"/>
      <c r="NNG51" s="310"/>
      <c r="NNH51" s="310"/>
      <c r="NNI51" s="310"/>
      <c r="NNJ51" s="310"/>
      <c r="NNK51" s="310"/>
      <c r="NNL51" s="310"/>
      <c r="NNM51" s="310"/>
      <c r="NNN51" s="310"/>
      <c r="NNO51" s="310"/>
      <c r="NNP51" s="310"/>
      <c r="NNQ51" s="310"/>
      <c r="NNR51" s="310"/>
      <c r="NNS51" s="310"/>
      <c r="NNT51" s="310"/>
      <c r="NNU51" s="310"/>
      <c r="NNV51" s="310"/>
      <c r="NNW51" s="310"/>
      <c r="NNX51" s="310"/>
      <c r="NNY51" s="310"/>
      <c r="NNZ51" s="310"/>
      <c r="NOA51" s="310"/>
      <c r="NOB51" s="310"/>
      <c r="NOC51" s="310"/>
      <c r="NOD51" s="310"/>
      <c r="NOE51" s="310"/>
      <c r="NOF51" s="310"/>
      <c r="NOG51" s="310"/>
      <c r="NOH51" s="310"/>
      <c r="NOI51" s="310"/>
      <c r="NOJ51" s="310"/>
      <c r="NOK51" s="310"/>
      <c r="NOL51" s="310"/>
      <c r="NOM51" s="310"/>
      <c r="NON51" s="310"/>
      <c r="NOO51" s="310"/>
      <c r="NOP51" s="310"/>
      <c r="NOQ51" s="310"/>
      <c r="NOR51" s="310"/>
      <c r="NOS51" s="310"/>
      <c r="NOT51" s="310"/>
      <c r="NOU51" s="310"/>
      <c r="NOV51" s="310"/>
      <c r="NOW51" s="310"/>
      <c r="NOX51" s="310"/>
      <c r="NOY51" s="310"/>
      <c r="NOZ51" s="310"/>
      <c r="NPA51" s="310"/>
      <c r="NPB51" s="310"/>
      <c r="NPC51" s="310"/>
      <c r="NPD51" s="310"/>
      <c r="NPE51" s="310"/>
      <c r="NPF51" s="310"/>
      <c r="NPG51" s="310"/>
      <c r="NPH51" s="310"/>
      <c r="NPI51" s="310"/>
      <c r="NPJ51" s="310"/>
      <c r="NPK51" s="310"/>
      <c r="NPL51" s="310"/>
      <c r="NPM51" s="310"/>
      <c r="NPN51" s="310"/>
      <c r="NPO51" s="310"/>
      <c r="NPP51" s="310"/>
      <c r="NPQ51" s="310"/>
      <c r="NPR51" s="310"/>
      <c r="NPS51" s="310"/>
      <c r="NPT51" s="310"/>
      <c r="NPU51" s="310"/>
      <c r="NPV51" s="310"/>
      <c r="NPW51" s="310"/>
      <c r="NPX51" s="310"/>
      <c r="NPY51" s="310"/>
      <c r="NPZ51" s="310"/>
      <c r="NQA51" s="310"/>
      <c r="NQB51" s="310"/>
      <c r="NQC51" s="310"/>
      <c r="NQD51" s="310"/>
      <c r="NQE51" s="310"/>
      <c r="NQF51" s="310"/>
      <c r="NQG51" s="310"/>
      <c r="NQH51" s="310"/>
      <c r="NQI51" s="310"/>
      <c r="NQJ51" s="310"/>
      <c r="NQK51" s="310"/>
      <c r="NQL51" s="310"/>
      <c r="NQM51" s="310"/>
      <c r="NQN51" s="310"/>
      <c r="NQO51" s="310"/>
      <c r="NQP51" s="310"/>
      <c r="NQQ51" s="310"/>
      <c r="NQR51" s="310"/>
      <c r="NQS51" s="310"/>
      <c r="NQT51" s="310"/>
      <c r="NQU51" s="310"/>
      <c r="NQV51" s="310"/>
      <c r="NQW51" s="310"/>
      <c r="NQX51" s="310"/>
      <c r="NQY51" s="310"/>
      <c r="NQZ51" s="310"/>
      <c r="NRA51" s="310"/>
      <c r="NRB51" s="310"/>
      <c r="NRC51" s="310"/>
      <c r="NRD51" s="310"/>
      <c r="NRE51" s="310"/>
      <c r="NRF51" s="310"/>
      <c r="NRG51" s="310"/>
      <c r="NRH51" s="310"/>
      <c r="NRI51" s="310"/>
      <c r="NRJ51" s="310"/>
      <c r="NRK51" s="310"/>
      <c r="NRL51" s="310"/>
      <c r="NRM51" s="310"/>
      <c r="NRN51" s="310"/>
      <c r="NRO51" s="310"/>
      <c r="NRP51" s="310"/>
      <c r="NRQ51" s="310"/>
      <c r="NRR51" s="310"/>
      <c r="NRS51" s="310"/>
      <c r="NRT51" s="310"/>
      <c r="NRU51" s="310"/>
      <c r="NRV51" s="310"/>
      <c r="NRW51" s="310"/>
      <c r="NRX51" s="310"/>
      <c r="NRY51" s="310"/>
      <c r="NRZ51" s="310"/>
      <c r="NSA51" s="310"/>
      <c r="NSB51" s="310"/>
      <c r="NSC51" s="310"/>
      <c r="NSD51" s="310"/>
      <c r="NSE51" s="310"/>
      <c r="NSF51" s="310"/>
      <c r="NSG51" s="310"/>
      <c r="NSH51" s="310"/>
      <c r="NSI51" s="310"/>
      <c r="NSJ51" s="310"/>
      <c r="NSK51" s="310"/>
      <c r="NSL51" s="310"/>
      <c r="NSM51" s="310"/>
      <c r="NSN51" s="310"/>
      <c r="NSO51" s="310"/>
      <c r="NSP51" s="310"/>
      <c r="NSQ51" s="310"/>
      <c r="NSR51" s="310"/>
      <c r="NSS51" s="310"/>
      <c r="NST51" s="310"/>
      <c r="NSU51" s="310"/>
      <c r="NSV51" s="310"/>
      <c r="NSW51" s="310"/>
      <c r="NSX51" s="310"/>
      <c r="NSY51" s="310"/>
      <c r="NSZ51" s="310"/>
      <c r="NTA51" s="310"/>
      <c r="NTB51" s="310"/>
      <c r="NTC51" s="310"/>
      <c r="NTD51" s="310"/>
      <c r="NTE51" s="310"/>
      <c r="NTF51" s="310"/>
      <c r="NTG51" s="310"/>
      <c r="NTH51" s="310"/>
      <c r="NTI51" s="310"/>
      <c r="NTJ51" s="310"/>
      <c r="NTK51" s="310"/>
      <c r="NTL51" s="310"/>
      <c r="NTM51" s="310"/>
      <c r="NTN51" s="310"/>
      <c r="NTO51" s="310"/>
      <c r="NTP51" s="310"/>
      <c r="NTQ51" s="310"/>
      <c r="NTR51" s="310"/>
      <c r="NTS51" s="310"/>
      <c r="NTT51" s="310"/>
      <c r="NTU51" s="310"/>
      <c r="NTV51" s="310"/>
      <c r="NTW51" s="310"/>
      <c r="NTX51" s="310"/>
      <c r="NTY51" s="310"/>
      <c r="NTZ51" s="310"/>
      <c r="NUA51" s="310"/>
      <c r="NUB51" s="310"/>
      <c r="NUC51" s="310"/>
      <c r="NUD51" s="310"/>
      <c r="NUE51" s="310"/>
      <c r="NUF51" s="310"/>
      <c r="NUG51" s="310"/>
      <c r="NUH51" s="310"/>
      <c r="NUI51" s="310"/>
      <c r="NUJ51" s="310"/>
      <c r="NUK51" s="310"/>
      <c r="NUL51" s="310"/>
      <c r="NUM51" s="310"/>
      <c r="NUN51" s="310"/>
      <c r="NUO51" s="310"/>
      <c r="NUP51" s="310"/>
      <c r="NUQ51" s="310"/>
      <c r="NUR51" s="310"/>
      <c r="NUS51" s="310"/>
      <c r="NUT51" s="310"/>
      <c r="NUU51" s="310"/>
      <c r="NUV51" s="310"/>
      <c r="NUW51" s="310"/>
      <c r="NUX51" s="310"/>
      <c r="NUY51" s="310"/>
      <c r="NUZ51" s="310"/>
      <c r="NVA51" s="310"/>
      <c r="NVB51" s="310"/>
      <c r="NVC51" s="310"/>
      <c r="NVD51" s="310"/>
      <c r="NVE51" s="310"/>
      <c r="NVF51" s="310"/>
      <c r="NVG51" s="310"/>
      <c r="NVH51" s="310"/>
      <c r="NVI51" s="310"/>
      <c r="NVJ51" s="310"/>
      <c r="NVK51" s="310"/>
      <c r="NVL51" s="310"/>
      <c r="NVM51" s="310"/>
      <c r="NVN51" s="310"/>
      <c r="NVO51" s="310"/>
      <c r="NVP51" s="310"/>
      <c r="NVQ51" s="310"/>
      <c r="NVR51" s="310"/>
      <c r="NVS51" s="310"/>
      <c r="NVT51" s="310"/>
      <c r="NVU51" s="310"/>
      <c r="NVV51" s="310"/>
      <c r="NVW51" s="310"/>
      <c r="NVX51" s="310"/>
      <c r="NVY51" s="310"/>
      <c r="NVZ51" s="310"/>
      <c r="NWA51" s="310"/>
      <c r="NWB51" s="310"/>
      <c r="NWC51" s="310"/>
      <c r="NWD51" s="310"/>
      <c r="NWE51" s="310"/>
      <c r="NWF51" s="310"/>
      <c r="NWG51" s="310"/>
      <c r="NWH51" s="310"/>
      <c r="NWI51" s="310"/>
      <c r="NWJ51" s="310"/>
      <c r="NWK51" s="310"/>
      <c r="NWL51" s="310"/>
      <c r="NWM51" s="310"/>
      <c r="NWN51" s="310"/>
      <c r="NWO51" s="310"/>
      <c r="NWP51" s="310"/>
      <c r="NWQ51" s="310"/>
      <c r="NWR51" s="310"/>
      <c r="NWS51" s="310"/>
      <c r="NWT51" s="310"/>
      <c r="NWU51" s="310"/>
      <c r="NWV51" s="310"/>
      <c r="NWW51" s="310"/>
      <c r="NWX51" s="310"/>
      <c r="NWY51" s="310"/>
      <c r="NWZ51" s="310"/>
      <c r="NXA51" s="310"/>
      <c r="NXB51" s="310"/>
      <c r="NXC51" s="310"/>
      <c r="NXD51" s="310"/>
      <c r="NXE51" s="310"/>
      <c r="NXF51" s="310"/>
      <c r="NXG51" s="310"/>
      <c r="NXH51" s="310"/>
      <c r="NXI51" s="310"/>
      <c r="NXJ51" s="310"/>
      <c r="NXK51" s="310"/>
      <c r="NXL51" s="310"/>
      <c r="NXM51" s="310"/>
      <c r="NXN51" s="310"/>
      <c r="NXO51" s="310"/>
      <c r="NXP51" s="310"/>
      <c r="NXQ51" s="310"/>
      <c r="NXR51" s="310"/>
      <c r="NXS51" s="310"/>
      <c r="NXT51" s="310"/>
      <c r="NXU51" s="310"/>
      <c r="NXV51" s="310"/>
      <c r="NXW51" s="310"/>
      <c r="NXX51" s="310"/>
      <c r="NXY51" s="310"/>
      <c r="NXZ51" s="310"/>
      <c r="NYA51" s="310"/>
      <c r="NYB51" s="310"/>
      <c r="NYC51" s="310"/>
      <c r="NYD51" s="310"/>
      <c r="NYE51" s="310"/>
      <c r="NYF51" s="310"/>
      <c r="NYG51" s="310"/>
      <c r="NYH51" s="310"/>
      <c r="NYI51" s="310"/>
      <c r="NYJ51" s="310"/>
      <c r="NYK51" s="310"/>
      <c r="NYL51" s="310"/>
      <c r="NYM51" s="310"/>
      <c r="NYN51" s="310"/>
      <c r="NYO51" s="310"/>
      <c r="NYP51" s="310"/>
      <c r="NYQ51" s="310"/>
      <c r="NYR51" s="310"/>
      <c r="NYS51" s="310"/>
      <c r="NYT51" s="310"/>
      <c r="NYU51" s="310"/>
      <c r="NYV51" s="310"/>
      <c r="NYW51" s="310"/>
      <c r="NYX51" s="310"/>
      <c r="NYY51" s="310"/>
      <c r="NYZ51" s="310"/>
      <c r="NZA51" s="310"/>
      <c r="NZB51" s="310"/>
      <c r="NZC51" s="310"/>
      <c r="NZD51" s="310"/>
      <c r="NZE51" s="310"/>
      <c r="NZF51" s="310"/>
      <c r="NZG51" s="310"/>
      <c r="NZH51" s="310"/>
      <c r="NZI51" s="310"/>
      <c r="NZJ51" s="310"/>
      <c r="NZK51" s="310"/>
      <c r="NZL51" s="310"/>
      <c r="NZM51" s="310"/>
      <c r="NZN51" s="310"/>
      <c r="NZO51" s="310"/>
      <c r="NZP51" s="310"/>
      <c r="NZQ51" s="310"/>
      <c r="NZR51" s="310"/>
      <c r="NZS51" s="310"/>
      <c r="NZT51" s="310"/>
      <c r="NZU51" s="310"/>
      <c r="NZV51" s="310"/>
      <c r="NZW51" s="310"/>
      <c r="NZX51" s="310"/>
      <c r="NZY51" s="310"/>
      <c r="NZZ51" s="310"/>
      <c r="OAA51" s="310"/>
      <c r="OAB51" s="310"/>
      <c r="OAC51" s="310"/>
      <c r="OAD51" s="310"/>
      <c r="OAE51" s="310"/>
      <c r="OAF51" s="310"/>
      <c r="OAG51" s="310"/>
      <c r="OAH51" s="310"/>
      <c r="OAI51" s="310"/>
      <c r="OAJ51" s="310"/>
      <c r="OAK51" s="310"/>
      <c r="OAL51" s="310"/>
      <c r="OAM51" s="310"/>
      <c r="OAN51" s="310"/>
      <c r="OAO51" s="310"/>
      <c r="OAP51" s="310"/>
      <c r="OAQ51" s="310"/>
      <c r="OAR51" s="310"/>
      <c r="OAS51" s="310"/>
      <c r="OAT51" s="310"/>
      <c r="OAU51" s="310"/>
      <c r="OAV51" s="310"/>
      <c r="OAW51" s="310"/>
      <c r="OAX51" s="310"/>
      <c r="OAY51" s="310"/>
      <c r="OAZ51" s="310"/>
      <c r="OBA51" s="310"/>
      <c r="OBB51" s="310"/>
      <c r="OBC51" s="310"/>
      <c r="OBD51" s="310"/>
      <c r="OBE51" s="310"/>
      <c r="OBF51" s="310"/>
      <c r="OBG51" s="310"/>
      <c r="OBH51" s="310"/>
      <c r="OBI51" s="310"/>
      <c r="OBJ51" s="310"/>
      <c r="OBK51" s="310"/>
      <c r="OBL51" s="310"/>
      <c r="OBM51" s="310"/>
      <c r="OBN51" s="310"/>
      <c r="OBO51" s="310"/>
      <c r="OBP51" s="310"/>
      <c r="OBQ51" s="310"/>
      <c r="OBR51" s="310"/>
      <c r="OBS51" s="310"/>
      <c r="OBT51" s="310"/>
      <c r="OBU51" s="310"/>
      <c r="OBV51" s="310"/>
      <c r="OBW51" s="310"/>
      <c r="OBX51" s="310"/>
      <c r="OBY51" s="310"/>
      <c r="OBZ51" s="310"/>
      <c r="OCA51" s="310"/>
      <c r="OCB51" s="310"/>
      <c r="OCC51" s="310"/>
      <c r="OCD51" s="310"/>
      <c r="OCE51" s="310"/>
      <c r="OCF51" s="310"/>
      <c r="OCG51" s="310"/>
      <c r="OCH51" s="310"/>
      <c r="OCI51" s="310"/>
      <c r="OCJ51" s="310"/>
      <c r="OCK51" s="310"/>
      <c r="OCL51" s="310"/>
      <c r="OCM51" s="310"/>
      <c r="OCN51" s="310"/>
      <c r="OCO51" s="310"/>
      <c r="OCP51" s="310"/>
      <c r="OCQ51" s="310"/>
      <c r="OCR51" s="310"/>
      <c r="OCS51" s="310"/>
      <c r="OCT51" s="310"/>
      <c r="OCU51" s="310"/>
      <c r="OCV51" s="310"/>
      <c r="OCW51" s="310"/>
      <c r="OCX51" s="310"/>
      <c r="OCY51" s="310"/>
      <c r="OCZ51" s="310"/>
      <c r="ODA51" s="310"/>
      <c r="ODB51" s="310"/>
      <c r="ODC51" s="310"/>
      <c r="ODD51" s="310"/>
      <c r="ODE51" s="310"/>
      <c r="ODF51" s="310"/>
      <c r="ODG51" s="310"/>
      <c r="ODH51" s="310"/>
      <c r="ODI51" s="310"/>
      <c r="ODJ51" s="310"/>
      <c r="ODK51" s="310"/>
      <c r="ODL51" s="310"/>
      <c r="ODM51" s="310"/>
      <c r="ODN51" s="310"/>
      <c r="ODO51" s="310"/>
      <c r="ODP51" s="310"/>
      <c r="ODQ51" s="310"/>
      <c r="ODR51" s="310"/>
      <c r="ODS51" s="310"/>
      <c r="ODT51" s="310"/>
      <c r="ODU51" s="310"/>
      <c r="ODV51" s="310"/>
      <c r="ODW51" s="310"/>
      <c r="ODX51" s="310"/>
      <c r="ODY51" s="310"/>
      <c r="ODZ51" s="310"/>
      <c r="OEA51" s="310"/>
      <c r="OEB51" s="310"/>
      <c r="OEC51" s="310"/>
      <c r="OED51" s="310"/>
      <c r="OEE51" s="310"/>
      <c r="OEF51" s="310"/>
      <c r="OEG51" s="310"/>
      <c r="OEH51" s="310"/>
      <c r="OEI51" s="310"/>
      <c r="OEJ51" s="310"/>
      <c r="OEK51" s="310"/>
      <c r="OEL51" s="310"/>
      <c r="OEM51" s="310"/>
      <c r="OEN51" s="310"/>
      <c r="OEO51" s="310"/>
      <c r="OEP51" s="310"/>
      <c r="OEQ51" s="310"/>
      <c r="OER51" s="310"/>
      <c r="OES51" s="310"/>
      <c r="OET51" s="310"/>
      <c r="OEU51" s="310"/>
      <c r="OEV51" s="310"/>
      <c r="OEW51" s="310"/>
      <c r="OEX51" s="310"/>
      <c r="OEY51" s="310"/>
      <c r="OEZ51" s="310"/>
      <c r="OFA51" s="310"/>
      <c r="OFB51" s="310"/>
      <c r="OFC51" s="310"/>
      <c r="OFD51" s="310"/>
      <c r="OFE51" s="310"/>
      <c r="OFF51" s="310"/>
      <c r="OFG51" s="310"/>
      <c r="OFH51" s="310"/>
      <c r="OFI51" s="310"/>
      <c r="OFJ51" s="310"/>
      <c r="OFK51" s="310"/>
      <c r="OFL51" s="310"/>
      <c r="OFM51" s="310"/>
      <c r="OFN51" s="310"/>
      <c r="OFO51" s="310"/>
      <c r="OFP51" s="310"/>
      <c r="OFQ51" s="310"/>
      <c r="OFR51" s="310"/>
      <c r="OFS51" s="310"/>
      <c r="OFT51" s="310"/>
      <c r="OFU51" s="310"/>
      <c r="OFV51" s="310"/>
      <c r="OFW51" s="310"/>
      <c r="OFX51" s="310"/>
      <c r="OFY51" s="310"/>
      <c r="OFZ51" s="310"/>
      <c r="OGA51" s="310"/>
      <c r="OGB51" s="310"/>
      <c r="OGC51" s="310"/>
      <c r="OGD51" s="310"/>
      <c r="OGE51" s="310"/>
      <c r="OGF51" s="310"/>
      <c r="OGG51" s="310"/>
      <c r="OGH51" s="310"/>
      <c r="OGI51" s="310"/>
      <c r="OGJ51" s="310"/>
      <c r="OGK51" s="310"/>
      <c r="OGL51" s="310"/>
      <c r="OGM51" s="310"/>
      <c r="OGN51" s="310"/>
      <c r="OGO51" s="310"/>
      <c r="OGP51" s="310"/>
      <c r="OGQ51" s="310"/>
      <c r="OGR51" s="310"/>
      <c r="OGS51" s="310"/>
      <c r="OGT51" s="310"/>
      <c r="OGU51" s="310"/>
      <c r="OGV51" s="310"/>
      <c r="OGW51" s="310"/>
      <c r="OGX51" s="310"/>
      <c r="OGY51" s="310"/>
      <c r="OGZ51" s="310"/>
      <c r="OHA51" s="310"/>
      <c r="OHB51" s="310"/>
      <c r="OHC51" s="310"/>
      <c r="OHD51" s="310"/>
      <c r="OHE51" s="310"/>
      <c r="OHF51" s="310"/>
      <c r="OHG51" s="310"/>
      <c r="OHH51" s="310"/>
      <c r="OHI51" s="310"/>
      <c r="OHJ51" s="310"/>
      <c r="OHK51" s="310"/>
      <c r="OHL51" s="310"/>
      <c r="OHM51" s="310"/>
      <c r="OHN51" s="310"/>
      <c r="OHO51" s="310"/>
      <c r="OHP51" s="310"/>
      <c r="OHQ51" s="310"/>
      <c r="OHR51" s="310"/>
      <c r="OHS51" s="310"/>
      <c r="OHT51" s="310"/>
      <c r="OHU51" s="310"/>
      <c r="OHV51" s="310"/>
      <c r="OHW51" s="310"/>
      <c r="OHX51" s="310"/>
      <c r="OHY51" s="310"/>
      <c r="OHZ51" s="310"/>
      <c r="OIA51" s="310"/>
      <c r="OIB51" s="310"/>
      <c r="OIC51" s="310"/>
      <c r="OID51" s="310"/>
      <c r="OIE51" s="310"/>
      <c r="OIF51" s="310"/>
      <c r="OIG51" s="310"/>
      <c r="OIH51" s="310"/>
      <c r="OII51" s="310"/>
      <c r="OIJ51" s="310"/>
      <c r="OIK51" s="310"/>
      <c r="OIL51" s="310"/>
      <c r="OIM51" s="310"/>
      <c r="OIN51" s="310"/>
      <c r="OIO51" s="310"/>
      <c r="OIP51" s="310"/>
      <c r="OIQ51" s="310"/>
      <c r="OIR51" s="310"/>
      <c r="OIS51" s="310"/>
      <c r="OIT51" s="310"/>
      <c r="OIU51" s="310"/>
      <c r="OIV51" s="310"/>
      <c r="OIW51" s="310"/>
      <c r="OIX51" s="310"/>
      <c r="OIY51" s="310"/>
      <c r="OIZ51" s="310"/>
      <c r="OJA51" s="310"/>
      <c r="OJB51" s="310"/>
      <c r="OJC51" s="310"/>
      <c r="OJD51" s="310"/>
      <c r="OJE51" s="310"/>
      <c r="OJF51" s="310"/>
      <c r="OJG51" s="310"/>
      <c r="OJH51" s="310"/>
      <c r="OJI51" s="310"/>
      <c r="OJJ51" s="310"/>
      <c r="OJK51" s="310"/>
      <c r="OJL51" s="310"/>
      <c r="OJM51" s="310"/>
      <c r="OJN51" s="310"/>
      <c r="OJO51" s="310"/>
      <c r="OJP51" s="310"/>
      <c r="OJQ51" s="310"/>
      <c r="OJR51" s="310"/>
      <c r="OJS51" s="310"/>
      <c r="OJT51" s="310"/>
      <c r="OJU51" s="310"/>
      <c r="OJV51" s="310"/>
      <c r="OJW51" s="310"/>
      <c r="OJX51" s="310"/>
      <c r="OJY51" s="310"/>
      <c r="OJZ51" s="310"/>
      <c r="OKA51" s="310"/>
      <c r="OKB51" s="310"/>
      <c r="OKC51" s="310"/>
      <c r="OKD51" s="310"/>
      <c r="OKE51" s="310"/>
      <c r="OKF51" s="310"/>
      <c r="OKG51" s="310"/>
      <c r="OKH51" s="310"/>
      <c r="OKI51" s="310"/>
      <c r="OKJ51" s="310"/>
      <c r="OKK51" s="310"/>
      <c r="OKL51" s="310"/>
      <c r="OKM51" s="310"/>
      <c r="OKN51" s="310"/>
      <c r="OKO51" s="310"/>
      <c r="OKP51" s="310"/>
      <c r="OKQ51" s="310"/>
      <c r="OKR51" s="310"/>
      <c r="OKS51" s="310"/>
      <c r="OKT51" s="310"/>
      <c r="OKU51" s="310"/>
      <c r="OKV51" s="310"/>
      <c r="OKW51" s="310"/>
      <c r="OKX51" s="310"/>
      <c r="OKY51" s="310"/>
      <c r="OKZ51" s="310"/>
      <c r="OLA51" s="310"/>
      <c r="OLB51" s="310"/>
      <c r="OLC51" s="310"/>
      <c r="OLD51" s="310"/>
      <c r="OLE51" s="310"/>
      <c r="OLF51" s="310"/>
      <c r="OLG51" s="310"/>
      <c r="OLH51" s="310"/>
      <c r="OLI51" s="310"/>
      <c r="OLJ51" s="310"/>
      <c r="OLK51" s="310"/>
      <c r="OLL51" s="310"/>
      <c r="OLM51" s="310"/>
      <c r="OLN51" s="310"/>
      <c r="OLO51" s="310"/>
      <c r="OLP51" s="310"/>
      <c r="OLQ51" s="310"/>
      <c r="OLR51" s="310"/>
      <c r="OLS51" s="310"/>
      <c r="OLT51" s="310"/>
      <c r="OLU51" s="310"/>
      <c r="OLV51" s="310"/>
      <c r="OLW51" s="310"/>
      <c r="OLX51" s="310"/>
      <c r="OLY51" s="310"/>
      <c r="OLZ51" s="310"/>
      <c r="OMA51" s="310"/>
      <c r="OMB51" s="310"/>
      <c r="OMC51" s="310"/>
      <c r="OMD51" s="310"/>
      <c r="OME51" s="310"/>
      <c r="OMF51" s="310"/>
      <c r="OMG51" s="310"/>
      <c r="OMH51" s="310"/>
      <c r="OMI51" s="310"/>
      <c r="OMJ51" s="310"/>
      <c r="OMK51" s="310"/>
      <c r="OML51" s="310"/>
      <c r="OMM51" s="310"/>
      <c r="OMN51" s="310"/>
      <c r="OMO51" s="310"/>
      <c r="OMP51" s="310"/>
      <c r="OMQ51" s="310"/>
      <c r="OMR51" s="310"/>
      <c r="OMS51" s="310"/>
      <c r="OMT51" s="310"/>
      <c r="OMU51" s="310"/>
      <c r="OMV51" s="310"/>
      <c r="OMW51" s="310"/>
      <c r="OMX51" s="310"/>
      <c r="OMY51" s="310"/>
      <c r="OMZ51" s="310"/>
      <c r="ONA51" s="310"/>
      <c r="ONB51" s="310"/>
      <c r="ONC51" s="310"/>
      <c r="OND51" s="310"/>
      <c r="ONE51" s="310"/>
      <c r="ONF51" s="310"/>
      <c r="ONG51" s="310"/>
      <c r="ONH51" s="310"/>
      <c r="ONI51" s="310"/>
      <c r="ONJ51" s="310"/>
      <c r="ONK51" s="310"/>
      <c r="ONL51" s="310"/>
      <c r="ONM51" s="310"/>
      <c r="ONN51" s="310"/>
      <c r="ONO51" s="310"/>
      <c r="ONP51" s="310"/>
      <c r="ONQ51" s="310"/>
      <c r="ONR51" s="310"/>
      <c r="ONS51" s="310"/>
      <c r="ONT51" s="310"/>
      <c r="ONU51" s="310"/>
      <c r="ONV51" s="310"/>
      <c r="ONW51" s="310"/>
      <c r="ONX51" s="310"/>
      <c r="ONY51" s="310"/>
      <c r="ONZ51" s="310"/>
      <c r="OOA51" s="310"/>
      <c r="OOB51" s="310"/>
      <c r="OOC51" s="310"/>
      <c r="OOD51" s="310"/>
      <c r="OOE51" s="310"/>
      <c r="OOF51" s="310"/>
      <c r="OOG51" s="310"/>
      <c r="OOH51" s="310"/>
      <c r="OOI51" s="310"/>
      <c r="OOJ51" s="310"/>
      <c r="OOK51" s="310"/>
      <c r="OOL51" s="310"/>
      <c r="OOM51" s="310"/>
      <c r="OON51" s="310"/>
      <c r="OOO51" s="310"/>
      <c r="OOP51" s="310"/>
      <c r="OOQ51" s="310"/>
      <c r="OOR51" s="310"/>
      <c r="OOS51" s="310"/>
      <c r="OOT51" s="310"/>
      <c r="OOU51" s="310"/>
      <c r="OOV51" s="310"/>
      <c r="OOW51" s="310"/>
      <c r="OOX51" s="310"/>
      <c r="OOY51" s="310"/>
      <c r="OOZ51" s="310"/>
      <c r="OPA51" s="310"/>
      <c r="OPB51" s="310"/>
      <c r="OPC51" s="310"/>
      <c r="OPD51" s="310"/>
      <c r="OPE51" s="310"/>
      <c r="OPF51" s="310"/>
      <c r="OPG51" s="310"/>
      <c r="OPH51" s="310"/>
      <c r="OPI51" s="310"/>
      <c r="OPJ51" s="310"/>
      <c r="OPK51" s="310"/>
      <c r="OPL51" s="310"/>
      <c r="OPM51" s="310"/>
      <c r="OPN51" s="310"/>
      <c r="OPO51" s="310"/>
      <c r="OPP51" s="310"/>
      <c r="OPQ51" s="310"/>
      <c r="OPR51" s="310"/>
      <c r="OPS51" s="310"/>
      <c r="OPT51" s="310"/>
      <c r="OPU51" s="310"/>
      <c r="OPV51" s="310"/>
      <c r="OPW51" s="310"/>
      <c r="OPX51" s="310"/>
      <c r="OPY51" s="310"/>
      <c r="OPZ51" s="310"/>
      <c r="OQA51" s="310"/>
      <c r="OQB51" s="310"/>
      <c r="OQC51" s="310"/>
      <c r="OQD51" s="310"/>
      <c r="OQE51" s="310"/>
      <c r="OQF51" s="310"/>
      <c r="OQG51" s="310"/>
      <c r="OQH51" s="310"/>
      <c r="OQI51" s="310"/>
      <c r="OQJ51" s="310"/>
      <c r="OQK51" s="310"/>
      <c r="OQL51" s="310"/>
      <c r="OQM51" s="310"/>
      <c r="OQN51" s="310"/>
      <c r="OQO51" s="310"/>
      <c r="OQP51" s="310"/>
      <c r="OQQ51" s="310"/>
      <c r="OQR51" s="310"/>
      <c r="OQS51" s="310"/>
      <c r="OQT51" s="310"/>
      <c r="OQU51" s="310"/>
      <c r="OQV51" s="310"/>
      <c r="OQW51" s="310"/>
      <c r="OQX51" s="310"/>
      <c r="OQY51" s="310"/>
      <c r="OQZ51" s="310"/>
      <c r="ORA51" s="310"/>
      <c r="ORB51" s="310"/>
      <c r="ORC51" s="310"/>
      <c r="ORD51" s="310"/>
      <c r="ORE51" s="310"/>
      <c r="ORF51" s="310"/>
      <c r="ORG51" s="310"/>
      <c r="ORH51" s="310"/>
      <c r="ORI51" s="310"/>
      <c r="ORJ51" s="310"/>
      <c r="ORK51" s="310"/>
      <c r="ORL51" s="310"/>
      <c r="ORM51" s="310"/>
      <c r="ORN51" s="310"/>
      <c r="ORO51" s="310"/>
      <c r="ORP51" s="310"/>
      <c r="ORQ51" s="310"/>
      <c r="ORR51" s="310"/>
      <c r="ORS51" s="310"/>
      <c r="ORT51" s="310"/>
      <c r="ORU51" s="310"/>
      <c r="ORV51" s="310"/>
      <c r="ORW51" s="310"/>
      <c r="ORX51" s="310"/>
      <c r="ORY51" s="310"/>
      <c r="ORZ51" s="310"/>
      <c r="OSA51" s="310"/>
      <c r="OSB51" s="310"/>
      <c r="OSC51" s="310"/>
      <c r="OSD51" s="310"/>
      <c r="OSE51" s="310"/>
      <c r="OSF51" s="310"/>
      <c r="OSG51" s="310"/>
      <c r="OSH51" s="310"/>
      <c r="OSI51" s="310"/>
      <c r="OSJ51" s="310"/>
      <c r="OSK51" s="310"/>
      <c r="OSL51" s="310"/>
      <c r="OSM51" s="310"/>
      <c r="OSN51" s="310"/>
      <c r="OSO51" s="310"/>
      <c r="OSP51" s="310"/>
      <c r="OSQ51" s="310"/>
      <c r="OSR51" s="310"/>
      <c r="OSS51" s="310"/>
      <c r="OST51" s="310"/>
      <c r="OSU51" s="310"/>
      <c r="OSV51" s="310"/>
      <c r="OSW51" s="310"/>
      <c r="OSX51" s="310"/>
      <c r="OSY51" s="310"/>
      <c r="OSZ51" s="310"/>
      <c r="OTA51" s="310"/>
      <c r="OTB51" s="310"/>
      <c r="OTC51" s="310"/>
      <c r="OTD51" s="310"/>
      <c r="OTE51" s="310"/>
      <c r="OTF51" s="310"/>
      <c r="OTG51" s="310"/>
      <c r="OTH51" s="310"/>
      <c r="OTI51" s="310"/>
      <c r="OTJ51" s="310"/>
      <c r="OTK51" s="310"/>
      <c r="OTL51" s="310"/>
      <c r="OTM51" s="310"/>
      <c r="OTN51" s="310"/>
      <c r="OTO51" s="310"/>
      <c r="OTP51" s="310"/>
      <c r="OTQ51" s="310"/>
      <c r="OTR51" s="310"/>
      <c r="OTS51" s="310"/>
      <c r="OTT51" s="310"/>
      <c r="OTU51" s="310"/>
      <c r="OTV51" s="310"/>
      <c r="OTW51" s="310"/>
      <c r="OTX51" s="310"/>
      <c r="OTY51" s="310"/>
      <c r="OTZ51" s="310"/>
      <c r="OUA51" s="310"/>
      <c r="OUB51" s="310"/>
      <c r="OUC51" s="310"/>
      <c r="OUD51" s="310"/>
      <c r="OUE51" s="310"/>
      <c r="OUF51" s="310"/>
      <c r="OUG51" s="310"/>
      <c r="OUH51" s="310"/>
      <c r="OUI51" s="310"/>
      <c r="OUJ51" s="310"/>
      <c r="OUK51" s="310"/>
      <c r="OUL51" s="310"/>
      <c r="OUM51" s="310"/>
      <c r="OUN51" s="310"/>
      <c r="OUO51" s="310"/>
      <c r="OUP51" s="310"/>
      <c r="OUQ51" s="310"/>
      <c r="OUR51" s="310"/>
      <c r="OUS51" s="310"/>
      <c r="OUT51" s="310"/>
      <c r="OUU51" s="310"/>
      <c r="OUV51" s="310"/>
      <c r="OUW51" s="310"/>
      <c r="OUX51" s="310"/>
      <c r="OUY51" s="310"/>
      <c r="OUZ51" s="310"/>
      <c r="OVA51" s="310"/>
      <c r="OVB51" s="310"/>
      <c r="OVC51" s="310"/>
      <c r="OVD51" s="310"/>
      <c r="OVE51" s="310"/>
      <c r="OVF51" s="310"/>
      <c r="OVG51" s="310"/>
      <c r="OVH51" s="310"/>
      <c r="OVI51" s="310"/>
      <c r="OVJ51" s="310"/>
      <c r="OVK51" s="310"/>
      <c r="OVL51" s="310"/>
      <c r="OVM51" s="310"/>
      <c r="OVN51" s="310"/>
      <c r="OVO51" s="310"/>
      <c r="OVP51" s="310"/>
      <c r="OVQ51" s="310"/>
      <c r="OVR51" s="310"/>
      <c r="OVS51" s="310"/>
      <c r="OVT51" s="310"/>
      <c r="OVU51" s="310"/>
      <c r="OVV51" s="310"/>
      <c r="OVW51" s="310"/>
      <c r="OVX51" s="310"/>
      <c r="OVY51" s="310"/>
      <c r="OVZ51" s="310"/>
      <c r="OWA51" s="310"/>
      <c r="OWB51" s="310"/>
      <c r="OWC51" s="310"/>
      <c r="OWD51" s="310"/>
      <c r="OWE51" s="310"/>
      <c r="OWF51" s="310"/>
      <c r="OWG51" s="310"/>
      <c r="OWH51" s="310"/>
      <c r="OWI51" s="310"/>
      <c r="OWJ51" s="310"/>
      <c r="OWK51" s="310"/>
      <c r="OWL51" s="310"/>
      <c r="OWM51" s="310"/>
      <c r="OWN51" s="310"/>
      <c r="OWO51" s="310"/>
      <c r="OWP51" s="310"/>
      <c r="OWQ51" s="310"/>
      <c r="OWR51" s="310"/>
      <c r="OWS51" s="310"/>
      <c r="OWT51" s="310"/>
      <c r="OWU51" s="310"/>
      <c r="OWV51" s="310"/>
      <c r="OWW51" s="310"/>
      <c r="OWX51" s="310"/>
      <c r="OWY51" s="310"/>
      <c r="OWZ51" s="310"/>
      <c r="OXA51" s="310"/>
      <c r="OXB51" s="310"/>
      <c r="OXC51" s="310"/>
      <c r="OXD51" s="310"/>
      <c r="OXE51" s="310"/>
      <c r="OXF51" s="310"/>
      <c r="OXG51" s="310"/>
      <c r="OXH51" s="310"/>
      <c r="OXI51" s="310"/>
      <c r="OXJ51" s="310"/>
      <c r="OXK51" s="310"/>
      <c r="OXL51" s="310"/>
      <c r="OXM51" s="310"/>
      <c r="OXN51" s="310"/>
      <c r="OXO51" s="310"/>
      <c r="OXP51" s="310"/>
      <c r="OXQ51" s="310"/>
      <c r="OXR51" s="310"/>
      <c r="OXS51" s="310"/>
      <c r="OXT51" s="310"/>
      <c r="OXU51" s="310"/>
      <c r="OXV51" s="310"/>
      <c r="OXW51" s="310"/>
      <c r="OXX51" s="310"/>
      <c r="OXY51" s="310"/>
      <c r="OXZ51" s="310"/>
      <c r="OYA51" s="310"/>
      <c r="OYB51" s="310"/>
      <c r="OYC51" s="310"/>
      <c r="OYD51" s="310"/>
      <c r="OYE51" s="310"/>
      <c r="OYF51" s="310"/>
      <c r="OYG51" s="310"/>
      <c r="OYH51" s="310"/>
      <c r="OYI51" s="310"/>
      <c r="OYJ51" s="310"/>
      <c r="OYK51" s="310"/>
      <c r="OYL51" s="310"/>
      <c r="OYM51" s="310"/>
      <c r="OYN51" s="310"/>
      <c r="OYO51" s="310"/>
      <c r="OYP51" s="310"/>
      <c r="OYQ51" s="310"/>
      <c r="OYR51" s="310"/>
      <c r="OYS51" s="310"/>
      <c r="OYT51" s="310"/>
      <c r="OYU51" s="310"/>
      <c r="OYV51" s="310"/>
      <c r="OYW51" s="310"/>
      <c r="OYX51" s="310"/>
      <c r="OYY51" s="310"/>
      <c r="OYZ51" s="310"/>
      <c r="OZA51" s="310"/>
      <c r="OZB51" s="310"/>
      <c r="OZC51" s="310"/>
      <c r="OZD51" s="310"/>
      <c r="OZE51" s="310"/>
      <c r="OZF51" s="310"/>
      <c r="OZG51" s="310"/>
      <c r="OZH51" s="310"/>
      <c r="OZI51" s="310"/>
      <c r="OZJ51" s="310"/>
      <c r="OZK51" s="310"/>
      <c r="OZL51" s="310"/>
      <c r="OZM51" s="310"/>
      <c r="OZN51" s="310"/>
      <c r="OZO51" s="310"/>
      <c r="OZP51" s="310"/>
      <c r="OZQ51" s="310"/>
      <c r="OZR51" s="310"/>
      <c r="OZS51" s="310"/>
      <c r="OZT51" s="310"/>
      <c r="OZU51" s="310"/>
      <c r="OZV51" s="310"/>
      <c r="OZW51" s="310"/>
      <c r="OZX51" s="310"/>
      <c r="OZY51" s="310"/>
      <c r="OZZ51" s="310"/>
      <c r="PAA51" s="310"/>
      <c r="PAB51" s="310"/>
      <c r="PAC51" s="310"/>
      <c r="PAD51" s="310"/>
      <c r="PAE51" s="310"/>
      <c r="PAF51" s="310"/>
      <c r="PAG51" s="310"/>
      <c r="PAH51" s="310"/>
      <c r="PAI51" s="310"/>
      <c r="PAJ51" s="310"/>
      <c r="PAK51" s="310"/>
      <c r="PAL51" s="310"/>
      <c r="PAM51" s="310"/>
      <c r="PAN51" s="310"/>
      <c r="PAO51" s="310"/>
      <c r="PAP51" s="310"/>
      <c r="PAQ51" s="310"/>
      <c r="PAR51" s="310"/>
      <c r="PAS51" s="310"/>
      <c r="PAT51" s="310"/>
      <c r="PAU51" s="310"/>
      <c r="PAV51" s="310"/>
      <c r="PAW51" s="310"/>
      <c r="PAX51" s="310"/>
      <c r="PAY51" s="310"/>
      <c r="PAZ51" s="310"/>
      <c r="PBA51" s="310"/>
      <c r="PBB51" s="310"/>
      <c r="PBC51" s="310"/>
      <c r="PBD51" s="310"/>
      <c r="PBE51" s="310"/>
      <c r="PBF51" s="310"/>
      <c r="PBG51" s="310"/>
      <c r="PBH51" s="310"/>
      <c r="PBI51" s="310"/>
      <c r="PBJ51" s="310"/>
      <c r="PBK51" s="310"/>
      <c r="PBL51" s="310"/>
      <c r="PBM51" s="310"/>
      <c r="PBN51" s="310"/>
      <c r="PBO51" s="310"/>
      <c r="PBP51" s="310"/>
      <c r="PBQ51" s="310"/>
      <c r="PBR51" s="310"/>
      <c r="PBS51" s="310"/>
      <c r="PBT51" s="310"/>
      <c r="PBU51" s="310"/>
      <c r="PBV51" s="310"/>
      <c r="PBW51" s="310"/>
      <c r="PBX51" s="310"/>
      <c r="PBY51" s="310"/>
      <c r="PBZ51" s="310"/>
      <c r="PCA51" s="310"/>
      <c r="PCB51" s="310"/>
      <c r="PCC51" s="310"/>
      <c r="PCD51" s="310"/>
      <c r="PCE51" s="310"/>
      <c r="PCF51" s="310"/>
      <c r="PCG51" s="310"/>
      <c r="PCH51" s="310"/>
      <c r="PCI51" s="310"/>
      <c r="PCJ51" s="310"/>
      <c r="PCK51" s="310"/>
      <c r="PCL51" s="310"/>
      <c r="PCM51" s="310"/>
      <c r="PCN51" s="310"/>
      <c r="PCO51" s="310"/>
      <c r="PCP51" s="310"/>
      <c r="PCQ51" s="310"/>
      <c r="PCR51" s="310"/>
      <c r="PCS51" s="310"/>
      <c r="PCT51" s="310"/>
      <c r="PCU51" s="310"/>
      <c r="PCV51" s="310"/>
      <c r="PCW51" s="310"/>
      <c r="PCX51" s="310"/>
      <c r="PCY51" s="310"/>
      <c r="PCZ51" s="310"/>
      <c r="PDA51" s="310"/>
      <c r="PDB51" s="310"/>
      <c r="PDC51" s="310"/>
      <c r="PDD51" s="310"/>
      <c r="PDE51" s="310"/>
      <c r="PDF51" s="310"/>
      <c r="PDG51" s="310"/>
      <c r="PDH51" s="310"/>
      <c r="PDI51" s="310"/>
      <c r="PDJ51" s="310"/>
      <c r="PDK51" s="310"/>
      <c r="PDL51" s="310"/>
      <c r="PDM51" s="310"/>
      <c r="PDN51" s="310"/>
      <c r="PDO51" s="310"/>
      <c r="PDP51" s="310"/>
      <c r="PDQ51" s="310"/>
      <c r="PDR51" s="310"/>
      <c r="PDS51" s="310"/>
      <c r="PDT51" s="310"/>
      <c r="PDU51" s="310"/>
      <c r="PDV51" s="310"/>
      <c r="PDW51" s="310"/>
      <c r="PDX51" s="310"/>
      <c r="PDY51" s="310"/>
      <c r="PDZ51" s="310"/>
      <c r="PEA51" s="310"/>
      <c r="PEB51" s="310"/>
      <c r="PEC51" s="310"/>
      <c r="PED51" s="310"/>
      <c r="PEE51" s="310"/>
      <c r="PEF51" s="310"/>
      <c r="PEG51" s="310"/>
      <c r="PEH51" s="310"/>
      <c r="PEI51" s="310"/>
      <c r="PEJ51" s="310"/>
      <c r="PEK51" s="310"/>
      <c r="PEL51" s="310"/>
      <c r="PEM51" s="310"/>
      <c r="PEN51" s="310"/>
      <c r="PEO51" s="310"/>
      <c r="PEP51" s="310"/>
      <c r="PEQ51" s="310"/>
      <c r="PER51" s="310"/>
      <c r="PES51" s="310"/>
      <c r="PET51" s="310"/>
      <c r="PEU51" s="310"/>
      <c r="PEV51" s="310"/>
      <c r="PEW51" s="310"/>
      <c r="PEX51" s="310"/>
      <c r="PEY51" s="310"/>
      <c r="PEZ51" s="310"/>
      <c r="PFA51" s="310"/>
      <c r="PFB51" s="310"/>
      <c r="PFC51" s="310"/>
      <c r="PFD51" s="310"/>
      <c r="PFE51" s="310"/>
      <c r="PFF51" s="310"/>
      <c r="PFG51" s="310"/>
      <c r="PFH51" s="310"/>
      <c r="PFI51" s="310"/>
      <c r="PFJ51" s="310"/>
      <c r="PFK51" s="310"/>
      <c r="PFL51" s="310"/>
      <c r="PFM51" s="310"/>
      <c r="PFN51" s="310"/>
      <c r="PFO51" s="310"/>
      <c r="PFP51" s="310"/>
      <c r="PFQ51" s="310"/>
      <c r="PFR51" s="310"/>
      <c r="PFS51" s="310"/>
      <c r="PFT51" s="310"/>
      <c r="PFU51" s="310"/>
      <c r="PFV51" s="310"/>
      <c r="PFW51" s="310"/>
      <c r="PFX51" s="310"/>
      <c r="PFY51" s="310"/>
      <c r="PFZ51" s="310"/>
      <c r="PGA51" s="310"/>
      <c r="PGB51" s="310"/>
      <c r="PGC51" s="310"/>
      <c r="PGD51" s="310"/>
      <c r="PGE51" s="310"/>
      <c r="PGF51" s="310"/>
      <c r="PGG51" s="310"/>
      <c r="PGH51" s="310"/>
      <c r="PGI51" s="310"/>
      <c r="PGJ51" s="310"/>
      <c r="PGK51" s="310"/>
      <c r="PGL51" s="310"/>
      <c r="PGM51" s="310"/>
      <c r="PGN51" s="310"/>
      <c r="PGO51" s="310"/>
      <c r="PGP51" s="310"/>
      <c r="PGQ51" s="310"/>
      <c r="PGR51" s="310"/>
      <c r="PGS51" s="310"/>
      <c r="PGT51" s="310"/>
      <c r="PGU51" s="310"/>
      <c r="PGV51" s="310"/>
      <c r="PGW51" s="310"/>
      <c r="PGX51" s="310"/>
      <c r="PGY51" s="310"/>
      <c r="PGZ51" s="310"/>
      <c r="PHA51" s="310"/>
      <c r="PHB51" s="310"/>
      <c r="PHC51" s="310"/>
      <c r="PHD51" s="310"/>
      <c r="PHE51" s="310"/>
      <c r="PHF51" s="310"/>
      <c r="PHG51" s="310"/>
      <c r="PHH51" s="310"/>
      <c r="PHI51" s="310"/>
      <c r="PHJ51" s="310"/>
      <c r="PHK51" s="310"/>
      <c r="PHL51" s="310"/>
      <c r="PHM51" s="310"/>
      <c r="PHN51" s="310"/>
      <c r="PHO51" s="310"/>
      <c r="PHP51" s="310"/>
      <c r="PHQ51" s="310"/>
      <c r="PHR51" s="310"/>
      <c r="PHS51" s="310"/>
      <c r="PHT51" s="310"/>
      <c r="PHU51" s="310"/>
      <c r="PHV51" s="310"/>
      <c r="PHW51" s="310"/>
      <c r="PHX51" s="310"/>
      <c r="PHY51" s="310"/>
      <c r="PHZ51" s="310"/>
      <c r="PIA51" s="310"/>
      <c r="PIB51" s="310"/>
      <c r="PIC51" s="310"/>
      <c r="PID51" s="310"/>
      <c r="PIE51" s="310"/>
      <c r="PIF51" s="310"/>
      <c r="PIG51" s="310"/>
      <c r="PIH51" s="310"/>
      <c r="PII51" s="310"/>
      <c r="PIJ51" s="310"/>
      <c r="PIK51" s="310"/>
      <c r="PIL51" s="310"/>
      <c r="PIM51" s="310"/>
      <c r="PIN51" s="310"/>
      <c r="PIO51" s="310"/>
      <c r="PIP51" s="310"/>
      <c r="PIQ51" s="310"/>
      <c r="PIR51" s="310"/>
      <c r="PIS51" s="310"/>
      <c r="PIT51" s="310"/>
      <c r="PIU51" s="310"/>
      <c r="PIV51" s="310"/>
      <c r="PIW51" s="310"/>
      <c r="PIX51" s="310"/>
      <c r="PIY51" s="310"/>
      <c r="PIZ51" s="310"/>
      <c r="PJA51" s="310"/>
      <c r="PJB51" s="310"/>
      <c r="PJC51" s="310"/>
      <c r="PJD51" s="310"/>
      <c r="PJE51" s="310"/>
      <c r="PJF51" s="310"/>
      <c r="PJG51" s="310"/>
      <c r="PJH51" s="310"/>
      <c r="PJI51" s="310"/>
      <c r="PJJ51" s="310"/>
      <c r="PJK51" s="310"/>
      <c r="PJL51" s="310"/>
      <c r="PJM51" s="310"/>
      <c r="PJN51" s="310"/>
      <c r="PJO51" s="310"/>
      <c r="PJP51" s="310"/>
      <c r="PJQ51" s="310"/>
      <c r="PJR51" s="310"/>
      <c r="PJS51" s="310"/>
      <c r="PJT51" s="310"/>
      <c r="PJU51" s="310"/>
      <c r="PJV51" s="310"/>
      <c r="PJW51" s="310"/>
      <c r="PJX51" s="310"/>
      <c r="PJY51" s="310"/>
      <c r="PJZ51" s="310"/>
      <c r="PKA51" s="310"/>
      <c r="PKB51" s="310"/>
      <c r="PKC51" s="310"/>
      <c r="PKD51" s="310"/>
      <c r="PKE51" s="310"/>
      <c r="PKF51" s="310"/>
      <c r="PKG51" s="310"/>
      <c r="PKH51" s="310"/>
      <c r="PKI51" s="310"/>
      <c r="PKJ51" s="310"/>
      <c r="PKK51" s="310"/>
      <c r="PKL51" s="310"/>
      <c r="PKM51" s="310"/>
      <c r="PKN51" s="310"/>
      <c r="PKO51" s="310"/>
      <c r="PKP51" s="310"/>
      <c r="PKQ51" s="310"/>
      <c r="PKR51" s="310"/>
      <c r="PKS51" s="310"/>
      <c r="PKT51" s="310"/>
      <c r="PKU51" s="310"/>
      <c r="PKV51" s="310"/>
      <c r="PKW51" s="310"/>
      <c r="PKX51" s="310"/>
      <c r="PKY51" s="310"/>
      <c r="PKZ51" s="310"/>
      <c r="PLA51" s="310"/>
      <c r="PLB51" s="310"/>
      <c r="PLC51" s="310"/>
      <c r="PLD51" s="310"/>
      <c r="PLE51" s="310"/>
      <c r="PLF51" s="310"/>
      <c r="PLG51" s="310"/>
      <c r="PLH51" s="310"/>
      <c r="PLI51" s="310"/>
      <c r="PLJ51" s="310"/>
      <c r="PLK51" s="310"/>
      <c r="PLL51" s="310"/>
      <c r="PLM51" s="310"/>
      <c r="PLN51" s="310"/>
      <c r="PLO51" s="310"/>
      <c r="PLP51" s="310"/>
      <c r="PLQ51" s="310"/>
      <c r="PLR51" s="310"/>
      <c r="PLS51" s="310"/>
      <c r="PLT51" s="310"/>
      <c r="PLU51" s="310"/>
      <c r="PLV51" s="310"/>
      <c r="PLW51" s="310"/>
      <c r="PLX51" s="310"/>
      <c r="PLY51" s="310"/>
      <c r="PLZ51" s="310"/>
      <c r="PMA51" s="310"/>
      <c r="PMB51" s="310"/>
      <c r="PMC51" s="310"/>
      <c r="PMD51" s="310"/>
      <c r="PME51" s="310"/>
      <c r="PMF51" s="310"/>
      <c r="PMG51" s="310"/>
      <c r="PMH51" s="310"/>
      <c r="PMI51" s="310"/>
      <c r="PMJ51" s="310"/>
      <c r="PMK51" s="310"/>
      <c r="PML51" s="310"/>
      <c r="PMM51" s="310"/>
      <c r="PMN51" s="310"/>
      <c r="PMO51" s="310"/>
      <c r="PMP51" s="310"/>
      <c r="PMQ51" s="310"/>
      <c r="PMR51" s="310"/>
      <c r="PMS51" s="310"/>
      <c r="PMT51" s="310"/>
      <c r="PMU51" s="310"/>
      <c r="PMV51" s="310"/>
      <c r="PMW51" s="310"/>
      <c r="PMX51" s="310"/>
      <c r="PMY51" s="310"/>
      <c r="PMZ51" s="310"/>
      <c r="PNA51" s="310"/>
      <c r="PNB51" s="310"/>
      <c r="PNC51" s="310"/>
      <c r="PND51" s="310"/>
      <c r="PNE51" s="310"/>
      <c r="PNF51" s="310"/>
      <c r="PNG51" s="310"/>
      <c r="PNH51" s="310"/>
      <c r="PNI51" s="310"/>
      <c r="PNJ51" s="310"/>
      <c r="PNK51" s="310"/>
      <c r="PNL51" s="310"/>
      <c r="PNM51" s="310"/>
      <c r="PNN51" s="310"/>
      <c r="PNO51" s="310"/>
      <c r="PNP51" s="310"/>
      <c r="PNQ51" s="310"/>
      <c r="PNR51" s="310"/>
      <c r="PNS51" s="310"/>
      <c r="PNT51" s="310"/>
      <c r="PNU51" s="310"/>
      <c r="PNV51" s="310"/>
      <c r="PNW51" s="310"/>
      <c r="PNX51" s="310"/>
      <c r="PNY51" s="310"/>
      <c r="PNZ51" s="310"/>
      <c r="POA51" s="310"/>
      <c r="POB51" s="310"/>
      <c r="POC51" s="310"/>
      <c r="POD51" s="310"/>
      <c r="POE51" s="310"/>
      <c r="POF51" s="310"/>
      <c r="POG51" s="310"/>
      <c r="POH51" s="310"/>
      <c r="POI51" s="310"/>
      <c r="POJ51" s="310"/>
      <c r="POK51" s="310"/>
      <c r="POL51" s="310"/>
      <c r="POM51" s="310"/>
      <c r="PON51" s="310"/>
      <c r="POO51" s="310"/>
      <c r="POP51" s="310"/>
      <c r="POQ51" s="310"/>
      <c r="POR51" s="310"/>
      <c r="POS51" s="310"/>
      <c r="POT51" s="310"/>
      <c r="POU51" s="310"/>
      <c r="POV51" s="310"/>
      <c r="POW51" s="310"/>
      <c r="POX51" s="310"/>
      <c r="POY51" s="310"/>
      <c r="POZ51" s="310"/>
      <c r="PPA51" s="310"/>
      <c r="PPB51" s="310"/>
      <c r="PPC51" s="310"/>
      <c r="PPD51" s="310"/>
      <c r="PPE51" s="310"/>
      <c r="PPF51" s="310"/>
      <c r="PPG51" s="310"/>
      <c r="PPH51" s="310"/>
      <c r="PPI51" s="310"/>
      <c r="PPJ51" s="310"/>
      <c r="PPK51" s="310"/>
      <c r="PPL51" s="310"/>
      <c r="PPM51" s="310"/>
      <c r="PPN51" s="310"/>
      <c r="PPO51" s="310"/>
      <c r="PPP51" s="310"/>
      <c r="PPQ51" s="310"/>
      <c r="PPR51" s="310"/>
      <c r="PPS51" s="310"/>
      <c r="PPT51" s="310"/>
      <c r="PPU51" s="310"/>
      <c r="PPV51" s="310"/>
      <c r="PPW51" s="310"/>
      <c r="PPX51" s="310"/>
      <c r="PPY51" s="310"/>
      <c r="PPZ51" s="310"/>
      <c r="PQA51" s="310"/>
      <c r="PQB51" s="310"/>
      <c r="PQC51" s="310"/>
      <c r="PQD51" s="310"/>
      <c r="PQE51" s="310"/>
      <c r="PQF51" s="310"/>
      <c r="PQG51" s="310"/>
      <c r="PQH51" s="310"/>
      <c r="PQI51" s="310"/>
      <c r="PQJ51" s="310"/>
      <c r="PQK51" s="310"/>
      <c r="PQL51" s="310"/>
      <c r="PQM51" s="310"/>
      <c r="PQN51" s="310"/>
      <c r="PQO51" s="310"/>
      <c r="PQP51" s="310"/>
      <c r="PQQ51" s="310"/>
      <c r="PQR51" s="310"/>
      <c r="PQS51" s="310"/>
      <c r="PQT51" s="310"/>
      <c r="PQU51" s="310"/>
      <c r="PQV51" s="310"/>
      <c r="PQW51" s="310"/>
      <c r="PQX51" s="310"/>
      <c r="PQY51" s="310"/>
      <c r="PQZ51" s="310"/>
      <c r="PRA51" s="310"/>
      <c r="PRB51" s="310"/>
      <c r="PRC51" s="310"/>
      <c r="PRD51" s="310"/>
      <c r="PRE51" s="310"/>
      <c r="PRF51" s="310"/>
      <c r="PRG51" s="310"/>
      <c r="PRH51" s="310"/>
      <c r="PRI51" s="310"/>
      <c r="PRJ51" s="310"/>
      <c r="PRK51" s="310"/>
      <c r="PRL51" s="310"/>
      <c r="PRM51" s="310"/>
      <c r="PRN51" s="310"/>
      <c r="PRO51" s="310"/>
      <c r="PRP51" s="310"/>
      <c r="PRQ51" s="310"/>
      <c r="PRR51" s="310"/>
      <c r="PRS51" s="310"/>
      <c r="PRT51" s="310"/>
      <c r="PRU51" s="310"/>
      <c r="PRV51" s="310"/>
      <c r="PRW51" s="310"/>
      <c r="PRX51" s="310"/>
      <c r="PRY51" s="310"/>
      <c r="PRZ51" s="310"/>
      <c r="PSA51" s="310"/>
      <c r="PSB51" s="310"/>
      <c r="PSC51" s="310"/>
      <c r="PSD51" s="310"/>
      <c r="PSE51" s="310"/>
      <c r="PSF51" s="310"/>
      <c r="PSG51" s="310"/>
      <c r="PSH51" s="310"/>
      <c r="PSI51" s="310"/>
      <c r="PSJ51" s="310"/>
      <c r="PSK51" s="310"/>
      <c r="PSL51" s="310"/>
      <c r="PSM51" s="310"/>
      <c r="PSN51" s="310"/>
      <c r="PSO51" s="310"/>
      <c r="PSP51" s="310"/>
      <c r="PSQ51" s="310"/>
      <c r="PSR51" s="310"/>
      <c r="PSS51" s="310"/>
      <c r="PST51" s="310"/>
      <c r="PSU51" s="310"/>
      <c r="PSV51" s="310"/>
      <c r="PSW51" s="310"/>
      <c r="PSX51" s="310"/>
      <c r="PSY51" s="310"/>
      <c r="PSZ51" s="310"/>
      <c r="PTA51" s="310"/>
      <c r="PTB51" s="310"/>
      <c r="PTC51" s="310"/>
      <c r="PTD51" s="310"/>
      <c r="PTE51" s="310"/>
      <c r="PTF51" s="310"/>
      <c r="PTG51" s="310"/>
      <c r="PTH51" s="310"/>
      <c r="PTI51" s="310"/>
      <c r="PTJ51" s="310"/>
      <c r="PTK51" s="310"/>
      <c r="PTL51" s="310"/>
      <c r="PTM51" s="310"/>
      <c r="PTN51" s="310"/>
      <c r="PTO51" s="310"/>
      <c r="PTP51" s="310"/>
      <c r="PTQ51" s="310"/>
      <c r="PTR51" s="310"/>
      <c r="PTS51" s="310"/>
      <c r="PTT51" s="310"/>
      <c r="PTU51" s="310"/>
      <c r="PTV51" s="310"/>
      <c r="PTW51" s="310"/>
      <c r="PTX51" s="310"/>
      <c r="PTY51" s="310"/>
      <c r="PTZ51" s="310"/>
      <c r="PUA51" s="310"/>
      <c r="PUB51" s="310"/>
      <c r="PUC51" s="310"/>
      <c r="PUD51" s="310"/>
      <c r="PUE51" s="310"/>
      <c r="PUF51" s="310"/>
      <c r="PUG51" s="310"/>
      <c r="PUH51" s="310"/>
      <c r="PUI51" s="310"/>
      <c r="PUJ51" s="310"/>
      <c r="PUK51" s="310"/>
      <c r="PUL51" s="310"/>
      <c r="PUM51" s="310"/>
      <c r="PUN51" s="310"/>
      <c r="PUO51" s="310"/>
      <c r="PUP51" s="310"/>
      <c r="PUQ51" s="310"/>
      <c r="PUR51" s="310"/>
      <c r="PUS51" s="310"/>
      <c r="PUT51" s="310"/>
      <c r="PUU51" s="310"/>
      <c r="PUV51" s="310"/>
      <c r="PUW51" s="310"/>
      <c r="PUX51" s="310"/>
      <c r="PUY51" s="310"/>
      <c r="PUZ51" s="310"/>
      <c r="PVA51" s="310"/>
      <c r="PVB51" s="310"/>
      <c r="PVC51" s="310"/>
      <c r="PVD51" s="310"/>
      <c r="PVE51" s="310"/>
      <c r="PVF51" s="310"/>
      <c r="PVG51" s="310"/>
      <c r="PVH51" s="310"/>
      <c r="PVI51" s="310"/>
      <c r="PVJ51" s="310"/>
      <c r="PVK51" s="310"/>
      <c r="PVL51" s="310"/>
      <c r="PVM51" s="310"/>
      <c r="PVN51" s="310"/>
      <c r="PVO51" s="310"/>
      <c r="PVP51" s="310"/>
      <c r="PVQ51" s="310"/>
      <c r="PVR51" s="310"/>
      <c r="PVS51" s="310"/>
      <c r="PVT51" s="310"/>
      <c r="PVU51" s="310"/>
      <c r="PVV51" s="310"/>
      <c r="PVW51" s="310"/>
      <c r="PVX51" s="310"/>
      <c r="PVY51" s="310"/>
      <c r="PVZ51" s="310"/>
      <c r="PWA51" s="310"/>
      <c r="PWB51" s="310"/>
      <c r="PWC51" s="310"/>
      <c r="PWD51" s="310"/>
      <c r="PWE51" s="310"/>
      <c r="PWF51" s="310"/>
      <c r="PWG51" s="310"/>
      <c r="PWH51" s="310"/>
      <c r="PWI51" s="310"/>
      <c r="PWJ51" s="310"/>
      <c r="PWK51" s="310"/>
      <c r="PWL51" s="310"/>
      <c r="PWM51" s="310"/>
      <c r="PWN51" s="310"/>
      <c r="PWO51" s="310"/>
      <c r="PWP51" s="310"/>
      <c r="PWQ51" s="310"/>
      <c r="PWR51" s="310"/>
      <c r="PWS51" s="310"/>
      <c r="PWT51" s="310"/>
      <c r="PWU51" s="310"/>
      <c r="PWV51" s="310"/>
      <c r="PWW51" s="310"/>
      <c r="PWX51" s="310"/>
      <c r="PWY51" s="310"/>
      <c r="PWZ51" s="310"/>
      <c r="PXA51" s="310"/>
      <c r="PXB51" s="310"/>
      <c r="PXC51" s="310"/>
      <c r="PXD51" s="310"/>
      <c r="PXE51" s="310"/>
      <c r="PXF51" s="310"/>
      <c r="PXG51" s="310"/>
      <c r="PXH51" s="310"/>
      <c r="PXI51" s="310"/>
      <c r="PXJ51" s="310"/>
      <c r="PXK51" s="310"/>
      <c r="PXL51" s="310"/>
      <c r="PXM51" s="310"/>
      <c r="PXN51" s="310"/>
      <c r="PXO51" s="310"/>
      <c r="PXP51" s="310"/>
      <c r="PXQ51" s="310"/>
      <c r="PXR51" s="310"/>
      <c r="PXS51" s="310"/>
      <c r="PXT51" s="310"/>
      <c r="PXU51" s="310"/>
      <c r="PXV51" s="310"/>
      <c r="PXW51" s="310"/>
      <c r="PXX51" s="310"/>
      <c r="PXY51" s="310"/>
      <c r="PXZ51" s="310"/>
      <c r="PYA51" s="310"/>
      <c r="PYB51" s="310"/>
      <c r="PYC51" s="310"/>
      <c r="PYD51" s="310"/>
      <c r="PYE51" s="310"/>
      <c r="PYF51" s="310"/>
      <c r="PYG51" s="310"/>
      <c r="PYH51" s="310"/>
      <c r="PYI51" s="310"/>
      <c r="PYJ51" s="310"/>
      <c r="PYK51" s="310"/>
      <c r="PYL51" s="310"/>
      <c r="PYM51" s="310"/>
      <c r="PYN51" s="310"/>
      <c r="PYO51" s="310"/>
      <c r="PYP51" s="310"/>
      <c r="PYQ51" s="310"/>
      <c r="PYR51" s="310"/>
      <c r="PYS51" s="310"/>
      <c r="PYT51" s="310"/>
      <c r="PYU51" s="310"/>
      <c r="PYV51" s="310"/>
      <c r="PYW51" s="310"/>
      <c r="PYX51" s="310"/>
      <c r="PYY51" s="310"/>
      <c r="PYZ51" s="310"/>
      <c r="PZA51" s="310"/>
      <c r="PZB51" s="310"/>
      <c r="PZC51" s="310"/>
      <c r="PZD51" s="310"/>
      <c r="PZE51" s="310"/>
      <c r="PZF51" s="310"/>
      <c r="PZG51" s="310"/>
      <c r="PZH51" s="310"/>
      <c r="PZI51" s="310"/>
      <c r="PZJ51" s="310"/>
      <c r="PZK51" s="310"/>
      <c r="PZL51" s="310"/>
      <c r="PZM51" s="310"/>
      <c r="PZN51" s="310"/>
      <c r="PZO51" s="310"/>
      <c r="PZP51" s="310"/>
      <c r="PZQ51" s="310"/>
      <c r="PZR51" s="310"/>
      <c r="PZS51" s="310"/>
      <c r="PZT51" s="310"/>
      <c r="PZU51" s="310"/>
      <c r="PZV51" s="310"/>
      <c r="PZW51" s="310"/>
      <c r="PZX51" s="310"/>
      <c r="PZY51" s="310"/>
      <c r="PZZ51" s="310"/>
      <c r="QAA51" s="310"/>
      <c r="QAB51" s="310"/>
      <c r="QAC51" s="310"/>
      <c r="QAD51" s="310"/>
      <c r="QAE51" s="310"/>
      <c r="QAF51" s="310"/>
      <c r="QAG51" s="310"/>
      <c r="QAH51" s="310"/>
      <c r="QAI51" s="310"/>
      <c r="QAJ51" s="310"/>
      <c r="QAK51" s="310"/>
      <c r="QAL51" s="310"/>
      <c r="QAM51" s="310"/>
      <c r="QAN51" s="310"/>
      <c r="QAO51" s="310"/>
      <c r="QAP51" s="310"/>
      <c r="QAQ51" s="310"/>
      <c r="QAR51" s="310"/>
      <c r="QAS51" s="310"/>
      <c r="QAT51" s="310"/>
      <c r="QAU51" s="310"/>
      <c r="QAV51" s="310"/>
      <c r="QAW51" s="310"/>
      <c r="QAX51" s="310"/>
      <c r="QAY51" s="310"/>
      <c r="QAZ51" s="310"/>
      <c r="QBA51" s="310"/>
      <c r="QBB51" s="310"/>
      <c r="QBC51" s="310"/>
      <c r="QBD51" s="310"/>
      <c r="QBE51" s="310"/>
      <c r="QBF51" s="310"/>
      <c r="QBG51" s="310"/>
      <c r="QBH51" s="310"/>
      <c r="QBI51" s="310"/>
      <c r="QBJ51" s="310"/>
      <c r="QBK51" s="310"/>
      <c r="QBL51" s="310"/>
      <c r="QBM51" s="310"/>
      <c r="QBN51" s="310"/>
      <c r="QBO51" s="310"/>
      <c r="QBP51" s="310"/>
      <c r="QBQ51" s="310"/>
      <c r="QBR51" s="310"/>
      <c r="QBS51" s="310"/>
      <c r="QBT51" s="310"/>
      <c r="QBU51" s="310"/>
      <c r="QBV51" s="310"/>
      <c r="QBW51" s="310"/>
      <c r="QBX51" s="310"/>
      <c r="QBY51" s="310"/>
      <c r="QBZ51" s="310"/>
      <c r="QCA51" s="310"/>
      <c r="QCB51" s="310"/>
      <c r="QCC51" s="310"/>
      <c r="QCD51" s="310"/>
      <c r="QCE51" s="310"/>
      <c r="QCF51" s="310"/>
      <c r="QCG51" s="310"/>
      <c r="QCH51" s="310"/>
      <c r="QCI51" s="310"/>
      <c r="QCJ51" s="310"/>
      <c r="QCK51" s="310"/>
      <c r="QCL51" s="310"/>
      <c r="QCM51" s="310"/>
      <c r="QCN51" s="310"/>
      <c r="QCO51" s="310"/>
      <c r="QCP51" s="310"/>
      <c r="QCQ51" s="310"/>
      <c r="QCR51" s="310"/>
      <c r="QCS51" s="310"/>
      <c r="QCT51" s="310"/>
      <c r="QCU51" s="310"/>
      <c r="QCV51" s="310"/>
      <c r="QCW51" s="310"/>
      <c r="QCX51" s="310"/>
      <c r="QCY51" s="310"/>
      <c r="QCZ51" s="310"/>
      <c r="QDA51" s="310"/>
      <c r="QDB51" s="310"/>
      <c r="QDC51" s="310"/>
      <c r="QDD51" s="310"/>
      <c r="QDE51" s="310"/>
      <c r="QDF51" s="310"/>
      <c r="QDG51" s="310"/>
      <c r="QDH51" s="310"/>
      <c r="QDI51" s="310"/>
      <c r="QDJ51" s="310"/>
      <c r="QDK51" s="310"/>
      <c r="QDL51" s="310"/>
      <c r="QDM51" s="310"/>
      <c r="QDN51" s="310"/>
      <c r="QDO51" s="310"/>
      <c r="QDP51" s="310"/>
      <c r="QDQ51" s="310"/>
      <c r="QDR51" s="310"/>
      <c r="QDS51" s="310"/>
      <c r="QDT51" s="310"/>
      <c r="QDU51" s="310"/>
      <c r="QDV51" s="310"/>
      <c r="QDW51" s="310"/>
      <c r="QDX51" s="310"/>
      <c r="QDY51" s="310"/>
      <c r="QDZ51" s="310"/>
      <c r="QEA51" s="310"/>
      <c r="QEB51" s="310"/>
      <c r="QEC51" s="310"/>
      <c r="QED51" s="310"/>
      <c r="QEE51" s="310"/>
      <c r="QEF51" s="310"/>
      <c r="QEG51" s="310"/>
      <c r="QEH51" s="310"/>
      <c r="QEI51" s="310"/>
      <c r="QEJ51" s="310"/>
      <c r="QEK51" s="310"/>
      <c r="QEL51" s="310"/>
      <c r="QEM51" s="310"/>
      <c r="QEN51" s="310"/>
      <c r="QEO51" s="310"/>
      <c r="QEP51" s="310"/>
      <c r="QEQ51" s="310"/>
      <c r="QER51" s="310"/>
      <c r="QES51" s="310"/>
      <c r="QET51" s="310"/>
      <c r="QEU51" s="310"/>
      <c r="QEV51" s="310"/>
      <c r="QEW51" s="310"/>
      <c r="QEX51" s="310"/>
      <c r="QEY51" s="310"/>
      <c r="QEZ51" s="310"/>
      <c r="QFA51" s="310"/>
      <c r="QFB51" s="310"/>
      <c r="QFC51" s="310"/>
      <c r="QFD51" s="310"/>
      <c r="QFE51" s="310"/>
      <c r="QFF51" s="310"/>
      <c r="QFG51" s="310"/>
      <c r="QFH51" s="310"/>
      <c r="QFI51" s="310"/>
      <c r="QFJ51" s="310"/>
      <c r="QFK51" s="310"/>
      <c r="QFL51" s="310"/>
      <c r="QFM51" s="310"/>
      <c r="QFN51" s="310"/>
      <c r="QFO51" s="310"/>
      <c r="QFP51" s="310"/>
      <c r="QFQ51" s="310"/>
      <c r="QFR51" s="310"/>
      <c r="QFS51" s="310"/>
      <c r="QFT51" s="310"/>
      <c r="QFU51" s="310"/>
      <c r="QFV51" s="310"/>
      <c r="QFW51" s="310"/>
      <c r="QFX51" s="310"/>
      <c r="QFY51" s="310"/>
      <c r="QFZ51" s="310"/>
      <c r="QGA51" s="310"/>
      <c r="QGB51" s="310"/>
      <c r="QGC51" s="310"/>
      <c r="QGD51" s="310"/>
      <c r="QGE51" s="310"/>
      <c r="QGF51" s="310"/>
      <c r="QGG51" s="310"/>
      <c r="QGH51" s="310"/>
      <c r="QGI51" s="310"/>
      <c r="QGJ51" s="310"/>
      <c r="QGK51" s="310"/>
      <c r="QGL51" s="310"/>
      <c r="QGM51" s="310"/>
      <c r="QGN51" s="310"/>
      <c r="QGO51" s="310"/>
      <c r="QGP51" s="310"/>
      <c r="QGQ51" s="310"/>
      <c r="QGR51" s="310"/>
      <c r="QGS51" s="310"/>
      <c r="QGT51" s="310"/>
      <c r="QGU51" s="310"/>
      <c r="QGV51" s="310"/>
      <c r="QGW51" s="310"/>
      <c r="QGX51" s="310"/>
      <c r="QGY51" s="310"/>
      <c r="QGZ51" s="310"/>
      <c r="QHA51" s="310"/>
      <c r="QHB51" s="310"/>
      <c r="QHC51" s="310"/>
      <c r="QHD51" s="310"/>
      <c r="QHE51" s="310"/>
      <c r="QHF51" s="310"/>
      <c r="QHG51" s="310"/>
      <c r="QHH51" s="310"/>
      <c r="QHI51" s="310"/>
      <c r="QHJ51" s="310"/>
      <c r="QHK51" s="310"/>
      <c r="QHL51" s="310"/>
      <c r="QHM51" s="310"/>
      <c r="QHN51" s="310"/>
      <c r="QHO51" s="310"/>
      <c r="QHP51" s="310"/>
      <c r="QHQ51" s="310"/>
      <c r="QHR51" s="310"/>
      <c r="QHS51" s="310"/>
      <c r="QHT51" s="310"/>
      <c r="QHU51" s="310"/>
      <c r="QHV51" s="310"/>
      <c r="QHW51" s="310"/>
      <c r="QHX51" s="310"/>
      <c r="QHY51" s="310"/>
      <c r="QHZ51" s="310"/>
      <c r="QIA51" s="310"/>
      <c r="QIB51" s="310"/>
      <c r="QIC51" s="310"/>
      <c r="QID51" s="310"/>
      <c r="QIE51" s="310"/>
      <c r="QIF51" s="310"/>
      <c r="QIG51" s="310"/>
      <c r="QIH51" s="310"/>
      <c r="QII51" s="310"/>
      <c r="QIJ51" s="310"/>
      <c r="QIK51" s="310"/>
      <c r="QIL51" s="310"/>
      <c r="QIM51" s="310"/>
      <c r="QIN51" s="310"/>
      <c r="QIO51" s="310"/>
      <c r="QIP51" s="310"/>
      <c r="QIQ51" s="310"/>
      <c r="QIR51" s="310"/>
      <c r="QIS51" s="310"/>
      <c r="QIT51" s="310"/>
      <c r="QIU51" s="310"/>
      <c r="QIV51" s="310"/>
      <c r="QIW51" s="310"/>
      <c r="QIX51" s="310"/>
      <c r="QIY51" s="310"/>
      <c r="QIZ51" s="310"/>
      <c r="QJA51" s="310"/>
      <c r="QJB51" s="310"/>
      <c r="QJC51" s="310"/>
      <c r="QJD51" s="310"/>
      <c r="QJE51" s="310"/>
      <c r="QJF51" s="310"/>
      <c r="QJG51" s="310"/>
      <c r="QJH51" s="310"/>
      <c r="QJI51" s="310"/>
      <c r="QJJ51" s="310"/>
      <c r="QJK51" s="310"/>
      <c r="QJL51" s="310"/>
      <c r="QJM51" s="310"/>
      <c r="QJN51" s="310"/>
      <c r="QJO51" s="310"/>
      <c r="QJP51" s="310"/>
      <c r="QJQ51" s="310"/>
      <c r="QJR51" s="310"/>
      <c r="QJS51" s="310"/>
      <c r="QJT51" s="310"/>
      <c r="QJU51" s="310"/>
      <c r="QJV51" s="310"/>
      <c r="QJW51" s="310"/>
      <c r="QJX51" s="310"/>
      <c r="QJY51" s="310"/>
      <c r="QJZ51" s="310"/>
      <c r="QKA51" s="310"/>
      <c r="QKB51" s="310"/>
      <c r="QKC51" s="310"/>
      <c r="QKD51" s="310"/>
      <c r="QKE51" s="310"/>
      <c r="QKF51" s="310"/>
      <c r="QKG51" s="310"/>
      <c r="QKH51" s="310"/>
      <c r="QKI51" s="310"/>
      <c r="QKJ51" s="310"/>
      <c r="QKK51" s="310"/>
      <c r="QKL51" s="310"/>
      <c r="QKM51" s="310"/>
      <c r="QKN51" s="310"/>
      <c r="QKO51" s="310"/>
      <c r="QKP51" s="310"/>
      <c r="QKQ51" s="310"/>
      <c r="QKR51" s="310"/>
      <c r="QKS51" s="310"/>
      <c r="QKT51" s="310"/>
      <c r="QKU51" s="310"/>
      <c r="QKV51" s="310"/>
      <c r="QKW51" s="310"/>
      <c r="QKX51" s="310"/>
      <c r="QKY51" s="310"/>
      <c r="QKZ51" s="310"/>
      <c r="QLA51" s="310"/>
      <c r="QLB51" s="310"/>
      <c r="QLC51" s="310"/>
      <c r="QLD51" s="310"/>
      <c r="QLE51" s="310"/>
      <c r="QLF51" s="310"/>
      <c r="QLG51" s="310"/>
      <c r="QLH51" s="310"/>
      <c r="QLI51" s="310"/>
      <c r="QLJ51" s="310"/>
      <c r="QLK51" s="310"/>
      <c r="QLL51" s="310"/>
      <c r="QLM51" s="310"/>
      <c r="QLN51" s="310"/>
      <c r="QLO51" s="310"/>
      <c r="QLP51" s="310"/>
      <c r="QLQ51" s="310"/>
      <c r="QLR51" s="310"/>
      <c r="QLS51" s="310"/>
      <c r="QLT51" s="310"/>
      <c r="QLU51" s="310"/>
      <c r="QLV51" s="310"/>
      <c r="QLW51" s="310"/>
      <c r="QLX51" s="310"/>
      <c r="QLY51" s="310"/>
      <c r="QLZ51" s="310"/>
      <c r="QMA51" s="310"/>
      <c r="QMB51" s="310"/>
      <c r="QMC51" s="310"/>
      <c r="QMD51" s="310"/>
      <c r="QME51" s="310"/>
      <c r="QMF51" s="310"/>
      <c r="QMG51" s="310"/>
      <c r="QMH51" s="310"/>
      <c r="QMI51" s="310"/>
      <c r="QMJ51" s="310"/>
      <c r="QMK51" s="310"/>
      <c r="QML51" s="310"/>
      <c r="QMM51" s="310"/>
      <c r="QMN51" s="310"/>
      <c r="QMO51" s="310"/>
      <c r="QMP51" s="310"/>
      <c r="QMQ51" s="310"/>
      <c r="QMR51" s="310"/>
      <c r="QMS51" s="310"/>
      <c r="QMT51" s="310"/>
      <c r="QMU51" s="310"/>
      <c r="QMV51" s="310"/>
      <c r="QMW51" s="310"/>
      <c r="QMX51" s="310"/>
      <c r="QMY51" s="310"/>
      <c r="QMZ51" s="310"/>
      <c r="QNA51" s="310"/>
      <c r="QNB51" s="310"/>
      <c r="QNC51" s="310"/>
      <c r="QND51" s="310"/>
      <c r="QNE51" s="310"/>
      <c r="QNF51" s="310"/>
      <c r="QNG51" s="310"/>
      <c r="QNH51" s="310"/>
      <c r="QNI51" s="310"/>
      <c r="QNJ51" s="310"/>
      <c r="QNK51" s="310"/>
      <c r="QNL51" s="310"/>
      <c r="QNM51" s="310"/>
      <c r="QNN51" s="310"/>
      <c r="QNO51" s="310"/>
      <c r="QNP51" s="310"/>
      <c r="QNQ51" s="310"/>
      <c r="QNR51" s="310"/>
      <c r="QNS51" s="310"/>
      <c r="QNT51" s="310"/>
      <c r="QNU51" s="310"/>
      <c r="QNV51" s="310"/>
      <c r="QNW51" s="310"/>
      <c r="QNX51" s="310"/>
      <c r="QNY51" s="310"/>
      <c r="QNZ51" s="310"/>
      <c r="QOA51" s="310"/>
      <c r="QOB51" s="310"/>
      <c r="QOC51" s="310"/>
      <c r="QOD51" s="310"/>
      <c r="QOE51" s="310"/>
      <c r="QOF51" s="310"/>
      <c r="QOG51" s="310"/>
      <c r="QOH51" s="310"/>
      <c r="QOI51" s="310"/>
      <c r="QOJ51" s="310"/>
      <c r="QOK51" s="310"/>
      <c r="QOL51" s="310"/>
      <c r="QOM51" s="310"/>
      <c r="QON51" s="310"/>
      <c r="QOO51" s="310"/>
      <c r="QOP51" s="310"/>
      <c r="QOQ51" s="310"/>
      <c r="QOR51" s="310"/>
      <c r="QOS51" s="310"/>
      <c r="QOT51" s="310"/>
      <c r="QOU51" s="310"/>
      <c r="QOV51" s="310"/>
      <c r="QOW51" s="310"/>
      <c r="QOX51" s="310"/>
      <c r="QOY51" s="310"/>
      <c r="QOZ51" s="310"/>
      <c r="QPA51" s="310"/>
      <c r="QPB51" s="310"/>
      <c r="QPC51" s="310"/>
      <c r="QPD51" s="310"/>
      <c r="QPE51" s="310"/>
      <c r="QPF51" s="310"/>
      <c r="QPG51" s="310"/>
      <c r="QPH51" s="310"/>
      <c r="QPI51" s="310"/>
      <c r="QPJ51" s="310"/>
      <c r="QPK51" s="310"/>
      <c r="QPL51" s="310"/>
      <c r="QPM51" s="310"/>
      <c r="QPN51" s="310"/>
      <c r="QPO51" s="310"/>
      <c r="QPP51" s="310"/>
      <c r="QPQ51" s="310"/>
      <c r="QPR51" s="310"/>
      <c r="QPS51" s="310"/>
      <c r="QPT51" s="310"/>
      <c r="QPU51" s="310"/>
      <c r="QPV51" s="310"/>
      <c r="QPW51" s="310"/>
      <c r="QPX51" s="310"/>
      <c r="QPY51" s="310"/>
      <c r="QPZ51" s="310"/>
      <c r="QQA51" s="310"/>
      <c r="QQB51" s="310"/>
      <c r="QQC51" s="310"/>
      <c r="QQD51" s="310"/>
      <c r="QQE51" s="310"/>
      <c r="QQF51" s="310"/>
      <c r="QQG51" s="310"/>
      <c r="QQH51" s="310"/>
      <c r="QQI51" s="310"/>
      <c r="QQJ51" s="310"/>
      <c r="QQK51" s="310"/>
      <c r="QQL51" s="310"/>
      <c r="QQM51" s="310"/>
      <c r="QQN51" s="310"/>
      <c r="QQO51" s="310"/>
      <c r="QQP51" s="310"/>
      <c r="QQQ51" s="310"/>
      <c r="QQR51" s="310"/>
      <c r="QQS51" s="310"/>
      <c r="QQT51" s="310"/>
      <c r="QQU51" s="310"/>
      <c r="QQV51" s="310"/>
      <c r="QQW51" s="310"/>
      <c r="QQX51" s="310"/>
      <c r="QQY51" s="310"/>
      <c r="QQZ51" s="310"/>
      <c r="QRA51" s="310"/>
      <c r="QRB51" s="310"/>
      <c r="QRC51" s="310"/>
      <c r="QRD51" s="310"/>
      <c r="QRE51" s="310"/>
      <c r="QRF51" s="310"/>
      <c r="QRG51" s="310"/>
      <c r="QRH51" s="310"/>
      <c r="QRI51" s="310"/>
      <c r="QRJ51" s="310"/>
      <c r="QRK51" s="310"/>
      <c r="QRL51" s="310"/>
      <c r="QRM51" s="310"/>
      <c r="QRN51" s="310"/>
      <c r="QRO51" s="310"/>
      <c r="QRP51" s="310"/>
      <c r="QRQ51" s="310"/>
      <c r="QRR51" s="310"/>
      <c r="QRS51" s="310"/>
      <c r="QRT51" s="310"/>
      <c r="QRU51" s="310"/>
      <c r="QRV51" s="310"/>
      <c r="QRW51" s="310"/>
      <c r="QRX51" s="310"/>
      <c r="QRY51" s="310"/>
      <c r="QRZ51" s="310"/>
      <c r="QSA51" s="310"/>
      <c r="QSB51" s="310"/>
      <c r="QSC51" s="310"/>
      <c r="QSD51" s="310"/>
      <c r="QSE51" s="310"/>
      <c r="QSF51" s="310"/>
      <c r="QSG51" s="310"/>
      <c r="QSH51" s="310"/>
      <c r="QSI51" s="310"/>
      <c r="QSJ51" s="310"/>
      <c r="QSK51" s="310"/>
      <c r="QSL51" s="310"/>
      <c r="QSM51" s="310"/>
      <c r="QSN51" s="310"/>
      <c r="QSO51" s="310"/>
      <c r="QSP51" s="310"/>
      <c r="QSQ51" s="310"/>
      <c r="QSR51" s="310"/>
      <c r="QSS51" s="310"/>
      <c r="QST51" s="310"/>
      <c r="QSU51" s="310"/>
      <c r="QSV51" s="310"/>
      <c r="QSW51" s="310"/>
      <c r="QSX51" s="310"/>
      <c r="QSY51" s="310"/>
      <c r="QSZ51" s="310"/>
      <c r="QTA51" s="310"/>
      <c r="QTB51" s="310"/>
      <c r="QTC51" s="310"/>
      <c r="QTD51" s="310"/>
      <c r="QTE51" s="310"/>
      <c r="QTF51" s="310"/>
      <c r="QTG51" s="310"/>
      <c r="QTH51" s="310"/>
      <c r="QTI51" s="310"/>
      <c r="QTJ51" s="310"/>
      <c r="QTK51" s="310"/>
      <c r="QTL51" s="310"/>
      <c r="QTM51" s="310"/>
      <c r="QTN51" s="310"/>
      <c r="QTO51" s="310"/>
      <c r="QTP51" s="310"/>
      <c r="QTQ51" s="310"/>
      <c r="QTR51" s="310"/>
      <c r="QTS51" s="310"/>
      <c r="QTT51" s="310"/>
      <c r="QTU51" s="310"/>
      <c r="QTV51" s="310"/>
      <c r="QTW51" s="310"/>
      <c r="QTX51" s="310"/>
      <c r="QTY51" s="310"/>
      <c r="QTZ51" s="310"/>
      <c r="QUA51" s="310"/>
      <c r="QUB51" s="310"/>
      <c r="QUC51" s="310"/>
      <c r="QUD51" s="310"/>
      <c r="QUE51" s="310"/>
      <c r="QUF51" s="310"/>
      <c r="QUG51" s="310"/>
      <c r="QUH51" s="310"/>
      <c r="QUI51" s="310"/>
      <c r="QUJ51" s="310"/>
      <c r="QUK51" s="310"/>
      <c r="QUL51" s="310"/>
      <c r="QUM51" s="310"/>
      <c r="QUN51" s="310"/>
      <c r="QUO51" s="310"/>
      <c r="QUP51" s="310"/>
      <c r="QUQ51" s="310"/>
      <c r="QUR51" s="310"/>
      <c r="QUS51" s="310"/>
      <c r="QUT51" s="310"/>
      <c r="QUU51" s="310"/>
      <c r="QUV51" s="310"/>
      <c r="QUW51" s="310"/>
      <c r="QUX51" s="310"/>
      <c r="QUY51" s="310"/>
      <c r="QUZ51" s="310"/>
      <c r="QVA51" s="310"/>
      <c r="QVB51" s="310"/>
      <c r="QVC51" s="310"/>
      <c r="QVD51" s="310"/>
      <c r="QVE51" s="310"/>
      <c r="QVF51" s="310"/>
      <c r="QVG51" s="310"/>
      <c r="QVH51" s="310"/>
      <c r="QVI51" s="310"/>
      <c r="QVJ51" s="310"/>
      <c r="QVK51" s="310"/>
      <c r="QVL51" s="310"/>
      <c r="QVM51" s="310"/>
      <c r="QVN51" s="310"/>
      <c r="QVO51" s="310"/>
      <c r="QVP51" s="310"/>
      <c r="QVQ51" s="310"/>
      <c r="QVR51" s="310"/>
      <c r="QVS51" s="310"/>
      <c r="QVT51" s="310"/>
      <c r="QVU51" s="310"/>
      <c r="QVV51" s="310"/>
      <c r="QVW51" s="310"/>
      <c r="QVX51" s="310"/>
      <c r="QVY51" s="310"/>
      <c r="QVZ51" s="310"/>
      <c r="QWA51" s="310"/>
      <c r="QWB51" s="310"/>
      <c r="QWC51" s="310"/>
      <c r="QWD51" s="310"/>
      <c r="QWE51" s="310"/>
      <c r="QWF51" s="310"/>
      <c r="QWG51" s="310"/>
      <c r="QWH51" s="310"/>
      <c r="QWI51" s="310"/>
      <c r="QWJ51" s="310"/>
      <c r="QWK51" s="310"/>
      <c r="QWL51" s="310"/>
      <c r="QWM51" s="310"/>
      <c r="QWN51" s="310"/>
      <c r="QWO51" s="310"/>
      <c r="QWP51" s="310"/>
      <c r="QWQ51" s="310"/>
      <c r="QWR51" s="310"/>
      <c r="QWS51" s="310"/>
      <c r="QWT51" s="310"/>
      <c r="QWU51" s="310"/>
      <c r="QWV51" s="310"/>
      <c r="QWW51" s="310"/>
      <c r="QWX51" s="310"/>
      <c r="QWY51" s="310"/>
      <c r="QWZ51" s="310"/>
      <c r="QXA51" s="310"/>
      <c r="QXB51" s="310"/>
      <c r="QXC51" s="310"/>
      <c r="QXD51" s="310"/>
      <c r="QXE51" s="310"/>
      <c r="QXF51" s="310"/>
      <c r="QXG51" s="310"/>
      <c r="QXH51" s="310"/>
      <c r="QXI51" s="310"/>
      <c r="QXJ51" s="310"/>
      <c r="QXK51" s="310"/>
      <c r="QXL51" s="310"/>
      <c r="QXM51" s="310"/>
      <c r="QXN51" s="310"/>
      <c r="QXO51" s="310"/>
      <c r="QXP51" s="310"/>
      <c r="QXQ51" s="310"/>
      <c r="QXR51" s="310"/>
      <c r="QXS51" s="310"/>
      <c r="QXT51" s="310"/>
      <c r="QXU51" s="310"/>
      <c r="QXV51" s="310"/>
      <c r="QXW51" s="310"/>
      <c r="QXX51" s="310"/>
      <c r="QXY51" s="310"/>
      <c r="QXZ51" s="310"/>
      <c r="QYA51" s="310"/>
      <c r="QYB51" s="310"/>
      <c r="QYC51" s="310"/>
      <c r="QYD51" s="310"/>
      <c r="QYE51" s="310"/>
      <c r="QYF51" s="310"/>
      <c r="QYG51" s="310"/>
      <c r="QYH51" s="310"/>
      <c r="QYI51" s="310"/>
      <c r="QYJ51" s="310"/>
      <c r="QYK51" s="310"/>
      <c r="QYL51" s="310"/>
      <c r="QYM51" s="310"/>
      <c r="QYN51" s="310"/>
      <c r="QYO51" s="310"/>
      <c r="QYP51" s="310"/>
      <c r="QYQ51" s="310"/>
      <c r="QYR51" s="310"/>
      <c r="QYS51" s="310"/>
      <c r="QYT51" s="310"/>
      <c r="QYU51" s="310"/>
      <c r="QYV51" s="310"/>
      <c r="QYW51" s="310"/>
      <c r="QYX51" s="310"/>
      <c r="QYY51" s="310"/>
      <c r="QYZ51" s="310"/>
      <c r="QZA51" s="310"/>
      <c r="QZB51" s="310"/>
      <c r="QZC51" s="310"/>
      <c r="QZD51" s="310"/>
      <c r="QZE51" s="310"/>
      <c r="QZF51" s="310"/>
      <c r="QZG51" s="310"/>
      <c r="QZH51" s="310"/>
      <c r="QZI51" s="310"/>
      <c r="QZJ51" s="310"/>
      <c r="QZK51" s="310"/>
      <c r="QZL51" s="310"/>
      <c r="QZM51" s="310"/>
      <c r="QZN51" s="310"/>
      <c r="QZO51" s="310"/>
      <c r="QZP51" s="310"/>
      <c r="QZQ51" s="310"/>
      <c r="QZR51" s="310"/>
      <c r="QZS51" s="310"/>
      <c r="QZT51" s="310"/>
      <c r="QZU51" s="310"/>
      <c r="QZV51" s="310"/>
      <c r="QZW51" s="310"/>
      <c r="QZX51" s="310"/>
      <c r="QZY51" s="310"/>
      <c r="QZZ51" s="310"/>
      <c r="RAA51" s="310"/>
      <c r="RAB51" s="310"/>
      <c r="RAC51" s="310"/>
      <c r="RAD51" s="310"/>
      <c r="RAE51" s="310"/>
      <c r="RAF51" s="310"/>
      <c r="RAG51" s="310"/>
      <c r="RAH51" s="310"/>
      <c r="RAI51" s="310"/>
      <c r="RAJ51" s="310"/>
      <c r="RAK51" s="310"/>
      <c r="RAL51" s="310"/>
      <c r="RAM51" s="310"/>
      <c r="RAN51" s="310"/>
      <c r="RAO51" s="310"/>
      <c r="RAP51" s="310"/>
      <c r="RAQ51" s="310"/>
      <c r="RAR51" s="310"/>
      <c r="RAS51" s="310"/>
      <c r="RAT51" s="310"/>
      <c r="RAU51" s="310"/>
      <c r="RAV51" s="310"/>
      <c r="RAW51" s="310"/>
      <c r="RAX51" s="310"/>
      <c r="RAY51" s="310"/>
      <c r="RAZ51" s="310"/>
      <c r="RBA51" s="310"/>
      <c r="RBB51" s="310"/>
      <c r="RBC51" s="310"/>
      <c r="RBD51" s="310"/>
      <c r="RBE51" s="310"/>
      <c r="RBF51" s="310"/>
      <c r="RBG51" s="310"/>
      <c r="RBH51" s="310"/>
      <c r="RBI51" s="310"/>
      <c r="RBJ51" s="310"/>
      <c r="RBK51" s="310"/>
      <c r="RBL51" s="310"/>
      <c r="RBM51" s="310"/>
      <c r="RBN51" s="310"/>
      <c r="RBO51" s="310"/>
      <c r="RBP51" s="310"/>
      <c r="RBQ51" s="310"/>
      <c r="RBR51" s="310"/>
      <c r="RBS51" s="310"/>
      <c r="RBT51" s="310"/>
      <c r="RBU51" s="310"/>
      <c r="RBV51" s="310"/>
      <c r="RBW51" s="310"/>
      <c r="RBX51" s="310"/>
      <c r="RBY51" s="310"/>
      <c r="RBZ51" s="310"/>
      <c r="RCA51" s="310"/>
      <c r="RCB51" s="310"/>
      <c r="RCC51" s="310"/>
      <c r="RCD51" s="310"/>
      <c r="RCE51" s="310"/>
      <c r="RCF51" s="310"/>
      <c r="RCG51" s="310"/>
      <c r="RCH51" s="310"/>
      <c r="RCI51" s="310"/>
      <c r="RCJ51" s="310"/>
      <c r="RCK51" s="310"/>
      <c r="RCL51" s="310"/>
      <c r="RCM51" s="310"/>
      <c r="RCN51" s="310"/>
      <c r="RCO51" s="310"/>
      <c r="RCP51" s="310"/>
      <c r="RCQ51" s="310"/>
      <c r="RCR51" s="310"/>
      <c r="RCS51" s="310"/>
      <c r="RCT51" s="310"/>
      <c r="RCU51" s="310"/>
      <c r="RCV51" s="310"/>
      <c r="RCW51" s="310"/>
      <c r="RCX51" s="310"/>
      <c r="RCY51" s="310"/>
      <c r="RCZ51" s="310"/>
      <c r="RDA51" s="310"/>
      <c r="RDB51" s="310"/>
      <c r="RDC51" s="310"/>
      <c r="RDD51" s="310"/>
      <c r="RDE51" s="310"/>
      <c r="RDF51" s="310"/>
      <c r="RDG51" s="310"/>
      <c r="RDH51" s="310"/>
      <c r="RDI51" s="310"/>
      <c r="RDJ51" s="310"/>
      <c r="RDK51" s="310"/>
      <c r="RDL51" s="310"/>
      <c r="RDM51" s="310"/>
      <c r="RDN51" s="310"/>
      <c r="RDO51" s="310"/>
      <c r="RDP51" s="310"/>
      <c r="RDQ51" s="310"/>
      <c r="RDR51" s="310"/>
      <c r="RDS51" s="310"/>
      <c r="RDT51" s="310"/>
      <c r="RDU51" s="310"/>
      <c r="RDV51" s="310"/>
      <c r="RDW51" s="310"/>
      <c r="RDX51" s="310"/>
      <c r="RDY51" s="310"/>
      <c r="RDZ51" s="310"/>
      <c r="REA51" s="310"/>
      <c r="REB51" s="310"/>
      <c r="REC51" s="310"/>
      <c r="RED51" s="310"/>
      <c r="REE51" s="310"/>
      <c r="REF51" s="310"/>
      <c r="REG51" s="310"/>
      <c r="REH51" s="310"/>
      <c r="REI51" s="310"/>
      <c r="REJ51" s="310"/>
      <c r="REK51" s="310"/>
      <c r="REL51" s="310"/>
      <c r="REM51" s="310"/>
      <c r="REN51" s="310"/>
      <c r="REO51" s="310"/>
      <c r="REP51" s="310"/>
      <c r="REQ51" s="310"/>
      <c r="RER51" s="310"/>
      <c r="RES51" s="310"/>
      <c r="RET51" s="310"/>
      <c r="REU51" s="310"/>
      <c r="REV51" s="310"/>
      <c r="REW51" s="310"/>
      <c r="REX51" s="310"/>
      <c r="REY51" s="310"/>
      <c r="REZ51" s="310"/>
      <c r="RFA51" s="310"/>
      <c r="RFB51" s="310"/>
      <c r="RFC51" s="310"/>
      <c r="RFD51" s="310"/>
      <c r="RFE51" s="310"/>
      <c r="RFF51" s="310"/>
      <c r="RFG51" s="310"/>
      <c r="RFH51" s="310"/>
      <c r="RFI51" s="310"/>
      <c r="RFJ51" s="310"/>
      <c r="RFK51" s="310"/>
      <c r="RFL51" s="310"/>
      <c r="RFM51" s="310"/>
      <c r="RFN51" s="310"/>
      <c r="RFO51" s="310"/>
      <c r="RFP51" s="310"/>
      <c r="RFQ51" s="310"/>
      <c r="RFR51" s="310"/>
      <c r="RFS51" s="310"/>
      <c r="RFT51" s="310"/>
      <c r="RFU51" s="310"/>
      <c r="RFV51" s="310"/>
      <c r="RFW51" s="310"/>
      <c r="RFX51" s="310"/>
      <c r="RFY51" s="310"/>
      <c r="RFZ51" s="310"/>
      <c r="RGA51" s="310"/>
      <c r="RGB51" s="310"/>
      <c r="RGC51" s="310"/>
      <c r="RGD51" s="310"/>
      <c r="RGE51" s="310"/>
      <c r="RGF51" s="310"/>
      <c r="RGG51" s="310"/>
      <c r="RGH51" s="310"/>
      <c r="RGI51" s="310"/>
      <c r="RGJ51" s="310"/>
      <c r="RGK51" s="310"/>
      <c r="RGL51" s="310"/>
      <c r="RGM51" s="310"/>
      <c r="RGN51" s="310"/>
      <c r="RGO51" s="310"/>
      <c r="RGP51" s="310"/>
      <c r="RGQ51" s="310"/>
      <c r="RGR51" s="310"/>
      <c r="RGS51" s="310"/>
      <c r="RGT51" s="310"/>
      <c r="RGU51" s="310"/>
      <c r="RGV51" s="310"/>
      <c r="RGW51" s="310"/>
      <c r="RGX51" s="310"/>
      <c r="RGY51" s="310"/>
      <c r="RGZ51" s="310"/>
      <c r="RHA51" s="310"/>
      <c r="RHB51" s="310"/>
      <c r="RHC51" s="310"/>
      <c r="RHD51" s="310"/>
      <c r="RHE51" s="310"/>
      <c r="RHF51" s="310"/>
      <c r="RHG51" s="310"/>
      <c r="RHH51" s="310"/>
      <c r="RHI51" s="310"/>
      <c r="RHJ51" s="310"/>
      <c r="RHK51" s="310"/>
      <c r="RHL51" s="310"/>
      <c r="RHM51" s="310"/>
      <c r="RHN51" s="310"/>
      <c r="RHO51" s="310"/>
      <c r="RHP51" s="310"/>
      <c r="RHQ51" s="310"/>
      <c r="RHR51" s="310"/>
      <c r="RHS51" s="310"/>
      <c r="RHT51" s="310"/>
      <c r="RHU51" s="310"/>
      <c r="RHV51" s="310"/>
      <c r="RHW51" s="310"/>
      <c r="RHX51" s="310"/>
      <c r="RHY51" s="310"/>
      <c r="RHZ51" s="310"/>
      <c r="RIA51" s="310"/>
      <c r="RIB51" s="310"/>
      <c r="RIC51" s="310"/>
      <c r="RID51" s="310"/>
      <c r="RIE51" s="310"/>
      <c r="RIF51" s="310"/>
      <c r="RIG51" s="310"/>
      <c r="RIH51" s="310"/>
      <c r="RII51" s="310"/>
      <c r="RIJ51" s="310"/>
      <c r="RIK51" s="310"/>
      <c r="RIL51" s="310"/>
      <c r="RIM51" s="310"/>
      <c r="RIN51" s="310"/>
      <c r="RIO51" s="310"/>
      <c r="RIP51" s="310"/>
      <c r="RIQ51" s="310"/>
      <c r="RIR51" s="310"/>
      <c r="RIS51" s="310"/>
      <c r="RIT51" s="310"/>
      <c r="RIU51" s="310"/>
      <c r="RIV51" s="310"/>
      <c r="RIW51" s="310"/>
      <c r="RIX51" s="310"/>
      <c r="RIY51" s="310"/>
      <c r="RIZ51" s="310"/>
      <c r="RJA51" s="310"/>
      <c r="RJB51" s="310"/>
      <c r="RJC51" s="310"/>
      <c r="RJD51" s="310"/>
      <c r="RJE51" s="310"/>
      <c r="RJF51" s="310"/>
      <c r="RJG51" s="310"/>
      <c r="RJH51" s="310"/>
      <c r="RJI51" s="310"/>
      <c r="RJJ51" s="310"/>
      <c r="RJK51" s="310"/>
      <c r="RJL51" s="310"/>
      <c r="RJM51" s="310"/>
      <c r="RJN51" s="310"/>
      <c r="RJO51" s="310"/>
      <c r="RJP51" s="310"/>
      <c r="RJQ51" s="310"/>
      <c r="RJR51" s="310"/>
      <c r="RJS51" s="310"/>
      <c r="RJT51" s="310"/>
      <c r="RJU51" s="310"/>
      <c r="RJV51" s="310"/>
      <c r="RJW51" s="310"/>
      <c r="RJX51" s="310"/>
      <c r="RJY51" s="310"/>
      <c r="RJZ51" s="310"/>
      <c r="RKA51" s="310"/>
      <c r="RKB51" s="310"/>
      <c r="RKC51" s="310"/>
      <c r="RKD51" s="310"/>
      <c r="RKE51" s="310"/>
      <c r="RKF51" s="310"/>
      <c r="RKG51" s="310"/>
      <c r="RKH51" s="310"/>
      <c r="RKI51" s="310"/>
      <c r="RKJ51" s="310"/>
      <c r="RKK51" s="310"/>
      <c r="RKL51" s="310"/>
      <c r="RKM51" s="310"/>
      <c r="RKN51" s="310"/>
      <c r="RKO51" s="310"/>
      <c r="RKP51" s="310"/>
      <c r="RKQ51" s="310"/>
      <c r="RKR51" s="310"/>
      <c r="RKS51" s="310"/>
      <c r="RKT51" s="310"/>
      <c r="RKU51" s="310"/>
      <c r="RKV51" s="310"/>
      <c r="RKW51" s="310"/>
      <c r="RKX51" s="310"/>
      <c r="RKY51" s="310"/>
      <c r="RKZ51" s="310"/>
      <c r="RLA51" s="310"/>
      <c r="RLB51" s="310"/>
      <c r="RLC51" s="310"/>
      <c r="RLD51" s="310"/>
      <c r="RLE51" s="310"/>
      <c r="RLF51" s="310"/>
      <c r="RLG51" s="310"/>
      <c r="RLH51" s="310"/>
      <c r="RLI51" s="310"/>
      <c r="RLJ51" s="310"/>
      <c r="RLK51" s="310"/>
      <c r="RLL51" s="310"/>
      <c r="RLM51" s="310"/>
      <c r="RLN51" s="310"/>
      <c r="RLO51" s="310"/>
      <c r="RLP51" s="310"/>
      <c r="RLQ51" s="310"/>
      <c r="RLR51" s="310"/>
      <c r="RLS51" s="310"/>
      <c r="RLT51" s="310"/>
      <c r="RLU51" s="310"/>
      <c r="RLV51" s="310"/>
      <c r="RLW51" s="310"/>
      <c r="RLX51" s="310"/>
      <c r="RLY51" s="310"/>
      <c r="RLZ51" s="310"/>
      <c r="RMA51" s="310"/>
      <c r="RMB51" s="310"/>
      <c r="RMC51" s="310"/>
      <c r="RMD51" s="310"/>
      <c r="RME51" s="310"/>
      <c r="RMF51" s="310"/>
      <c r="RMG51" s="310"/>
      <c r="RMH51" s="310"/>
      <c r="RMI51" s="310"/>
      <c r="RMJ51" s="310"/>
      <c r="RMK51" s="310"/>
      <c r="RML51" s="310"/>
      <c r="RMM51" s="310"/>
      <c r="RMN51" s="310"/>
      <c r="RMO51" s="310"/>
      <c r="RMP51" s="310"/>
      <c r="RMQ51" s="310"/>
      <c r="RMR51" s="310"/>
      <c r="RMS51" s="310"/>
      <c r="RMT51" s="310"/>
      <c r="RMU51" s="310"/>
      <c r="RMV51" s="310"/>
      <c r="RMW51" s="310"/>
      <c r="RMX51" s="310"/>
      <c r="RMY51" s="310"/>
      <c r="RMZ51" s="310"/>
      <c r="RNA51" s="310"/>
      <c r="RNB51" s="310"/>
      <c r="RNC51" s="310"/>
      <c r="RND51" s="310"/>
      <c r="RNE51" s="310"/>
      <c r="RNF51" s="310"/>
      <c r="RNG51" s="310"/>
      <c r="RNH51" s="310"/>
      <c r="RNI51" s="310"/>
      <c r="RNJ51" s="310"/>
      <c r="RNK51" s="310"/>
      <c r="RNL51" s="310"/>
      <c r="RNM51" s="310"/>
      <c r="RNN51" s="310"/>
      <c r="RNO51" s="310"/>
      <c r="RNP51" s="310"/>
      <c r="RNQ51" s="310"/>
      <c r="RNR51" s="310"/>
      <c r="RNS51" s="310"/>
      <c r="RNT51" s="310"/>
      <c r="RNU51" s="310"/>
      <c r="RNV51" s="310"/>
      <c r="RNW51" s="310"/>
      <c r="RNX51" s="310"/>
      <c r="RNY51" s="310"/>
      <c r="RNZ51" s="310"/>
      <c r="ROA51" s="310"/>
      <c r="ROB51" s="310"/>
      <c r="ROC51" s="310"/>
      <c r="ROD51" s="310"/>
      <c r="ROE51" s="310"/>
      <c r="ROF51" s="310"/>
      <c r="ROG51" s="310"/>
      <c r="ROH51" s="310"/>
      <c r="ROI51" s="310"/>
      <c r="ROJ51" s="310"/>
      <c r="ROK51" s="310"/>
      <c r="ROL51" s="310"/>
      <c r="ROM51" s="310"/>
      <c r="RON51" s="310"/>
      <c r="ROO51" s="310"/>
      <c r="ROP51" s="310"/>
      <c r="ROQ51" s="310"/>
      <c r="ROR51" s="310"/>
      <c r="ROS51" s="310"/>
      <c r="ROT51" s="310"/>
      <c r="ROU51" s="310"/>
      <c r="ROV51" s="310"/>
      <c r="ROW51" s="310"/>
      <c r="ROX51" s="310"/>
      <c r="ROY51" s="310"/>
      <c r="ROZ51" s="310"/>
      <c r="RPA51" s="310"/>
      <c r="RPB51" s="310"/>
      <c r="RPC51" s="310"/>
      <c r="RPD51" s="310"/>
      <c r="RPE51" s="310"/>
      <c r="RPF51" s="310"/>
      <c r="RPG51" s="310"/>
      <c r="RPH51" s="310"/>
      <c r="RPI51" s="310"/>
      <c r="RPJ51" s="310"/>
      <c r="RPK51" s="310"/>
      <c r="RPL51" s="310"/>
      <c r="RPM51" s="310"/>
      <c r="RPN51" s="310"/>
      <c r="RPO51" s="310"/>
      <c r="RPP51" s="310"/>
      <c r="RPQ51" s="310"/>
      <c r="RPR51" s="310"/>
      <c r="RPS51" s="310"/>
      <c r="RPT51" s="310"/>
      <c r="RPU51" s="310"/>
      <c r="RPV51" s="310"/>
      <c r="RPW51" s="310"/>
      <c r="RPX51" s="310"/>
      <c r="RPY51" s="310"/>
      <c r="RPZ51" s="310"/>
      <c r="RQA51" s="310"/>
      <c r="RQB51" s="310"/>
      <c r="RQC51" s="310"/>
      <c r="RQD51" s="310"/>
      <c r="RQE51" s="310"/>
      <c r="RQF51" s="310"/>
      <c r="RQG51" s="310"/>
      <c r="RQH51" s="310"/>
      <c r="RQI51" s="310"/>
      <c r="RQJ51" s="310"/>
      <c r="RQK51" s="310"/>
      <c r="RQL51" s="310"/>
      <c r="RQM51" s="310"/>
      <c r="RQN51" s="310"/>
      <c r="RQO51" s="310"/>
      <c r="RQP51" s="310"/>
      <c r="RQQ51" s="310"/>
      <c r="RQR51" s="310"/>
      <c r="RQS51" s="310"/>
      <c r="RQT51" s="310"/>
      <c r="RQU51" s="310"/>
      <c r="RQV51" s="310"/>
      <c r="RQW51" s="310"/>
      <c r="RQX51" s="310"/>
      <c r="RQY51" s="310"/>
      <c r="RQZ51" s="310"/>
      <c r="RRA51" s="310"/>
      <c r="RRB51" s="310"/>
      <c r="RRC51" s="310"/>
      <c r="RRD51" s="310"/>
      <c r="RRE51" s="310"/>
      <c r="RRF51" s="310"/>
      <c r="RRG51" s="310"/>
      <c r="RRH51" s="310"/>
      <c r="RRI51" s="310"/>
      <c r="RRJ51" s="310"/>
      <c r="RRK51" s="310"/>
      <c r="RRL51" s="310"/>
      <c r="RRM51" s="310"/>
      <c r="RRN51" s="310"/>
      <c r="RRO51" s="310"/>
      <c r="RRP51" s="310"/>
      <c r="RRQ51" s="310"/>
      <c r="RRR51" s="310"/>
      <c r="RRS51" s="310"/>
      <c r="RRT51" s="310"/>
      <c r="RRU51" s="310"/>
      <c r="RRV51" s="310"/>
      <c r="RRW51" s="310"/>
      <c r="RRX51" s="310"/>
      <c r="RRY51" s="310"/>
      <c r="RRZ51" s="310"/>
      <c r="RSA51" s="310"/>
      <c r="RSB51" s="310"/>
      <c r="RSC51" s="310"/>
      <c r="RSD51" s="310"/>
      <c r="RSE51" s="310"/>
      <c r="RSF51" s="310"/>
      <c r="RSG51" s="310"/>
      <c r="RSH51" s="310"/>
      <c r="RSI51" s="310"/>
      <c r="RSJ51" s="310"/>
      <c r="RSK51" s="310"/>
      <c r="RSL51" s="310"/>
      <c r="RSM51" s="310"/>
      <c r="RSN51" s="310"/>
      <c r="RSO51" s="310"/>
      <c r="RSP51" s="310"/>
      <c r="RSQ51" s="310"/>
      <c r="RSR51" s="310"/>
      <c r="RSS51" s="310"/>
      <c r="RST51" s="310"/>
      <c r="RSU51" s="310"/>
      <c r="RSV51" s="310"/>
      <c r="RSW51" s="310"/>
      <c r="RSX51" s="310"/>
      <c r="RSY51" s="310"/>
      <c r="RSZ51" s="310"/>
      <c r="RTA51" s="310"/>
      <c r="RTB51" s="310"/>
      <c r="RTC51" s="310"/>
      <c r="RTD51" s="310"/>
      <c r="RTE51" s="310"/>
      <c r="RTF51" s="310"/>
      <c r="RTG51" s="310"/>
      <c r="RTH51" s="310"/>
      <c r="RTI51" s="310"/>
      <c r="RTJ51" s="310"/>
      <c r="RTK51" s="310"/>
      <c r="RTL51" s="310"/>
      <c r="RTM51" s="310"/>
      <c r="RTN51" s="310"/>
      <c r="RTO51" s="310"/>
      <c r="RTP51" s="310"/>
      <c r="RTQ51" s="310"/>
      <c r="RTR51" s="310"/>
      <c r="RTS51" s="310"/>
      <c r="RTT51" s="310"/>
      <c r="RTU51" s="310"/>
      <c r="RTV51" s="310"/>
      <c r="RTW51" s="310"/>
      <c r="RTX51" s="310"/>
      <c r="RTY51" s="310"/>
      <c r="RTZ51" s="310"/>
      <c r="RUA51" s="310"/>
      <c r="RUB51" s="310"/>
      <c r="RUC51" s="310"/>
      <c r="RUD51" s="310"/>
      <c r="RUE51" s="310"/>
      <c r="RUF51" s="310"/>
      <c r="RUG51" s="310"/>
      <c r="RUH51" s="310"/>
      <c r="RUI51" s="310"/>
      <c r="RUJ51" s="310"/>
      <c r="RUK51" s="310"/>
      <c r="RUL51" s="310"/>
      <c r="RUM51" s="310"/>
      <c r="RUN51" s="310"/>
      <c r="RUO51" s="310"/>
      <c r="RUP51" s="310"/>
      <c r="RUQ51" s="310"/>
      <c r="RUR51" s="310"/>
      <c r="RUS51" s="310"/>
      <c r="RUT51" s="310"/>
      <c r="RUU51" s="310"/>
      <c r="RUV51" s="310"/>
      <c r="RUW51" s="310"/>
      <c r="RUX51" s="310"/>
      <c r="RUY51" s="310"/>
      <c r="RUZ51" s="310"/>
      <c r="RVA51" s="310"/>
      <c r="RVB51" s="310"/>
      <c r="RVC51" s="310"/>
      <c r="RVD51" s="310"/>
      <c r="RVE51" s="310"/>
      <c r="RVF51" s="310"/>
      <c r="RVG51" s="310"/>
      <c r="RVH51" s="310"/>
      <c r="RVI51" s="310"/>
      <c r="RVJ51" s="310"/>
      <c r="RVK51" s="310"/>
      <c r="RVL51" s="310"/>
      <c r="RVM51" s="310"/>
      <c r="RVN51" s="310"/>
      <c r="RVO51" s="310"/>
      <c r="RVP51" s="310"/>
      <c r="RVQ51" s="310"/>
      <c r="RVR51" s="310"/>
      <c r="RVS51" s="310"/>
      <c r="RVT51" s="310"/>
      <c r="RVU51" s="310"/>
      <c r="RVV51" s="310"/>
      <c r="RVW51" s="310"/>
      <c r="RVX51" s="310"/>
      <c r="RVY51" s="310"/>
      <c r="RVZ51" s="310"/>
      <c r="RWA51" s="310"/>
      <c r="RWB51" s="310"/>
      <c r="RWC51" s="310"/>
      <c r="RWD51" s="310"/>
      <c r="RWE51" s="310"/>
      <c r="RWF51" s="310"/>
      <c r="RWG51" s="310"/>
      <c r="RWH51" s="310"/>
      <c r="RWI51" s="310"/>
      <c r="RWJ51" s="310"/>
      <c r="RWK51" s="310"/>
      <c r="RWL51" s="310"/>
      <c r="RWM51" s="310"/>
      <c r="RWN51" s="310"/>
      <c r="RWO51" s="310"/>
      <c r="RWP51" s="310"/>
      <c r="RWQ51" s="310"/>
      <c r="RWR51" s="310"/>
      <c r="RWS51" s="310"/>
      <c r="RWT51" s="310"/>
      <c r="RWU51" s="310"/>
      <c r="RWV51" s="310"/>
      <c r="RWW51" s="310"/>
      <c r="RWX51" s="310"/>
      <c r="RWY51" s="310"/>
      <c r="RWZ51" s="310"/>
      <c r="RXA51" s="310"/>
      <c r="RXB51" s="310"/>
      <c r="RXC51" s="310"/>
      <c r="RXD51" s="310"/>
      <c r="RXE51" s="310"/>
      <c r="RXF51" s="310"/>
      <c r="RXG51" s="310"/>
      <c r="RXH51" s="310"/>
      <c r="RXI51" s="310"/>
      <c r="RXJ51" s="310"/>
      <c r="RXK51" s="310"/>
      <c r="RXL51" s="310"/>
      <c r="RXM51" s="310"/>
      <c r="RXN51" s="310"/>
      <c r="RXO51" s="310"/>
      <c r="RXP51" s="310"/>
      <c r="RXQ51" s="310"/>
      <c r="RXR51" s="310"/>
      <c r="RXS51" s="310"/>
      <c r="RXT51" s="310"/>
      <c r="RXU51" s="310"/>
      <c r="RXV51" s="310"/>
      <c r="RXW51" s="310"/>
      <c r="RXX51" s="310"/>
      <c r="RXY51" s="310"/>
      <c r="RXZ51" s="310"/>
      <c r="RYA51" s="310"/>
      <c r="RYB51" s="310"/>
      <c r="RYC51" s="310"/>
      <c r="RYD51" s="310"/>
      <c r="RYE51" s="310"/>
      <c r="RYF51" s="310"/>
      <c r="RYG51" s="310"/>
      <c r="RYH51" s="310"/>
      <c r="RYI51" s="310"/>
      <c r="RYJ51" s="310"/>
      <c r="RYK51" s="310"/>
      <c r="RYL51" s="310"/>
      <c r="RYM51" s="310"/>
      <c r="RYN51" s="310"/>
      <c r="RYO51" s="310"/>
      <c r="RYP51" s="310"/>
      <c r="RYQ51" s="310"/>
      <c r="RYR51" s="310"/>
      <c r="RYS51" s="310"/>
      <c r="RYT51" s="310"/>
      <c r="RYU51" s="310"/>
      <c r="RYV51" s="310"/>
      <c r="RYW51" s="310"/>
      <c r="RYX51" s="310"/>
      <c r="RYY51" s="310"/>
      <c r="RYZ51" s="310"/>
      <c r="RZA51" s="310"/>
      <c r="RZB51" s="310"/>
      <c r="RZC51" s="310"/>
      <c r="RZD51" s="310"/>
      <c r="RZE51" s="310"/>
      <c r="RZF51" s="310"/>
      <c r="RZG51" s="310"/>
      <c r="RZH51" s="310"/>
      <c r="RZI51" s="310"/>
      <c r="RZJ51" s="310"/>
      <c r="RZK51" s="310"/>
      <c r="RZL51" s="310"/>
      <c r="RZM51" s="310"/>
      <c r="RZN51" s="310"/>
      <c r="RZO51" s="310"/>
      <c r="RZP51" s="310"/>
      <c r="RZQ51" s="310"/>
      <c r="RZR51" s="310"/>
      <c r="RZS51" s="310"/>
      <c r="RZT51" s="310"/>
      <c r="RZU51" s="310"/>
      <c r="RZV51" s="310"/>
      <c r="RZW51" s="310"/>
      <c r="RZX51" s="310"/>
      <c r="RZY51" s="310"/>
      <c r="RZZ51" s="310"/>
      <c r="SAA51" s="310"/>
      <c r="SAB51" s="310"/>
      <c r="SAC51" s="310"/>
      <c r="SAD51" s="310"/>
      <c r="SAE51" s="310"/>
      <c r="SAF51" s="310"/>
      <c r="SAG51" s="310"/>
      <c r="SAH51" s="310"/>
      <c r="SAI51" s="310"/>
      <c r="SAJ51" s="310"/>
      <c r="SAK51" s="310"/>
      <c r="SAL51" s="310"/>
      <c r="SAM51" s="310"/>
      <c r="SAN51" s="310"/>
      <c r="SAO51" s="310"/>
      <c r="SAP51" s="310"/>
      <c r="SAQ51" s="310"/>
      <c r="SAR51" s="310"/>
      <c r="SAS51" s="310"/>
      <c r="SAT51" s="310"/>
      <c r="SAU51" s="310"/>
      <c r="SAV51" s="310"/>
      <c r="SAW51" s="310"/>
      <c r="SAX51" s="310"/>
      <c r="SAY51" s="310"/>
      <c r="SAZ51" s="310"/>
      <c r="SBA51" s="310"/>
      <c r="SBB51" s="310"/>
      <c r="SBC51" s="310"/>
      <c r="SBD51" s="310"/>
      <c r="SBE51" s="310"/>
      <c r="SBF51" s="310"/>
      <c r="SBG51" s="310"/>
      <c r="SBH51" s="310"/>
      <c r="SBI51" s="310"/>
      <c r="SBJ51" s="310"/>
      <c r="SBK51" s="310"/>
      <c r="SBL51" s="310"/>
      <c r="SBM51" s="310"/>
      <c r="SBN51" s="310"/>
      <c r="SBO51" s="310"/>
      <c r="SBP51" s="310"/>
      <c r="SBQ51" s="310"/>
      <c r="SBR51" s="310"/>
      <c r="SBS51" s="310"/>
      <c r="SBT51" s="310"/>
      <c r="SBU51" s="310"/>
      <c r="SBV51" s="310"/>
      <c r="SBW51" s="310"/>
      <c r="SBX51" s="310"/>
      <c r="SBY51" s="310"/>
      <c r="SBZ51" s="310"/>
      <c r="SCA51" s="310"/>
      <c r="SCB51" s="310"/>
      <c r="SCC51" s="310"/>
      <c r="SCD51" s="310"/>
      <c r="SCE51" s="310"/>
      <c r="SCF51" s="310"/>
      <c r="SCG51" s="310"/>
      <c r="SCH51" s="310"/>
      <c r="SCI51" s="310"/>
      <c r="SCJ51" s="310"/>
      <c r="SCK51" s="310"/>
      <c r="SCL51" s="310"/>
      <c r="SCM51" s="310"/>
      <c r="SCN51" s="310"/>
      <c r="SCO51" s="310"/>
      <c r="SCP51" s="310"/>
      <c r="SCQ51" s="310"/>
      <c r="SCR51" s="310"/>
      <c r="SCS51" s="310"/>
      <c r="SCT51" s="310"/>
      <c r="SCU51" s="310"/>
      <c r="SCV51" s="310"/>
      <c r="SCW51" s="310"/>
      <c r="SCX51" s="310"/>
      <c r="SCY51" s="310"/>
      <c r="SCZ51" s="310"/>
      <c r="SDA51" s="310"/>
      <c r="SDB51" s="310"/>
      <c r="SDC51" s="310"/>
      <c r="SDD51" s="310"/>
      <c r="SDE51" s="310"/>
      <c r="SDF51" s="310"/>
      <c r="SDG51" s="310"/>
      <c r="SDH51" s="310"/>
      <c r="SDI51" s="310"/>
      <c r="SDJ51" s="310"/>
      <c r="SDK51" s="310"/>
      <c r="SDL51" s="310"/>
      <c r="SDM51" s="310"/>
      <c r="SDN51" s="310"/>
      <c r="SDO51" s="310"/>
      <c r="SDP51" s="310"/>
      <c r="SDQ51" s="310"/>
      <c r="SDR51" s="310"/>
      <c r="SDS51" s="310"/>
      <c r="SDT51" s="310"/>
      <c r="SDU51" s="310"/>
      <c r="SDV51" s="310"/>
      <c r="SDW51" s="310"/>
      <c r="SDX51" s="310"/>
      <c r="SDY51" s="310"/>
      <c r="SDZ51" s="310"/>
      <c r="SEA51" s="310"/>
      <c r="SEB51" s="310"/>
      <c r="SEC51" s="310"/>
      <c r="SED51" s="310"/>
      <c r="SEE51" s="310"/>
      <c r="SEF51" s="310"/>
      <c r="SEG51" s="310"/>
      <c r="SEH51" s="310"/>
      <c r="SEI51" s="310"/>
      <c r="SEJ51" s="310"/>
      <c r="SEK51" s="310"/>
      <c r="SEL51" s="310"/>
      <c r="SEM51" s="310"/>
      <c r="SEN51" s="310"/>
      <c r="SEO51" s="310"/>
      <c r="SEP51" s="310"/>
      <c r="SEQ51" s="310"/>
      <c r="SER51" s="310"/>
      <c r="SES51" s="310"/>
      <c r="SET51" s="310"/>
      <c r="SEU51" s="310"/>
      <c r="SEV51" s="310"/>
      <c r="SEW51" s="310"/>
      <c r="SEX51" s="310"/>
      <c r="SEY51" s="310"/>
      <c r="SEZ51" s="310"/>
      <c r="SFA51" s="310"/>
      <c r="SFB51" s="310"/>
      <c r="SFC51" s="310"/>
      <c r="SFD51" s="310"/>
      <c r="SFE51" s="310"/>
      <c r="SFF51" s="310"/>
      <c r="SFG51" s="310"/>
      <c r="SFH51" s="310"/>
      <c r="SFI51" s="310"/>
      <c r="SFJ51" s="310"/>
      <c r="SFK51" s="310"/>
      <c r="SFL51" s="310"/>
      <c r="SFM51" s="310"/>
      <c r="SFN51" s="310"/>
      <c r="SFO51" s="310"/>
      <c r="SFP51" s="310"/>
      <c r="SFQ51" s="310"/>
      <c r="SFR51" s="310"/>
      <c r="SFS51" s="310"/>
      <c r="SFT51" s="310"/>
      <c r="SFU51" s="310"/>
      <c r="SFV51" s="310"/>
      <c r="SFW51" s="310"/>
      <c r="SFX51" s="310"/>
      <c r="SFY51" s="310"/>
      <c r="SFZ51" s="310"/>
      <c r="SGA51" s="310"/>
      <c r="SGB51" s="310"/>
      <c r="SGC51" s="310"/>
      <c r="SGD51" s="310"/>
      <c r="SGE51" s="310"/>
      <c r="SGF51" s="310"/>
      <c r="SGG51" s="310"/>
      <c r="SGH51" s="310"/>
      <c r="SGI51" s="310"/>
      <c r="SGJ51" s="310"/>
      <c r="SGK51" s="310"/>
      <c r="SGL51" s="310"/>
      <c r="SGM51" s="310"/>
      <c r="SGN51" s="310"/>
      <c r="SGO51" s="310"/>
      <c r="SGP51" s="310"/>
      <c r="SGQ51" s="310"/>
      <c r="SGR51" s="310"/>
      <c r="SGS51" s="310"/>
      <c r="SGT51" s="310"/>
      <c r="SGU51" s="310"/>
      <c r="SGV51" s="310"/>
      <c r="SGW51" s="310"/>
      <c r="SGX51" s="310"/>
      <c r="SGY51" s="310"/>
      <c r="SGZ51" s="310"/>
      <c r="SHA51" s="310"/>
      <c r="SHB51" s="310"/>
      <c r="SHC51" s="310"/>
      <c r="SHD51" s="310"/>
      <c r="SHE51" s="310"/>
      <c r="SHF51" s="310"/>
      <c r="SHG51" s="310"/>
      <c r="SHH51" s="310"/>
      <c r="SHI51" s="310"/>
      <c r="SHJ51" s="310"/>
      <c r="SHK51" s="310"/>
      <c r="SHL51" s="310"/>
      <c r="SHM51" s="310"/>
      <c r="SHN51" s="310"/>
      <c r="SHO51" s="310"/>
      <c r="SHP51" s="310"/>
      <c r="SHQ51" s="310"/>
      <c r="SHR51" s="310"/>
      <c r="SHS51" s="310"/>
      <c r="SHT51" s="310"/>
      <c r="SHU51" s="310"/>
      <c r="SHV51" s="310"/>
      <c r="SHW51" s="310"/>
      <c r="SHX51" s="310"/>
      <c r="SHY51" s="310"/>
      <c r="SHZ51" s="310"/>
      <c r="SIA51" s="310"/>
      <c r="SIB51" s="310"/>
      <c r="SIC51" s="310"/>
      <c r="SID51" s="310"/>
      <c r="SIE51" s="310"/>
      <c r="SIF51" s="310"/>
      <c r="SIG51" s="310"/>
      <c r="SIH51" s="310"/>
      <c r="SII51" s="310"/>
      <c r="SIJ51" s="310"/>
      <c r="SIK51" s="310"/>
      <c r="SIL51" s="310"/>
      <c r="SIM51" s="310"/>
      <c r="SIN51" s="310"/>
      <c r="SIO51" s="310"/>
      <c r="SIP51" s="310"/>
      <c r="SIQ51" s="310"/>
      <c r="SIR51" s="310"/>
      <c r="SIS51" s="310"/>
      <c r="SIT51" s="310"/>
      <c r="SIU51" s="310"/>
      <c r="SIV51" s="310"/>
      <c r="SIW51" s="310"/>
      <c r="SIX51" s="310"/>
      <c r="SIY51" s="310"/>
      <c r="SIZ51" s="310"/>
      <c r="SJA51" s="310"/>
      <c r="SJB51" s="310"/>
      <c r="SJC51" s="310"/>
      <c r="SJD51" s="310"/>
      <c r="SJE51" s="310"/>
      <c r="SJF51" s="310"/>
      <c r="SJG51" s="310"/>
      <c r="SJH51" s="310"/>
      <c r="SJI51" s="310"/>
      <c r="SJJ51" s="310"/>
      <c r="SJK51" s="310"/>
      <c r="SJL51" s="310"/>
      <c r="SJM51" s="310"/>
      <c r="SJN51" s="310"/>
      <c r="SJO51" s="310"/>
      <c r="SJP51" s="310"/>
      <c r="SJQ51" s="310"/>
      <c r="SJR51" s="310"/>
      <c r="SJS51" s="310"/>
      <c r="SJT51" s="310"/>
      <c r="SJU51" s="310"/>
      <c r="SJV51" s="310"/>
      <c r="SJW51" s="310"/>
      <c r="SJX51" s="310"/>
      <c r="SJY51" s="310"/>
      <c r="SJZ51" s="310"/>
      <c r="SKA51" s="310"/>
      <c r="SKB51" s="310"/>
      <c r="SKC51" s="310"/>
      <c r="SKD51" s="310"/>
      <c r="SKE51" s="310"/>
      <c r="SKF51" s="310"/>
      <c r="SKG51" s="310"/>
      <c r="SKH51" s="310"/>
      <c r="SKI51" s="310"/>
      <c r="SKJ51" s="310"/>
      <c r="SKK51" s="310"/>
      <c r="SKL51" s="310"/>
      <c r="SKM51" s="310"/>
      <c r="SKN51" s="310"/>
      <c r="SKO51" s="310"/>
      <c r="SKP51" s="310"/>
      <c r="SKQ51" s="310"/>
      <c r="SKR51" s="310"/>
      <c r="SKS51" s="310"/>
      <c r="SKT51" s="310"/>
      <c r="SKU51" s="310"/>
      <c r="SKV51" s="310"/>
      <c r="SKW51" s="310"/>
      <c r="SKX51" s="310"/>
      <c r="SKY51" s="310"/>
      <c r="SKZ51" s="310"/>
      <c r="SLA51" s="310"/>
      <c r="SLB51" s="310"/>
      <c r="SLC51" s="310"/>
      <c r="SLD51" s="310"/>
      <c r="SLE51" s="310"/>
      <c r="SLF51" s="310"/>
      <c r="SLG51" s="310"/>
      <c r="SLH51" s="310"/>
      <c r="SLI51" s="310"/>
      <c r="SLJ51" s="310"/>
      <c r="SLK51" s="310"/>
      <c r="SLL51" s="310"/>
      <c r="SLM51" s="310"/>
      <c r="SLN51" s="310"/>
      <c r="SLO51" s="310"/>
      <c r="SLP51" s="310"/>
      <c r="SLQ51" s="310"/>
      <c r="SLR51" s="310"/>
      <c r="SLS51" s="310"/>
      <c r="SLT51" s="310"/>
      <c r="SLU51" s="310"/>
      <c r="SLV51" s="310"/>
      <c r="SLW51" s="310"/>
      <c r="SLX51" s="310"/>
      <c r="SLY51" s="310"/>
      <c r="SLZ51" s="310"/>
      <c r="SMA51" s="310"/>
      <c r="SMB51" s="310"/>
      <c r="SMC51" s="310"/>
      <c r="SMD51" s="310"/>
      <c r="SME51" s="310"/>
      <c r="SMF51" s="310"/>
      <c r="SMG51" s="310"/>
      <c r="SMH51" s="310"/>
      <c r="SMI51" s="310"/>
      <c r="SMJ51" s="310"/>
      <c r="SMK51" s="310"/>
      <c r="SML51" s="310"/>
      <c r="SMM51" s="310"/>
      <c r="SMN51" s="310"/>
      <c r="SMO51" s="310"/>
      <c r="SMP51" s="310"/>
      <c r="SMQ51" s="310"/>
      <c r="SMR51" s="310"/>
      <c r="SMS51" s="310"/>
      <c r="SMT51" s="310"/>
      <c r="SMU51" s="310"/>
      <c r="SMV51" s="310"/>
      <c r="SMW51" s="310"/>
      <c r="SMX51" s="310"/>
      <c r="SMY51" s="310"/>
      <c r="SMZ51" s="310"/>
      <c r="SNA51" s="310"/>
      <c r="SNB51" s="310"/>
      <c r="SNC51" s="310"/>
      <c r="SND51" s="310"/>
      <c r="SNE51" s="310"/>
      <c r="SNF51" s="310"/>
      <c r="SNG51" s="310"/>
      <c r="SNH51" s="310"/>
      <c r="SNI51" s="310"/>
      <c r="SNJ51" s="310"/>
      <c r="SNK51" s="310"/>
      <c r="SNL51" s="310"/>
      <c r="SNM51" s="310"/>
      <c r="SNN51" s="310"/>
      <c r="SNO51" s="310"/>
      <c r="SNP51" s="310"/>
      <c r="SNQ51" s="310"/>
      <c r="SNR51" s="310"/>
      <c r="SNS51" s="310"/>
      <c r="SNT51" s="310"/>
      <c r="SNU51" s="310"/>
      <c r="SNV51" s="310"/>
      <c r="SNW51" s="310"/>
      <c r="SNX51" s="310"/>
      <c r="SNY51" s="310"/>
      <c r="SNZ51" s="310"/>
      <c r="SOA51" s="310"/>
      <c r="SOB51" s="310"/>
      <c r="SOC51" s="310"/>
      <c r="SOD51" s="310"/>
      <c r="SOE51" s="310"/>
      <c r="SOF51" s="310"/>
      <c r="SOG51" s="310"/>
      <c r="SOH51" s="310"/>
      <c r="SOI51" s="310"/>
      <c r="SOJ51" s="310"/>
      <c r="SOK51" s="310"/>
      <c r="SOL51" s="310"/>
      <c r="SOM51" s="310"/>
      <c r="SON51" s="310"/>
      <c r="SOO51" s="310"/>
      <c r="SOP51" s="310"/>
      <c r="SOQ51" s="310"/>
      <c r="SOR51" s="310"/>
      <c r="SOS51" s="310"/>
      <c r="SOT51" s="310"/>
      <c r="SOU51" s="310"/>
      <c r="SOV51" s="310"/>
      <c r="SOW51" s="310"/>
      <c r="SOX51" s="310"/>
      <c r="SOY51" s="310"/>
      <c r="SOZ51" s="310"/>
      <c r="SPA51" s="310"/>
      <c r="SPB51" s="310"/>
      <c r="SPC51" s="310"/>
      <c r="SPD51" s="310"/>
      <c r="SPE51" s="310"/>
      <c r="SPF51" s="310"/>
      <c r="SPG51" s="310"/>
      <c r="SPH51" s="310"/>
      <c r="SPI51" s="310"/>
      <c r="SPJ51" s="310"/>
      <c r="SPK51" s="310"/>
      <c r="SPL51" s="310"/>
      <c r="SPM51" s="310"/>
      <c r="SPN51" s="310"/>
      <c r="SPO51" s="310"/>
      <c r="SPP51" s="310"/>
      <c r="SPQ51" s="310"/>
      <c r="SPR51" s="310"/>
      <c r="SPS51" s="310"/>
      <c r="SPT51" s="310"/>
      <c r="SPU51" s="310"/>
      <c r="SPV51" s="310"/>
      <c r="SPW51" s="310"/>
      <c r="SPX51" s="310"/>
      <c r="SPY51" s="310"/>
      <c r="SPZ51" s="310"/>
      <c r="SQA51" s="310"/>
      <c r="SQB51" s="310"/>
      <c r="SQC51" s="310"/>
      <c r="SQD51" s="310"/>
      <c r="SQE51" s="310"/>
      <c r="SQF51" s="310"/>
      <c r="SQG51" s="310"/>
      <c r="SQH51" s="310"/>
      <c r="SQI51" s="310"/>
      <c r="SQJ51" s="310"/>
      <c r="SQK51" s="310"/>
      <c r="SQL51" s="310"/>
      <c r="SQM51" s="310"/>
      <c r="SQN51" s="310"/>
      <c r="SQO51" s="310"/>
      <c r="SQP51" s="310"/>
      <c r="SQQ51" s="310"/>
      <c r="SQR51" s="310"/>
      <c r="SQS51" s="310"/>
      <c r="SQT51" s="310"/>
      <c r="SQU51" s="310"/>
      <c r="SQV51" s="310"/>
      <c r="SQW51" s="310"/>
      <c r="SQX51" s="310"/>
      <c r="SQY51" s="310"/>
      <c r="SQZ51" s="310"/>
      <c r="SRA51" s="310"/>
      <c r="SRB51" s="310"/>
      <c r="SRC51" s="310"/>
      <c r="SRD51" s="310"/>
      <c r="SRE51" s="310"/>
      <c r="SRF51" s="310"/>
      <c r="SRG51" s="310"/>
      <c r="SRH51" s="310"/>
      <c r="SRI51" s="310"/>
      <c r="SRJ51" s="310"/>
      <c r="SRK51" s="310"/>
      <c r="SRL51" s="310"/>
      <c r="SRM51" s="310"/>
      <c r="SRN51" s="310"/>
      <c r="SRO51" s="310"/>
      <c r="SRP51" s="310"/>
      <c r="SRQ51" s="310"/>
      <c r="SRR51" s="310"/>
      <c r="SRS51" s="310"/>
      <c r="SRT51" s="310"/>
      <c r="SRU51" s="310"/>
      <c r="SRV51" s="310"/>
      <c r="SRW51" s="310"/>
      <c r="SRX51" s="310"/>
      <c r="SRY51" s="310"/>
      <c r="SRZ51" s="310"/>
      <c r="SSA51" s="310"/>
      <c r="SSB51" s="310"/>
      <c r="SSC51" s="310"/>
      <c r="SSD51" s="310"/>
      <c r="SSE51" s="310"/>
      <c r="SSF51" s="310"/>
      <c r="SSG51" s="310"/>
      <c r="SSH51" s="310"/>
      <c r="SSI51" s="310"/>
      <c r="SSJ51" s="310"/>
      <c r="SSK51" s="310"/>
      <c r="SSL51" s="310"/>
      <c r="SSM51" s="310"/>
      <c r="SSN51" s="310"/>
      <c r="SSO51" s="310"/>
      <c r="SSP51" s="310"/>
      <c r="SSQ51" s="310"/>
      <c r="SSR51" s="310"/>
      <c r="SSS51" s="310"/>
      <c r="SST51" s="310"/>
      <c r="SSU51" s="310"/>
      <c r="SSV51" s="310"/>
      <c r="SSW51" s="310"/>
      <c r="SSX51" s="310"/>
      <c r="SSY51" s="310"/>
      <c r="SSZ51" s="310"/>
      <c r="STA51" s="310"/>
      <c r="STB51" s="310"/>
      <c r="STC51" s="310"/>
      <c r="STD51" s="310"/>
      <c r="STE51" s="310"/>
      <c r="STF51" s="310"/>
      <c r="STG51" s="310"/>
      <c r="STH51" s="310"/>
      <c r="STI51" s="310"/>
      <c r="STJ51" s="310"/>
      <c r="STK51" s="310"/>
      <c r="STL51" s="310"/>
      <c r="STM51" s="310"/>
      <c r="STN51" s="310"/>
      <c r="STO51" s="310"/>
      <c r="STP51" s="310"/>
      <c r="STQ51" s="310"/>
      <c r="STR51" s="310"/>
      <c r="STS51" s="310"/>
      <c r="STT51" s="310"/>
      <c r="STU51" s="310"/>
      <c r="STV51" s="310"/>
      <c r="STW51" s="310"/>
      <c r="STX51" s="310"/>
      <c r="STY51" s="310"/>
      <c r="STZ51" s="310"/>
      <c r="SUA51" s="310"/>
      <c r="SUB51" s="310"/>
      <c r="SUC51" s="310"/>
      <c r="SUD51" s="310"/>
      <c r="SUE51" s="310"/>
      <c r="SUF51" s="310"/>
      <c r="SUG51" s="310"/>
      <c r="SUH51" s="310"/>
      <c r="SUI51" s="310"/>
      <c r="SUJ51" s="310"/>
      <c r="SUK51" s="310"/>
      <c r="SUL51" s="310"/>
      <c r="SUM51" s="310"/>
      <c r="SUN51" s="310"/>
      <c r="SUO51" s="310"/>
      <c r="SUP51" s="310"/>
      <c r="SUQ51" s="310"/>
      <c r="SUR51" s="310"/>
      <c r="SUS51" s="310"/>
      <c r="SUT51" s="310"/>
      <c r="SUU51" s="310"/>
      <c r="SUV51" s="310"/>
      <c r="SUW51" s="310"/>
      <c r="SUX51" s="310"/>
      <c r="SUY51" s="310"/>
      <c r="SUZ51" s="310"/>
      <c r="SVA51" s="310"/>
      <c r="SVB51" s="310"/>
      <c r="SVC51" s="310"/>
      <c r="SVD51" s="310"/>
      <c r="SVE51" s="310"/>
      <c r="SVF51" s="310"/>
      <c r="SVG51" s="310"/>
      <c r="SVH51" s="310"/>
      <c r="SVI51" s="310"/>
      <c r="SVJ51" s="310"/>
      <c r="SVK51" s="310"/>
      <c r="SVL51" s="310"/>
      <c r="SVM51" s="310"/>
      <c r="SVN51" s="310"/>
      <c r="SVO51" s="310"/>
      <c r="SVP51" s="310"/>
      <c r="SVQ51" s="310"/>
      <c r="SVR51" s="310"/>
      <c r="SVS51" s="310"/>
      <c r="SVT51" s="310"/>
      <c r="SVU51" s="310"/>
      <c r="SVV51" s="310"/>
      <c r="SVW51" s="310"/>
      <c r="SVX51" s="310"/>
      <c r="SVY51" s="310"/>
      <c r="SVZ51" s="310"/>
      <c r="SWA51" s="310"/>
      <c r="SWB51" s="310"/>
      <c r="SWC51" s="310"/>
      <c r="SWD51" s="310"/>
      <c r="SWE51" s="310"/>
      <c r="SWF51" s="310"/>
      <c r="SWG51" s="310"/>
      <c r="SWH51" s="310"/>
      <c r="SWI51" s="310"/>
      <c r="SWJ51" s="310"/>
      <c r="SWK51" s="310"/>
      <c r="SWL51" s="310"/>
      <c r="SWM51" s="310"/>
      <c r="SWN51" s="310"/>
      <c r="SWO51" s="310"/>
      <c r="SWP51" s="310"/>
      <c r="SWQ51" s="310"/>
      <c r="SWR51" s="310"/>
      <c r="SWS51" s="310"/>
      <c r="SWT51" s="310"/>
      <c r="SWU51" s="310"/>
      <c r="SWV51" s="310"/>
      <c r="SWW51" s="310"/>
      <c r="SWX51" s="310"/>
      <c r="SWY51" s="310"/>
      <c r="SWZ51" s="310"/>
      <c r="SXA51" s="310"/>
      <c r="SXB51" s="310"/>
      <c r="SXC51" s="310"/>
      <c r="SXD51" s="310"/>
      <c r="SXE51" s="310"/>
      <c r="SXF51" s="310"/>
      <c r="SXG51" s="310"/>
      <c r="SXH51" s="310"/>
      <c r="SXI51" s="310"/>
      <c r="SXJ51" s="310"/>
      <c r="SXK51" s="310"/>
      <c r="SXL51" s="310"/>
      <c r="SXM51" s="310"/>
      <c r="SXN51" s="310"/>
      <c r="SXO51" s="310"/>
      <c r="SXP51" s="310"/>
      <c r="SXQ51" s="310"/>
      <c r="SXR51" s="310"/>
      <c r="SXS51" s="310"/>
      <c r="SXT51" s="310"/>
      <c r="SXU51" s="310"/>
      <c r="SXV51" s="310"/>
      <c r="SXW51" s="310"/>
      <c r="SXX51" s="310"/>
      <c r="SXY51" s="310"/>
      <c r="SXZ51" s="310"/>
      <c r="SYA51" s="310"/>
      <c r="SYB51" s="310"/>
      <c r="SYC51" s="310"/>
      <c r="SYD51" s="310"/>
      <c r="SYE51" s="310"/>
      <c r="SYF51" s="310"/>
      <c r="SYG51" s="310"/>
      <c r="SYH51" s="310"/>
      <c r="SYI51" s="310"/>
      <c r="SYJ51" s="310"/>
      <c r="SYK51" s="310"/>
      <c r="SYL51" s="310"/>
      <c r="SYM51" s="310"/>
      <c r="SYN51" s="310"/>
      <c r="SYO51" s="310"/>
      <c r="SYP51" s="310"/>
      <c r="SYQ51" s="310"/>
      <c r="SYR51" s="310"/>
      <c r="SYS51" s="310"/>
      <c r="SYT51" s="310"/>
      <c r="SYU51" s="310"/>
      <c r="SYV51" s="310"/>
      <c r="SYW51" s="310"/>
      <c r="SYX51" s="310"/>
      <c r="SYY51" s="310"/>
      <c r="SYZ51" s="310"/>
      <c r="SZA51" s="310"/>
      <c r="SZB51" s="310"/>
      <c r="SZC51" s="310"/>
      <c r="SZD51" s="310"/>
      <c r="SZE51" s="310"/>
      <c r="SZF51" s="310"/>
      <c r="SZG51" s="310"/>
      <c r="SZH51" s="310"/>
      <c r="SZI51" s="310"/>
      <c r="SZJ51" s="310"/>
      <c r="SZK51" s="310"/>
      <c r="SZL51" s="310"/>
      <c r="SZM51" s="310"/>
      <c r="SZN51" s="310"/>
      <c r="SZO51" s="310"/>
      <c r="SZP51" s="310"/>
      <c r="SZQ51" s="310"/>
      <c r="SZR51" s="310"/>
      <c r="SZS51" s="310"/>
      <c r="SZT51" s="310"/>
      <c r="SZU51" s="310"/>
      <c r="SZV51" s="310"/>
      <c r="SZW51" s="310"/>
      <c r="SZX51" s="310"/>
      <c r="SZY51" s="310"/>
      <c r="SZZ51" s="310"/>
      <c r="TAA51" s="310"/>
      <c r="TAB51" s="310"/>
      <c r="TAC51" s="310"/>
      <c r="TAD51" s="310"/>
      <c r="TAE51" s="310"/>
      <c r="TAF51" s="310"/>
      <c r="TAG51" s="310"/>
      <c r="TAH51" s="310"/>
      <c r="TAI51" s="310"/>
      <c r="TAJ51" s="310"/>
      <c r="TAK51" s="310"/>
      <c r="TAL51" s="310"/>
      <c r="TAM51" s="310"/>
      <c r="TAN51" s="310"/>
      <c r="TAO51" s="310"/>
      <c r="TAP51" s="310"/>
      <c r="TAQ51" s="310"/>
      <c r="TAR51" s="310"/>
      <c r="TAS51" s="310"/>
      <c r="TAT51" s="310"/>
      <c r="TAU51" s="310"/>
      <c r="TAV51" s="310"/>
      <c r="TAW51" s="310"/>
      <c r="TAX51" s="310"/>
      <c r="TAY51" s="310"/>
      <c r="TAZ51" s="310"/>
      <c r="TBA51" s="310"/>
      <c r="TBB51" s="310"/>
      <c r="TBC51" s="310"/>
      <c r="TBD51" s="310"/>
      <c r="TBE51" s="310"/>
      <c r="TBF51" s="310"/>
      <c r="TBG51" s="310"/>
      <c r="TBH51" s="310"/>
      <c r="TBI51" s="310"/>
      <c r="TBJ51" s="310"/>
      <c r="TBK51" s="310"/>
      <c r="TBL51" s="310"/>
      <c r="TBM51" s="310"/>
      <c r="TBN51" s="310"/>
      <c r="TBO51" s="310"/>
      <c r="TBP51" s="310"/>
      <c r="TBQ51" s="310"/>
      <c r="TBR51" s="310"/>
      <c r="TBS51" s="310"/>
      <c r="TBT51" s="310"/>
      <c r="TBU51" s="310"/>
      <c r="TBV51" s="310"/>
      <c r="TBW51" s="310"/>
      <c r="TBX51" s="310"/>
      <c r="TBY51" s="310"/>
      <c r="TBZ51" s="310"/>
      <c r="TCA51" s="310"/>
      <c r="TCB51" s="310"/>
      <c r="TCC51" s="310"/>
      <c r="TCD51" s="310"/>
      <c r="TCE51" s="310"/>
      <c r="TCF51" s="310"/>
      <c r="TCG51" s="310"/>
      <c r="TCH51" s="310"/>
      <c r="TCI51" s="310"/>
      <c r="TCJ51" s="310"/>
      <c r="TCK51" s="310"/>
      <c r="TCL51" s="310"/>
      <c r="TCM51" s="310"/>
      <c r="TCN51" s="310"/>
      <c r="TCO51" s="310"/>
      <c r="TCP51" s="310"/>
      <c r="TCQ51" s="310"/>
      <c r="TCR51" s="310"/>
      <c r="TCS51" s="310"/>
      <c r="TCT51" s="310"/>
      <c r="TCU51" s="310"/>
      <c r="TCV51" s="310"/>
      <c r="TCW51" s="310"/>
      <c r="TCX51" s="310"/>
      <c r="TCY51" s="310"/>
      <c r="TCZ51" s="310"/>
      <c r="TDA51" s="310"/>
      <c r="TDB51" s="310"/>
      <c r="TDC51" s="310"/>
      <c r="TDD51" s="310"/>
      <c r="TDE51" s="310"/>
      <c r="TDF51" s="310"/>
      <c r="TDG51" s="310"/>
      <c r="TDH51" s="310"/>
      <c r="TDI51" s="310"/>
      <c r="TDJ51" s="310"/>
      <c r="TDK51" s="310"/>
      <c r="TDL51" s="310"/>
      <c r="TDM51" s="310"/>
      <c r="TDN51" s="310"/>
      <c r="TDO51" s="310"/>
      <c r="TDP51" s="310"/>
      <c r="TDQ51" s="310"/>
      <c r="TDR51" s="310"/>
      <c r="TDS51" s="310"/>
      <c r="TDT51" s="310"/>
      <c r="TDU51" s="310"/>
      <c r="TDV51" s="310"/>
      <c r="TDW51" s="310"/>
      <c r="TDX51" s="310"/>
      <c r="TDY51" s="310"/>
      <c r="TDZ51" s="310"/>
      <c r="TEA51" s="310"/>
      <c r="TEB51" s="310"/>
      <c r="TEC51" s="310"/>
      <c r="TED51" s="310"/>
      <c r="TEE51" s="310"/>
      <c r="TEF51" s="310"/>
      <c r="TEG51" s="310"/>
      <c r="TEH51" s="310"/>
      <c r="TEI51" s="310"/>
      <c r="TEJ51" s="310"/>
      <c r="TEK51" s="310"/>
      <c r="TEL51" s="310"/>
      <c r="TEM51" s="310"/>
      <c r="TEN51" s="310"/>
      <c r="TEO51" s="310"/>
      <c r="TEP51" s="310"/>
      <c r="TEQ51" s="310"/>
      <c r="TER51" s="310"/>
      <c r="TES51" s="310"/>
      <c r="TET51" s="310"/>
      <c r="TEU51" s="310"/>
      <c r="TEV51" s="310"/>
      <c r="TEW51" s="310"/>
      <c r="TEX51" s="310"/>
      <c r="TEY51" s="310"/>
      <c r="TEZ51" s="310"/>
      <c r="TFA51" s="310"/>
      <c r="TFB51" s="310"/>
      <c r="TFC51" s="310"/>
      <c r="TFD51" s="310"/>
      <c r="TFE51" s="310"/>
      <c r="TFF51" s="310"/>
      <c r="TFG51" s="310"/>
      <c r="TFH51" s="310"/>
      <c r="TFI51" s="310"/>
      <c r="TFJ51" s="310"/>
      <c r="TFK51" s="310"/>
      <c r="TFL51" s="310"/>
      <c r="TFM51" s="310"/>
      <c r="TFN51" s="310"/>
      <c r="TFO51" s="310"/>
      <c r="TFP51" s="310"/>
      <c r="TFQ51" s="310"/>
      <c r="TFR51" s="310"/>
      <c r="TFS51" s="310"/>
      <c r="TFT51" s="310"/>
      <c r="TFU51" s="310"/>
      <c r="TFV51" s="310"/>
      <c r="TFW51" s="310"/>
      <c r="TFX51" s="310"/>
      <c r="TFY51" s="310"/>
      <c r="TFZ51" s="310"/>
      <c r="TGA51" s="310"/>
      <c r="TGB51" s="310"/>
      <c r="TGC51" s="310"/>
      <c r="TGD51" s="310"/>
      <c r="TGE51" s="310"/>
      <c r="TGF51" s="310"/>
      <c r="TGG51" s="310"/>
      <c r="TGH51" s="310"/>
      <c r="TGI51" s="310"/>
      <c r="TGJ51" s="310"/>
      <c r="TGK51" s="310"/>
      <c r="TGL51" s="310"/>
      <c r="TGM51" s="310"/>
      <c r="TGN51" s="310"/>
      <c r="TGO51" s="310"/>
      <c r="TGP51" s="310"/>
      <c r="TGQ51" s="310"/>
      <c r="TGR51" s="310"/>
      <c r="TGS51" s="310"/>
      <c r="TGT51" s="310"/>
      <c r="TGU51" s="310"/>
      <c r="TGV51" s="310"/>
      <c r="TGW51" s="310"/>
      <c r="TGX51" s="310"/>
      <c r="TGY51" s="310"/>
      <c r="TGZ51" s="310"/>
      <c r="THA51" s="310"/>
      <c r="THB51" s="310"/>
      <c r="THC51" s="310"/>
      <c r="THD51" s="310"/>
      <c r="THE51" s="310"/>
      <c r="THF51" s="310"/>
      <c r="THG51" s="310"/>
      <c r="THH51" s="310"/>
      <c r="THI51" s="310"/>
      <c r="THJ51" s="310"/>
      <c r="THK51" s="310"/>
      <c r="THL51" s="310"/>
      <c r="THM51" s="310"/>
      <c r="THN51" s="310"/>
      <c r="THO51" s="310"/>
      <c r="THP51" s="310"/>
      <c r="THQ51" s="310"/>
      <c r="THR51" s="310"/>
      <c r="THS51" s="310"/>
      <c r="THT51" s="310"/>
      <c r="THU51" s="310"/>
      <c r="THV51" s="310"/>
      <c r="THW51" s="310"/>
      <c r="THX51" s="310"/>
      <c r="THY51" s="310"/>
      <c r="THZ51" s="310"/>
      <c r="TIA51" s="310"/>
      <c r="TIB51" s="310"/>
      <c r="TIC51" s="310"/>
      <c r="TID51" s="310"/>
      <c r="TIE51" s="310"/>
      <c r="TIF51" s="310"/>
      <c r="TIG51" s="310"/>
      <c r="TIH51" s="310"/>
      <c r="TII51" s="310"/>
      <c r="TIJ51" s="310"/>
      <c r="TIK51" s="310"/>
      <c r="TIL51" s="310"/>
      <c r="TIM51" s="310"/>
      <c r="TIN51" s="310"/>
      <c r="TIO51" s="310"/>
      <c r="TIP51" s="310"/>
      <c r="TIQ51" s="310"/>
      <c r="TIR51" s="310"/>
      <c r="TIS51" s="310"/>
      <c r="TIT51" s="310"/>
      <c r="TIU51" s="310"/>
      <c r="TIV51" s="310"/>
      <c r="TIW51" s="310"/>
      <c r="TIX51" s="310"/>
      <c r="TIY51" s="310"/>
      <c r="TIZ51" s="310"/>
      <c r="TJA51" s="310"/>
      <c r="TJB51" s="310"/>
      <c r="TJC51" s="310"/>
      <c r="TJD51" s="310"/>
      <c r="TJE51" s="310"/>
      <c r="TJF51" s="310"/>
      <c r="TJG51" s="310"/>
      <c r="TJH51" s="310"/>
      <c r="TJI51" s="310"/>
      <c r="TJJ51" s="310"/>
      <c r="TJK51" s="310"/>
      <c r="TJL51" s="310"/>
      <c r="TJM51" s="310"/>
      <c r="TJN51" s="310"/>
      <c r="TJO51" s="310"/>
      <c r="TJP51" s="310"/>
      <c r="TJQ51" s="310"/>
      <c r="TJR51" s="310"/>
      <c r="TJS51" s="310"/>
      <c r="TJT51" s="310"/>
      <c r="TJU51" s="310"/>
      <c r="TJV51" s="310"/>
      <c r="TJW51" s="310"/>
      <c r="TJX51" s="310"/>
      <c r="TJY51" s="310"/>
      <c r="TJZ51" s="310"/>
      <c r="TKA51" s="310"/>
      <c r="TKB51" s="310"/>
      <c r="TKC51" s="310"/>
      <c r="TKD51" s="310"/>
      <c r="TKE51" s="310"/>
      <c r="TKF51" s="310"/>
      <c r="TKG51" s="310"/>
      <c r="TKH51" s="310"/>
      <c r="TKI51" s="310"/>
      <c r="TKJ51" s="310"/>
      <c r="TKK51" s="310"/>
      <c r="TKL51" s="310"/>
      <c r="TKM51" s="310"/>
      <c r="TKN51" s="310"/>
      <c r="TKO51" s="310"/>
      <c r="TKP51" s="310"/>
      <c r="TKQ51" s="310"/>
      <c r="TKR51" s="310"/>
      <c r="TKS51" s="310"/>
      <c r="TKT51" s="310"/>
      <c r="TKU51" s="310"/>
      <c r="TKV51" s="310"/>
      <c r="TKW51" s="310"/>
      <c r="TKX51" s="310"/>
      <c r="TKY51" s="310"/>
      <c r="TKZ51" s="310"/>
      <c r="TLA51" s="310"/>
      <c r="TLB51" s="310"/>
      <c r="TLC51" s="310"/>
      <c r="TLD51" s="310"/>
      <c r="TLE51" s="310"/>
      <c r="TLF51" s="310"/>
      <c r="TLG51" s="310"/>
      <c r="TLH51" s="310"/>
      <c r="TLI51" s="310"/>
      <c r="TLJ51" s="310"/>
      <c r="TLK51" s="310"/>
      <c r="TLL51" s="310"/>
      <c r="TLM51" s="310"/>
      <c r="TLN51" s="310"/>
      <c r="TLO51" s="310"/>
      <c r="TLP51" s="310"/>
      <c r="TLQ51" s="310"/>
      <c r="TLR51" s="310"/>
      <c r="TLS51" s="310"/>
      <c r="TLT51" s="310"/>
      <c r="TLU51" s="310"/>
      <c r="TLV51" s="310"/>
      <c r="TLW51" s="310"/>
      <c r="TLX51" s="310"/>
      <c r="TLY51" s="310"/>
      <c r="TLZ51" s="310"/>
      <c r="TMA51" s="310"/>
      <c r="TMB51" s="310"/>
      <c r="TMC51" s="310"/>
      <c r="TMD51" s="310"/>
      <c r="TME51" s="310"/>
      <c r="TMF51" s="310"/>
      <c r="TMG51" s="310"/>
      <c r="TMH51" s="310"/>
      <c r="TMI51" s="310"/>
      <c r="TMJ51" s="310"/>
      <c r="TMK51" s="310"/>
      <c r="TML51" s="310"/>
      <c r="TMM51" s="310"/>
      <c r="TMN51" s="310"/>
      <c r="TMO51" s="310"/>
      <c r="TMP51" s="310"/>
      <c r="TMQ51" s="310"/>
      <c r="TMR51" s="310"/>
      <c r="TMS51" s="310"/>
      <c r="TMT51" s="310"/>
      <c r="TMU51" s="310"/>
      <c r="TMV51" s="310"/>
      <c r="TMW51" s="310"/>
      <c r="TMX51" s="310"/>
      <c r="TMY51" s="310"/>
      <c r="TMZ51" s="310"/>
      <c r="TNA51" s="310"/>
      <c r="TNB51" s="310"/>
      <c r="TNC51" s="310"/>
      <c r="TND51" s="310"/>
      <c r="TNE51" s="310"/>
      <c r="TNF51" s="310"/>
      <c r="TNG51" s="310"/>
      <c r="TNH51" s="310"/>
      <c r="TNI51" s="310"/>
      <c r="TNJ51" s="310"/>
      <c r="TNK51" s="310"/>
      <c r="TNL51" s="310"/>
      <c r="TNM51" s="310"/>
      <c r="TNN51" s="310"/>
      <c r="TNO51" s="310"/>
      <c r="TNP51" s="310"/>
      <c r="TNQ51" s="310"/>
      <c r="TNR51" s="310"/>
      <c r="TNS51" s="310"/>
      <c r="TNT51" s="310"/>
      <c r="TNU51" s="310"/>
      <c r="TNV51" s="310"/>
      <c r="TNW51" s="310"/>
      <c r="TNX51" s="310"/>
      <c r="TNY51" s="310"/>
      <c r="TNZ51" s="310"/>
      <c r="TOA51" s="310"/>
      <c r="TOB51" s="310"/>
      <c r="TOC51" s="310"/>
      <c r="TOD51" s="310"/>
      <c r="TOE51" s="310"/>
      <c r="TOF51" s="310"/>
      <c r="TOG51" s="310"/>
      <c r="TOH51" s="310"/>
      <c r="TOI51" s="310"/>
      <c r="TOJ51" s="310"/>
      <c r="TOK51" s="310"/>
      <c r="TOL51" s="310"/>
      <c r="TOM51" s="310"/>
      <c r="TON51" s="310"/>
      <c r="TOO51" s="310"/>
      <c r="TOP51" s="310"/>
      <c r="TOQ51" s="310"/>
      <c r="TOR51" s="310"/>
      <c r="TOS51" s="310"/>
      <c r="TOT51" s="310"/>
      <c r="TOU51" s="310"/>
      <c r="TOV51" s="310"/>
      <c r="TOW51" s="310"/>
      <c r="TOX51" s="310"/>
      <c r="TOY51" s="310"/>
      <c r="TOZ51" s="310"/>
      <c r="TPA51" s="310"/>
      <c r="TPB51" s="310"/>
      <c r="TPC51" s="310"/>
      <c r="TPD51" s="310"/>
      <c r="TPE51" s="310"/>
      <c r="TPF51" s="310"/>
      <c r="TPG51" s="310"/>
      <c r="TPH51" s="310"/>
      <c r="TPI51" s="310"/>
      <c r="TPJ51" s="310"/>
      <c r="TPK51" s="310"/>
      <c r="TPL51" s="310"/>
      <c r="TPM51" s="310"/>
      <c r="TPN51" s="310"/>
      <c r="TPO51" s="310"/>
      <c r="TPP51" s="310"/>
      <c r="TPQ51" s="310"/>
      <c r="TPR51" s="310"/>
      <c r="TPS51" s="310"/>
      <c r="TPT51" s="310"/>
      <c r="TPU51" s="310"/>
      <c r="TPV51" s="310"/>
      <c r="TPW51" s="310"/>
      <c r="TPX51" s="310"/>
      <c r="TPY51" s="310"/>
      <c r="TPZ51" s="310"/>
      <c r="TQA51" s="310"/>
      <c r="TQB51" s="310"/>
      <c r="TQC51" s="310"/>
      <c r="TQD51" s="310"/>
      <c r="TQE51" s="310"/>
      <c r="TQF51" s="310"/>
      <c r="TQG51" s="310"/>
      <c r="TQH51" s="310"/>
      <c r="TQI51" s="310"/>
      <c r="TQJ51" s="310"/>
      <c r="TQK51" s="310"/>
      <c r="TQL51" s="310"/>
      <c r="TQM51" s="310"/>
      <c r="TQN51" s="310"/>
      <c r="TQO51" s="310"/>
      <c r="TQP51" s="310"/>
      <c r="TQQ51" s="310"/>
      <c r="TQR51" s="310"/>
      <c r="TQS51" s="310"/>
      <c r="TQT51" s="310"/>
      <c r="TQU51" s="310"/>
      <c r="TQV51" s="310"/>
      <c r="TQW51" s="310"/>
      <c r="TQX51" s="310"/>
      <c r="TQY51" s="310"/>
      <c r="TQZ51" s="310"/>
      <c r="TRA51" s="310"/>
      <c r="TRB51" s="310"/>
      <c r="TRC51" s="310"/>
      <c r="TRD51" s="310"/>
      <c r="TRE51" s="310"/>
      <c r="TRF51" s="310"/>
      <c r="TRG51" s="310"/>
      <c r="TRH51" s="310"/>
      <c r="TRI51" s="310"/>
      <c r="TRJ51" s="310"/>
      <c r="TRK51" s="310"/>
      <c r="TRL51" s="310"/>
      <c r="TRM51" s="310"/>
      <c r="TRN51" s="310"/>
      <c r="TRO51" s="310"/>
      <c r="TRP51" s="310"/>
      <c r="TRQ51" s="310"/>
      <c r="TRR51" s="310"/>
      <c r="TRS51" s="310"/>
      <c r="TRT51" s="310"/>
      <c r="TRU51" s="310"/>
      <c r="TRV51" s="310"/>
      <c r="TRW51" s="310"/>
      <c r="TRX51" s="310"/>
      <c r="TRY51" s="310"/>
      <c r="TRZ51" s="310"/>
      <c r="TSA51" s="310"/>
      <c r="TSB51" s="310"/>
      <c r="TSC51" s="310"/>
      <c r="TSD51" s="310"/>
      <c r="TSE51" s="310"/>
      <c r="TSF51" s="310"/>
      <c r="TSG51" s="310"/>
      <c r="TSH51" s="310"/>
      <c r="TSI51" s="310"/>
      <c r="TSJ51" s="310"/>
      <c r="TSK51" s="310"/>
      <c r="TSL51" s="310"/>
      <c r="TSM51" s="310"/>
      <c r="TSN51" s="310"/>
      <c r="TSO51" s="310"/>
      <c r="TSP51" s="310"/>
      <c r="TSQ51" s="310"/>
      <c r="TSR51" s="310"/>
      <c r="TSS51" s="310"/>
      <c r="TST51" s="310"/>
      <c r="TSU51" s="310"/>
      <c r="TSV51" s="310"/>
      <c r="TSW51" s="310"/>
      <c r="TSX51" s="310"/>
      <c r="TSY51" s="310"/>
      <c r="TSZ51" s="310"/>
      <c r="TTA51" s="310"/>
      <c r="TTB51" s="310"/>
      <c r="TTC51" s="310"/>
      <c r="TTD51" s="310"/>
      <c r="TTE51" s="310"/>
      <c r="TTF51" s="310"/>
      <c r="TTG51" s="310"/>
      <c r="TTH51" s="310"/>
      <c r="TTI51" s="310"/>
      <c r="TTJ51" s="310"/>
      <c r="TTK51" s="310"/>
      <c r="TTL51" s="310"/>
      <c r="TTM51" s="310"/>
      <c r="TTN51" s="310"/>
      <c r="TTO51" s="310"/>
      <c r="TTP51" s="310"/>
      <c r="TTQ51" s="310"/>
      <c r="TTR51" s="310"/>
      <c r="TTS51" s="310"/>
      <c r="TTT51" s="310"/>
      <c r="TTU51" s="310"/>
      <c r="TTV51" s="310"/>
      <c r="TTW51" s="310"/>
      <c r="TTX51" s="310"/>
      <c r="TTY51" s="310"/>
      <c r="TTZ51" s="310"/>
      <c r="TUA51" s="310"/>
      <c r="TUB51" s="310"/>
      <c r="TUC51" s="310"/>
      <c r="TUD51" s="310"/>
      <c r="TUE51" s="310"/>
      <c r="TUF51" s="310"/>
      <c r="TUG51" s="310"/>
      <c r="TUH51" s="310"/>
      <c r="TUI51" s="310"/>
      <c r="TUJ51" s="310"/>
      <c r="TUK51" s="310"/>
      <c r="TUL51" s="310"/>
      <c r="TUM51" s="310"/>
      <c r="TUN51" s="310"/>
      <c r="TUO51" s="310"/>
      <c r="TUP51" s="310"/>
      <c r="TUQ51" s="310"/>
      <c r="TUR51" s="310"/>
      <c r="TUS51" s="310"/>
      <c r="TUT51" s="310"/>
      <c r="TUU51" s="310"/>
      <c r="TUV51" s="310"/>
      <c r="TUW51" s="310"/>
      <c r="TUX51" s="310"/>
      <c r="TUY51" s="310"/>
      <c r="TUZ51" s="310"/>
      <c r="TVA51" s="310"/>
      <c r="TVB51" s="310"/>
      <c r="TVC51" s="310"/>
      <c r="TVD51" s="310"/>
      <c r="TVE51" s="310"/>
      <c r="TVF51" s="310"/>
      <c r="TVG51" s="310"/>
      <c r="TVH51" s="310"/>
      <c r="TVI51" s="310"/>
      <c r="TVJ51" s="310"/>
      <c r="TVK51" s="310"/>
      <c r="TVL51" s="310"/>
      <c r="TVM51" s="310"/>
      <c r="TVN51" s="310"/>
      <c r="TVO51" s="310"/>
      <c r="TVP51" s="310"/>
      <c r="TVQ51" s="310"/>
      <c r="TVR51" s="310"/>
      <c r="TVS51" s="310"/>
      <c r="TVT51" s="310"/>
      <c r="TVU51" s="310"/>
      <c r="TVV51" s="310"/>
      <c r="TVW51" s="310"/>
      <c r="TVX51" s="310"/>
      <c r="TVY51" s="310"/>
      <c r="TVZ51" s="310"/>
      <c r="TWA51" s="310"/>
      <c r="TWB51" s="310"/>
      <c r="TWC51" s="310"/>
      <c r="TWD51" s="310"/>
      <c r="TWE51" s="310"/>
      <c r="TWF51" s="310"/>
      <c r="TWG51" s="310"/>
      <c r="TWH51" s="310"/>
      <c r="TWI51" s="310"/>
      <c r="TWJ51" s="310"/>
      <c r="TWK51" s="310"/>
      <c r="TWL51" s="310"/>
      <c r="TWM51" s="310"/>
      <c r="TWN51" s="310"/>
      <c r="TWO51" s="310"/>
      <c r="TWP51" s="310"/>
      <c r="TWQ51" s="310"/>
      <c r="TWR51" s="310"/>
      <c r="TWS51" s="310"/>
      <c r="TWT51" s="310"/>
      <c r="TWU51" s="310"/>
      <c r="TWV51" s="310"/>
      <c r="TWW51" s="310"/>
      <c r="TWX51" s="310"/>
      <c r="TWY51" s="310"/>
      <c r="TWZ51" s="310"/>
      <c r="TXA51" s="310"/>
      <c r="TXB51" s="310"/>
      <c r="TXC51" s="310"/>
      <c r="TXD51" s="310"/>
      <c r="TXE51" s="310"/>
      <c r="TXF51" s="310"/>
      <c r="TXG51" s="310"/>
      <c r="TXH51" s="310"/>
      <c r="TXI51" s="310"/>
      <c r="TXJ51" s="310"/>
      <c r="TXK51" s="310"/>
      <c r="TXL51" s="310"/>
      <c r="TXM51" s="310"/>
      <c r="TXN51" s="310"/>
      <c r="TXO51" s="310"/>
      <c r="TXP51" s="310"/>
      <c r="TXQ51" s="310"/>
      <c r="TXR51" s="310"/>
      <c r="TXS51" s="310"/>
      <c r="TXT51" s="310"/>
      <c r="TXU51" s="310"/>
      <c r="TXV51" s="310"/>
      <c r="TXW51" s="310"/>
      <c r="TXX51" s="310"/>
      <c r="TXY51" s="310"/>
      <c r="TXZ51" s="310"/>
      <c r="TYA51" s="310"/>
      <c r="TYB51" s="310"/>
      <c r="TYC51" s="310"/>
      <c r="TYD51" s="310"/>
      <c r="TYE51" s="310"/>
      <c r="TYF51" s="310"/>
      <c r="TYG51" s="310"/>
      <c r="TYH51" s="310"/>
      <c r="TYI51" s="310"/>
      <c r="TYJ51" s="310"/>
      <c r="TYK51" s="310"/>
      <c r="TYL51" s="310"/>
      <c r="TYM51" s="310"/>
      <c r="TYN51" s="310"/>
      <c r="TYO51" s="310"/>
      <c r="TYP51" s="310"/>
      <c r="TYQ51" s="310"/>
      <c r="TYR51" s="310"/>
      <c r="TYS51" s="310"/>
      <c r="TYT51" s="310"/>
      <c r="TYU51" s="310"/>
      <c r="TYV51" s="310"/>
      <c r="TYW51" s="310"/>
      <c r="TYX51" s="310"/>
      <c r="TYY51" s="310"/>
      <c r="TYZ51" s="310"/>
      <c r="TZA51" s="310"/>
      <c r="TZB51" s="310"/>
      <c r="TZC51" s="310"/>
      <c r="TZD51" s="310"/>
      <c r="TZE51" s="310"/>
      <c r="TZF51" s="310"/>
      <c r="TZG51" s="310"/>
      <c r="TZH51" s="310"/>
      <c r="TZI51" s="310"/>
      <c r="TZJ51" s="310"/>
      <c r="TZK51" s="310"/>
      <c r="TZL51" s="310"/>
      <c r="TZM51" s="310"/>
      <c r="TZN51" s="310"/>
      <c r="TZO51" s="310"/>
      <c r="TZP51" s="310"/>
      <c r="TZQ51" s="310"/>
      <c r="TZR51" s="310"/>
      <c r="TZS51" s="310"/>
      <c r="TZT51" s="310"/>
      <c r="TZU51" s="310"/>
      <c r="TZV51" s="310"/>
      <c r="TZW51" s="310"/>
      <c r="TZX51" s="310"/>
      <c r="TZY51" s="310"/>
      <c r="TZZ51" s="310"/>
      <c r="UAA51" s="310"/>
      <c r="UAB51" s="310"/>
      <c r="UAC51" s="310"/>
      <c r="UAD51" s="310"/>
      <c r="UAE51" s="310"/>
      <c r="UAF51" s="310"/>
      <c r="UAG51" s="310"/>
      <c r="UAH51" s="310"/>
      <c r="UAI51" s="310"/>
      <c r="UAJ51" s="310"/>
      <c r="UAK51" s="310"/>
      <c r="UAL51" s="310"/>
      <c r="UAM51" s="310"/>
      <c r="UAN51" s="310"/>
      <c r="UAO51" s="310"/>
      <c r="UAP51" s="310"/>
      <c r="UAQ51" s="310"/>
      <c r="UAR51" s="310"/>
      <c r="UAS51" s="310"/>
      <c r="UAT51" s="310"/>
      <c r="UAU51" s="310"/>
      <c r="UAV51" s="310"/>
      <c r="UAW51" s="310"/>
      <c r="UAX51" s="310"/>
      <c r="UAY51" s="310"/>
      <c r="UAZ51" s="310"/>
      <c r="UBA51" s="310"/>
      <c r="UBB51" s="310"/>
      <c r="UBC51" s="310"/>
      <c r="UBD51" s="310"/>
      <c r="UBE51" s="310"/>
      <c r="UBF51" s="310"/>
      <c r="UBG51" s="310"/>
      <c r="UBH51" s="310"/>
      <c r="UBI51" s="310"/>
      <c r="UBJ51" s="310"/>
      <c r="UBK51" s="310"/>
      <c r="UBL51" s="310"/>
      <c r="UBM51" s="310"/>
      <c r="UBN51" s="310"/>
      <c r="UBO51" s="310"/>
      <c r="UBP51" s="310"/>
      <c r="UBQ51" s="310"/>
      <c r="UBR51" s="310"/>
      <c r="UBS51" s="310"/>
      <c r="UBT51" s="310"/>
      <c r="UBU51" s="310"/>
      <c r="UBV51" s="310"/>
      <c r="UBW51" s="310"/>
      <c r="UBX51" s="310"/>
      <c r="UBY51" s="310"/>
      <c r="UBZ51" s="310"/>
      <c r="UCA51" s="310"/>
      <c r="UCB51" s="310"/>
      <c r="UCC51" s="310"/>
      <c r="UCD51" s="310"/>
      <c r="UCE51" s="310"/>
      <c r="UCF51" s="310"/>
      <c r="UCG51" s="310"/>
      <c r="UCH51" s="310"/>
      <c r="UCI51" s="310"/>
      <c r="UCJ51" s="310"/>
      <c r="UCK51" s="310"/>
      <c r="UCL51" s="310"/>
      <c r="UCM51" s="310"/>
      <c r="UCN51" s="310"/>
      <c r="UCO51" s="310"/>
      <c r="UCP51" s="310"/>
      <c r="UCQ51" s="310"/>
      <c r="UCR51" s="310"/>
      <c r="UCS51" s="310"/>
      <c r="UCT51" s="310"/>
      <c r="UCU51" s="310"/>
      <c r="UCV51" s="310"/>
      <c r="UCW51" s="310"/>
      <c r="UCX51" s="310"/>
      <c r="UCY51" s="310"/>
      <c r="UCZ51" s="310"/>
      <c r="UDA51" s="310"/>
      <c r="UDB51" s="310"/>
      <c r="UDC51" s="310"/>
      <c r="UDD51" s="310"/>
      <c r="UDE51" s="310"/>
      <c r="UDF51" s="310"/>
      <c r="UDG51" s="310"/>
      <c r="UDH51" s="310"/>
      <c r="UDI51" s="310"/>
      <c r="UDJ51" s="310"/>
      <c r="UDK51" s="310"/>
      <c r="UDL51" s="310"/>
      <c r="UDM51" s="310"/>
      <c r="UDN51" s="310"/>
      <c r="UDO51" s="310"/>
      <c r="UDP51" s="310"/>
      <c r="UDQ51" s="310"/>
      <c r="UDR51" s="310"/>
      <c r="UDS51" s="310"/>
      <c r="UDT51" s="310"/>
      <c r="UDU51" s="310"/>
      <c r="UDV51" s="310"/>
      <c r="UDW51" s="310"/>
      <c r="UDX51" s="310"/>
      <c r="UDY51" s="310"/>
      <c r="UDZ51" s="310"/>
      <c r="UEA51" s="310"/>
      <c r="UEB51" s="310"/>
      <c r="UEC51" s="310"/>
      <c r="UED51" s="310"/>
      <c r="UEE51" s="310"/>
      <c r="UEF51" s="310"/>
      <c r="UEG51" s="310"/>
      <c r="UEH51" s="310"/>
      <c r="UEI51" s="310"/>
      <c r="UEJ51" s="310"/>
      <c r="UEK51" s="310"/>
      <c r="UEL51" s="310"/>
      <c r="UEM51" s="310"/>
      <c r="UEN51" s="310"/>
      <c r="UEO51" s="310"/>
      <c r="UEP51" s="310"/>
      <c r="UEQ51" s="310"/>
      <c r="UER51" s="310"/>
      <c r="UES51" s="310"/>
      <c r="UET51" s="310"/>
      <c r="UEU51" s="310"/>
      <c r="UEV51" s="310"/>
      <c r="UEW51" s="310"/>
      <c r="UEX51" s="310"/>
      <c r="UEY51" s="310"/>
      <c r="UEZ51" s="310"/>
      <c r="UFA51" s="310"/>
      <c r="UFB51" s="310"/>
      <c r="UFC51" s="310"/>
      <c r="UFD51" s="310"/>
      <c r="UFE51" s="310"/>
      <c r="UFF51" s="310"/>
      <c r="UFG51" s="310"/>
      <c r="UFH51" s="310"/>
      <c r="UFI51" s="310"/>
      <c r="UFJ51" s="310"/>
      <c r="UFK51" s="310"/>
      <c r="UFL51" s="310"/>
      <c r="UFM51" s="310"/>
      <c r="UFN51" s="310"/>
      <c r="UFO51" s="310"/>
      <c r="UFP51" s="310"/>
      <c r="UFQ51" s="310"/>
      <c r="UFR51" s="310"/>
      <c r="UFS51" s="310"/>
      <c r="UFT51" s="310"/>
      <c r="UFU51" s="310"/>
      <c r="UFV51" s="310"/>
      <c r="UFW51" s="310"/>
      <c r="UFX51" s="310"/>
      <c r="UFY51" s="310"/>
      <c r="UFZ51" s="310"/>
      <c r="UGA51" s="310"/>
      <c r="UGB51" s="310"/>
      <c r="UGC51" s="310"/>
      <c r="UGD51" s="310"/>
      <c r="UGE51" s="310"/>
      <c r="UGF51" s="310"/>
      <c r="UGG51" s="310"/>
      <c r="UGH51" s="310"/>
      <c r="UGI51" s="310"/>
      <c r="UGJ51" s="310"/>
      <c r="UGK51" s="310"/>
      <c r="UGL51" s="310"/>
      <c r="UGM51" s="310"/>
      <c r="UGN51" s="310"/>
      <c r="UGO51" s="310"/>
      <c r="UGP51" s="310"/>
      <c r="UGQ51" s="310"/>
      <c r="UGR51" s="310"/>
      <c r="UGS51" s="310"/>
      <c r="UGT51" s="310"/>
      <c r="UGU51" s="310"/>
      <c r="UGV51" s="310"/>
      <c r="UGW51" s="310"/>
      <c r="UGX51" s="310"/>
      <c r="UGY51" s="310"/>
      <c r="UGZ51" s="310"/>
      <c r="UHA51" s="310"/>
      <c r="UHB51" s="310"/>
      <c r="UHC51" s="310"/>
      <c r="UHD51" s="310"/>
      <c r="UHE51" s="310"/>
      <c r="UHF51" s="310"/>
      <c r="UHG51" s="310"/>
      <c r="UHH51" s="310"/>
      <c r="UHI51" s="310"/>
      <c r="UHJ51" s="310"/>
      <c r="UHK51" s="310"/>
      <c r="UHL51" s="310"/>
      <c r="UHM51" s="310"/>
      <c r="UHN51" s="310"/>
      <c r="UHO51" s="310"/>
      <c r="UHP51" s="310"/>
      <c r="UHQ51" s="310"/>
      <c r="UHR51" s="310"/>
      <c r="UHS51" s="310"/>
      <c r="UHT51" s="310"/>
      <c r="UHU51" s="310"/>
      <c r="UHV51" s="310"/>
      <c r="UHW51" s="310"/>
      <c r="UHX51" s="310"/>
      <c r="UHY51" s="310"/>
      <c r="UHZ51" s="310"/>
      <c r="UIA51" s="310"/>
      <c r="UIB51" s="310"/>
      <c r="UIC51" s="310"/>
      <c r="UID51" s="310"/>
      <c r="UIE51" s="310"/>
      <c r="UIF51" s="310"/>
      <c r="UIG51" s="310"/>
      <c r="UIH51" s="310"/>
      <c r="UII51" s="310"/>
      <c r="UIJ51" s="310"/>
      <c r="UIK51" s="310"/>
      <c r="UIL51" s="310"/>
      <c r="UIM51" s="310"/>
      <c r="UIN51" s="310"/>
      <c r="UIO51" s="310"/>
      <c r="UIP51" s="310"/>
      <c r="UIQ51" s="310"/>
      <c r="UIR51" s="310"/>
      <c r="UIS51" s="310"/>
      <c r="UIT51" s="310"/>
      <c r="UIU51" s="310"/>
      <c r="UIV51" s="310"/>
      <c r="UIW51" s="310"/>
      <c r="UIX51" s="310"/>
      <c r="UIY51" s="310"/>
      <c r="UIZ51" s="310"/>
      <c r="UJA51" s="310"/>
      <c r="UJB51" s="310"/>
      <c r="UJC51" s="310"/>
      <c r="UJD51" s="310"/>
      <c r="UJE51" s="310"/>
      <c r="UJF51" s="310"/>
      <c r="UJG51" s="310"/>
      <c r="UJH51" s="310"/>
      <c r="UJI51" s="310"/>
      <c r="UJJ51" s="310"/>
      <c r="UJK51" s="310"/>
      <c r="UJL51" s="310"/>
      <c r="UJM51" s="310"/>
      <c r="UJN51" s="310"/>
      <c r="UJO51" s="310"/>
      <c r="UJP51" s="310"/>
      <c r="UJQ51" s="310"/>
      <c r="UJR51" s="310"/>
      <c r="UJS51" s="310"/>
      <c r="UJT51" s="310"/>
      <c r="UJU51" s="310"/>
      <c r="UJV51" s="310"/>
      <c r="UJW51" s="310"/>
      <c r="UJX51" s="310"/>
      <c r="UJY51" s="310"/>
      <c r="UJZ51" s="310"/>
      <c r="UKA51" s="310"/>
      <c r="UKB51" s="310"/>
      <c r="UKC51" s="310"/>
      <c r="UKD51" s="310"/>
      <c r="UKE51" s="310"/>
      <c r="UKF51" s="310"/>
      <c r="UKG51" s="310"/>
      <c r="UKH51" s="310"/>
      <c r="UKI51" s="310"/>
      <c r="UKJ51" s="310"/>
      <c r="UKK51" s="310"/>
      <c r="UKL51" s="310"/>
      <c r="UKM51" s="310"/>
      <c r="UKN51" s="310"/>
      <c r="UKO51" s="310"/>
      <c r="UKP51" s="310"/>
      <c r="UKQ51" s="310"/>
      <c r="UKR51" s="310"/>
      <c r="UKS51" s="310"/>
      <c r="UKT51" s="310"/>
      <c r="UKU51" s="310"/>
      <c r="UKV51" s="310"/>
      <c r="UKW51" s="310"/>
      <c r="UKX51" s="310"/>
      <c r="UKY51" s="310"/>
      <c r="UKZ51" s="310"/>
      <c r="ULA51" s="310"/>
      <c r="ULB51" s="310"/>
      <c r="ULC51" s="310"/>
      <c r="ULD51" s="310"/>
      <c r="ULE51" s="310"/>
      <c r="ULF51" s="310"/>
      <c r="ULG51" s="310"/>
      <c r="ULH51" s="310"/>
      <c r="ULI51" s="310"/>
      <c r="ULJ51" s="310"/>
      <c r="ULK51" s="310"/>
      <c r="ULL51" s="310"/>
      <c r="ULM51" s="310"/>
      <c r="ULN51" s="310"/>
      <c r="ULO51" s="310"/>
      <c r="ULP51" s="310"/>
      <c r="ULQ51" s="310"/>
      <c r="ULR51" s="310"/>
      <c r="ULS51" s="310"/>
      <c r="ULT51" s="310"/>
      <c r="ULU51" s="310"/>
      <c r="ULV51" s="310"/>
      <c r="ULW51" s="310"/>
      <c r="ULX51" s="310"/>
      <c r="ULY51" s="310"/>
      <c r="ULZ51" s="310"/>
      <c r="UMA51" s="310"/>
      <c r="UMB51" s="310"/>
      <c r="UMC51" s="310"/>
      <c r="UMD51" s="310"/>
      <c r="UME51" s="310"/>
      <c r="UMF51" s="310"/>
      <c r="UMG51" s="310"/>
      <c r="UMH51" s="310"/>
      <c r="UMI51" s="310"/>
      <c r="UMJ51" s="310"/>
      <c r="UMK51" s="310"/>
      <c r="UML51" s="310"/>
      <c r="UMM51" s="310"/>
      <c r="UMN51" s="310"/>
      <c r="UMO51" s="310"/>
      <c r="UMP51" s="310"/>
      <c r="UMQ51" s="310"/>
      <c r="UMR51" s="310"/>
      <c r="UMS51" s="310"/>
      <c r="UMT51" s="310"/>
      <c r="UMU51" s="310"/>
      <c r="UMV51" s="310"/>
      <c r="UMW51" s="310"/>
      <c r="UMX51" s="310"/>
      <c r="UMY51" s="310"/>
      <c r="UMZ51" s="310"/>
      <c r="UNA51" s="310"/>
      <c r="UNB51" s="310"/>
      <c r="UNC51" s="310"/>
      <c r="UND51" s="310"/>
      <c r="UNE51" s="310"/>
      <c r="UNF51" s="310"/>
      <c r="UNG51" s="310"/>
      <c r="UNH51" s="310"/>
      <c r="UNI51" s="310"/>
      <c r="UNJ51" s="310"/>
      <c r="UNK51" s="310"/>
      <c r="UNL51" s="310"/>
      <c r="UNM51" s="310"/>
      <c r="UNN51" s="310"/>
      <c r="UNO51" s="310"/>
      <c r="UNP51" s="310"/>
      <c r="UNQ51" s="310"/>
      <c r="UNR51" s="310"/>
      <c r="UNS51" s="310"/>
      <c r="UNT51" s="310"/>
      <c r="UNU51" s="310"/>
      <c r="UNV51" s="310"/>
      <c r="UNW51" s="310"/>
      <c r="UNX51" s="310"/>
      <c r="UNY51" s="310"/>
      <c r="UNZ51" s="310"/>
      <c r="UOA51" s="310"/>
      <c r="UOB51" s="310"/>
      <c r="UOC51" s="310"/>
      <c r="UOD51" s="310"/>
      <c r="UOE51" s="310"/>
      <c r="UOF51" s="310"/>
      <c r="UOG51" s="310"/>
      <c r="UOH51" s="310"/>
      <c r="UOI51" s="310"/>
      <c r="UOJ51" s="310"/>
      <c r="UOK51" s="310"/>
      <c r="UOL51" s="310"/>
      <c r="UOM51" s="310"/>
      <c r="UON51" s="310"/>
      <c r="UOO51" s="310"/>
      <c r="UOP51" s="310"/>
      <c r="UOQ51" s="310"/>
      <c r="UOR51" s="310"/>
      <c r="UOS51" s="310"/>
      <c r="UOT51" s="310"/>
      <c r="UOU51" s="310"/>
      <c r="UOV51" s="310"/>
      <c r="UOW51" s="310"/>
      <c r="UOX51" s="310"/>
      <c r="UOY51" s="310"/>
      <c r="UOZ51" s="310"/>
      <c r="UPA51" s="310"/>
      <c r="UPB51" s="310"/>
      <c r="UPC51" s="310"/>
      <c r="UPD51" s="310"/>
      <c r="UPE51" s="310"/>
      <c r="UPF51" s="310"/>
      <c r="UPG51" s="310"/>
      <c r="UPH51" s="310"/>
      <c r="UPI51" s="310"/>
      <c r="UPJ51" s="310"/>
      <c r="UPK51" s="310"/>
      <c r="UPL51" s="310"/>
      <c r="UPM51" s="310"/>
      <c r="UPN51" s="310"/>
      <c r="UPO51" s="310"/>
      <c r="UPP51" s="310"/>
      <c r="UPQ51" s="310"/>
      <c r="UPR51" s="310"/>
      <c r="UPS51" s="310"/>
      <c r="UPT51" s="310"/>
      <c r="UPU51" s="310"/>
      <c r="UPV51" s="310"/>
      <c r="UPW51" s="310"/>
      <c r="UPX51" s="310"/>
      <c r="UPY51" s="310"/>
      <c r="UPZ51" s="310"/>
      <c r="UQA51" s="310"/>
      <c r="UQB51" s="310"/>
      <c r="UQC51" s="310"/>
      <c r="UQD51" s="310"/>
      <c r="UQE51" s="310"/>
      <c r="UQF51" s="310"/>
      <c r="UQG51" s="310"/>
      <c r="UQH51" s="310"/>
      <c r="UQI51" s="310"/>
      <c r="UQJ51" s="310"/>
      <c r="UQK51" s="310"/>
      <c r="UQL51" s="310"/>
      <c r="UQM51" s="310"/>
      <c r="UQN51" s="310"/>
      <c r="UQO51" s="310"/>
      <c r="UQP51" s="310"/>
      <c r="UQQ51" s="310"/>
      <c r="UQR51" s="310"/>
      <c r="UQS51" s="310"/>
      <c r="UQT51" s="310"/>
      <c r="UQU51" s="310"/>
      <c r="UQV51" s="310"/>
      <c r="UQW51" s="310"/>
      <c r="UQX51" s="310"/>
      <c r="UQY51" s="310"/>
      <c r="UQZ51" s="310"/>
      <c r="URA51" s="310"/>
      <c r="URB51" s="310"/>
      <c r="URC51" s="310"/>
      <c r="URD51" s="310"/>
      <c r="URE51" s="310"/>
      <c r="URF51" s="310"/>
      <c r="URG51" s="310"/>
      <c r="URH51" s="310"/>
      <c r="URI51" s="310"/>
      <c r="URJ51" s="310"/>
      <c r="URK51" s="310"/>
      <c r="URL51" s="310"/>
      <c r="URM51" s="310"/>
      <c r="URN51" s="310"/>
      <c r="URO51" s="310"/>
      <c r="URP51" s="310"/>
      <c r="URQ51" s="310"/>
      <c r="URR51" s="310"/>
      <c r="URS51" s="310"/>
      <c r="URT51" s="310"/>
      <c r="URU51" s="310"/>
      <c r="URV51" s="310"/>
      <c r="URW51" s="310"/>
      <c r="URX51" s="310"/>
      <c r="URY51" s="310"/>
      <c r="URZ51" s="310"/>
      <c r="USA51" s="310"/>
      <c r="USB51" s="310"/>
      <c r="USC51" s="310"/>
      <c r="USD51" s="310"/>
      <c r="USE51" s="310"/>
      <c r="USF51" s="310"/>
      <c r="USG51" s="310"/>
      <c r="USH51" s="310"/>
      <c r="USI51" s="310"/>
      <c r="USJ51" s="310"/>
      <c r="USK51" s="310"/>
      <c r="USL51" s="310"/>
      <c r="USM51" s="310"/>
      <c r="USN51" s="310"/>
      <c r="USO51" s="310"/>
      <c r="USP51" s="310"/>
      <c r="USQ51" s="310"/>
      <c r="USR51" s="310"/>
      <c r="USS51" s="310"/>
      <c r="UST51" s="310"/>
      <c r="USU51" s="310"/>
      <c r="USV51" s="310"/>
      <c r="USW51" s="310"/>
      <c r="USX51" s="310"/>
      <c r="USY51" s="310"/>
      <c r="USZ51" s="310"/>
      <c r="UTA51" s="310"/>
      <c r="UTB51" s="310"/>
      <c r="UTC51" s="310"/>
      <c r="UTD51" s="310"/>
      <c r="UTE51" s="310"/>
      <c r="UTF51" s="310"/>
      <c r="UTG51" s="310"/>
      <c r="UTH51" s="310"/>
      <c r="UTI51" s="310"/>
      <c r="UTJ51" s="310"/>
      <c r="UTK51" s="310"/>
      <c r="UTL51" s="310"/>
      <c r="UTM51" s="310"/>
      <c r="UTN51" s="310"/>
      <c r="UTO51" s="310"/>
      <c r="UTP51" s="310"/>
      <c r="UTQ51" s="310"/>
      <c r="UTR51" s="310"/>
      <c r="UTS51" s="310"/>
      <c r="UTT51" s="310"/>
      <c r="UTU51" s="310"/>
      <c r="UTV51" s="310"/>
      <c r="UTW51" s="310"/>
      <c r="UTX51" s="310"/>
      <c r="UTY51" s="310"/>
      <c r="UTZ51" s="310"/>
      <c r="UUA51" s="310"/>
      <c r="UUB51" s="310"/>
      <c r="UUC51" s="310"/>
      <c r="UUD51" s="310"/>
      <c r="UUE51" s="310"/>
      <c r="UUF51" s="310"/>
      <c r="UUG51" s="310"/>
      <c r="UUH51" s="310"/>
      <c r="UUI51" s="310"/>
      <c r="UUJ51" s="310"/>
      <c r="UUK51" s="310"/>
      <c r="UUL51" s="310"/>
      <c r="UUM51" s="310"/>
      <c r="UUN51" s="310"/>
      <c r="UUO51" s="310"/>
      <c r="UUP51" s="310"/>
      <c r="UUQ51" s="310"/>
      <c r="UUR51" s="310"/>
      <c r="UUS51" s="310"/>
      <c r="UUT51" s="310"/>
      <c r="UUU51" s="310"/>
      <c r="UUV51" s="310"/>
      <c r="UUW51" s="310"/>
      <c r="UUX51" s="310"/>
      <c r="UUY51" s="310"/>
      <c r="UUZ51" s="310"/>
      <c r="UVA51" s="310"/>
      <c r="UVB51" s="310"/>
      <c r="UVC51" s="310"/>
      <c r="UVD51" s="310"/>
      <c r="UVE51" s="310"/>
      <c r="UVF51" s="310"/>
      <c r="UVG51" s="310"/>
      <c r="UVH51" s="310"/>
      <c r="UVI51" s="310"/>
      <c r="UVJ51" s="310"/>
      <c r="UVK51" s="310"/>
      <c r="UVL51" s="310"/>
      <c r="UVM51" s="310"/>
      <c r="UVN51" s="310"/>
      <c r="UVO51" s="310"/>
      <c r="UVP51" s="310"/>
      <c r="UVQ51" s="310"/>
      <c r="UVR51" s="310"/>
      <c r="UVS51" s="310"/>
      <c r="UVT51" s="310"/>
      <c r="UVU51" s="310"/>
      <c r="UVV51" s="310"/>
      <c r="UVW51" s="310"/>
      <c r="UVX51" s="310"/>
      <c r="UVY51" s="310"/>
      <c r="UVZ51" s="310"/>
      <c r="UWA51" s="310"/>
      <c r="UWB51" s="310"/>
      <c r="UWC51" s="310"/>
      <c r="UWD51" s="310"/>
      <c r="UWE51" s="310"/>
      <c r="UWF51" s="310"/>
      <c r="UWG51" s="310"/>
      <c r="UWH51" s="310"/>
      <c r="UWI51" s="310"/>
      <c r="UWJ51" s="310"/>
      <c r="UWK51" s="310"/>
      <c r="UWL51" s="310"/>
      <c r="UWM51" s="310"/>
      <c r="UWN51" s="310"/>
      <c r="UWO51" s="310"/>
      <c r="UWP51" s="310"/>
      <c r="UWQ51" s="310"/>
      <c r="UWR51" s="310"/>
      <c r="UWS51" s="310"/>
      <c r="UWT51" s="310"/>
      <c r="UWU51" s="310"/>
      <c r="UWV51" s="310"/>
      <c r="UWW51" s="310"/>
      <c r="UWX51" s="310"/>
      <c r="UWY51" s="310"/>
      <c r="UWZ51" s="310"/>
      <c r="UXA51" s="310"/>
      <c r="UXB51" s="310"/>
      <c r="UXC51" s="310"/>
      <c r="UXD51" s="310"/>
      <c r="UXE51" s="310"/>
      <c r="UXF51" s="310"/>
      <c r="UXG51" s="310"/>
      <c r="UXH51" s="310"/>
      <c r="UXI51" s="310"/>
      <c r="UXJ51" s="310"/>
      <c r="UXK51" s="310"/>
      <c r="UXL51" s="310"/>
      <c r="UXM51" s="310"/>
      <c r="UXN51" s="310"/>
      <c r="UXO51" s="310"/>
      <c r="UXP51" s="310"/>
      <c r="UXQ51" s="310"/>
      <c r="UXR51" s="310"/>
      <c r="UXS51" s="310"/>
      <c r="UXT51" s="310"/>
      <c r="UXU51" s="310"/>
      <c r="UXV51" s="310"/>
      <c r="UXW51" s="310"/>
      <c r="UXX51" s="310"/>
      <c r="UXY51" s="310"/>
      <c r="UXZ51" s="310"/>
      <c r="UYA51" s="310"/>
      <c r="UYB51" s="310"/>
      <c r="UYC51" s="310"/>
      <c r="UYD51" s="310"/>
      <c r="UYE51" s="310"/>
      <c r="UYF51" s="310"/>
      <c r="UYG51" s="310"/>
      <c r="UYH51" s="310"/>
      <c r="UYI51" s="310"/>
      <c r="UYJ51" s="310"/>
      <c r="UYK51" s="310"/>
      <c r="UYL51" s="310"/>
      <c r="UYM51" s="310"/>
      <c r="UYN51" s="310"/>
      <c r="UYO51" s="310"/>
      <c r="UYP51" s="310"/>
      <c r="UYQ51" s="310"/>
      <c r="UYR51" s="310"/>
      <c r="UYS51" s="310"/>
      <c r="UYT51" s="310"/>
      <c r="UYU51" s="310"/>
      <c r="UYV51" s="310"/>
      <c r="UYW51" s="310"/>
      <c r="UYX51" s="310"/>
      <c r="UYY51" s="310"/>
      <c r="UYZ51" s="310"/>
      <c r="UZA51" s="310"/>
      <c r="UZB51" s="310"/>
      <c r="UZC51" s="310"/>
      <c r="UZD51" s="310"/>
      <c r="UZE51" s="310"/>
      <c r="UZF51" s="310"/>
      <c r="UZG51" s="310"/>
      <c r="UZH51" s="310"/>
      <c r="UZI51" s="310"/>
      <c r="UZJ51" s="310"/>
      <c r="UZK51" s="310"/>
      <c r="UZL51" s="310"/>
      <c r="UZM51" s="310"/>
      <c r="UZN51" s="310"/>
      <c r="UZO51" s="310"/>
      <c r="UZP51" s="310"/>
      <c r="UZQ51" s="310"/>
      <c r="UZR51" s="310"/>
      <c r="UZS51" s="310"/>
      <c r="UZT51" s="310"/>
      <c r="UZU51" s="310"/>
      <c r="UZV51" s="310"/>
      <c r="UZW51" s="310"/>
      <c r="UZX51" s="310"/>
      <c r="UZY51" s="310"/>
      <c r="UZZ51" s="310"/>
      <c r="VAA51" s="310"/>
      <c r="VAB51" s="310"/>
      <c r="VAC51" s="310"/>
      <c r="VAD51" s="310"/>
      <c r="VAE51" s="310"/>
      <c r="VAF51" s="310"/>
      <c r="VAG51" s="310"/>
      <c r="VAH51" s="310"/>
      <c r="VAI51" s="310"/>
      <c r="VAJ51" s="310"/>
      <c r="VAK51" s="310"/>
      <c r="VAL51" s="310"/>
      <c r="VAM51" s="310"/>
      <c r="VAN51" s="310"/>
      <c r="VAO51" s="310"/>
      <c r="VAP51" s="310"/>
      <c r="VAQ51" s="310"/>
      <c r="VAR51" s="310"/>
      <c r="VAS51" s="310"/>
      <c r="VAT51" s="310"/>
      <c r="VAU51" s="310"/>
      <c r="VAV51" s="310"/>
      <c r="VAW51" s="310"/>
      <c r="VAX51" s="310"/>
      <c r="VAY51" s="310"/>
      <c r="VAZ51" s="310"/>
      <c r="VBA51" s="310"/>
      <c r="VBB51" s="310"/>
      <c r="VBC51" s="310"/>
      <c r="VBD51" s="310"/>
      <c r="VBE51" s="310"/>
      <c r="VBF51" s="310"/>
      <c r="VBG51" s="310"/>
      <c r="VBH51" s="310"/>
      <c r="VBI51" s="310"/>
      <c r="VBJ51" s="310"/>
      <c r="VBK51" s="310"/>
      <c r="VBL51" s="310"/>
      <c r="VBM51" s="310"/>
      <c r="VBN51" s="310"/>
      <c r="VBO51" s="310"/>
      <c r="VBP51" s="310"/>
      <c r="VBQ51" s="310"/>
      <c r="VBR51" s="310"/>
      <c r="VBS51" s="310"/>
      <c r="VBT51" s="310"/>
      <c r="VBU51" s="310"/>
      <c r="VBV51" s="310"/>
      <c r="VBW51" s="310"/>
      <c r="VBX51" s="310"/>
      <c r="VBY51" s="310"/>
      <c r="VBZ51" s="310"/>
      <c r="VCA51" s="310"/>
      <c r="VCB51" s="310"/>
      <c r="VCC51" s="310"/>
      <c r="VCD51" s="310"/>
      <c r="VCE51" s="310"/>
      <c r="VCF51" s="310"/>
      <c r="VCG51" s="310"/>
      <c r="VCH51" s="310"/>
      <c r="VCI51" s="310"/>
      <c r="VCJ51" s="310"/>
      <c r="VCK51" s="310"/>
      <c r="VCL51" s="310"/>
      <c r="VCM51" s="310"/>
      <c r="VCN51" s="310"/>
      <c r="VCO51" s="310"/>
      <c r="VCP51" s="310"/>
      <c r="VCQ51" s="310"/>
      <c r="VCR51" s="310"/>
      <c r="VCS51" s="310"/>
      <c r="VCT51" s="310"/>
      <c r="VCU51" s="310"/>
      <c r="VCV51" s="310"/>
      <c r="VCW51" s="310"/>
      <c r="VCX51" s="310"/>
      <c r="VCY51" s="310"/>
      <c r="VCZ51" s="310"/>
      <c r="VDA51" s="310"/>
      <c r="VDB51" s="310"/>
      <c r="VDC51" s="310"/>
      <c r="VDD51" s="310"/>
      <c r="VDE51" s="310"/>
      <c r="VDF51" s="310"/>
      <c r="VDG51" s="310"/>
      <c r="VDH51" s="310"/>
      <c r="VDI51" s="310"/>
      <c r="VDJ51" s="310"/>
      <c r="VDK51" s="310"/>
      <c r="VDL51" s="310"/>
      <c r="VDM51" s="310"/>
      <c r="VDN51" s="310"/>
      <c r="VDO51" s="310"/>
      <c r="VDP51" s="310"/>
      <c r="VDQ51" s="310"/>
      <c r="VDR51" s="310"/>
      <c r="VDS51" s="310"/>
      <c r="VDT51" s="310"/>
      <c r="VDU51" s="310"/>
      <c r="VDV51" s="310"/>
      <c r="VDW51" s="310"/>
      <c r="VDX51" s="310"/>
      <c r="VDY51" s="310"/>
      <c r="VDZ51" s="310"/>
      <c r="VEA51" s="310"/>
      <c r="VEB51" s="310"/>
      <c r="VEC51" s="310"/>
      <c r="VED51" s="310"/>
      <c r="VEE51" s="310"/>
      <c r="VEF51" s="310"/>
      <c r="VEG51" s="310"/>
      <c r="VEH51" s="310"/>
      <c r="VEI51" s="310"/>
      <c r="VEJ51" s="310"/>
      <c r="VEK51" s="310"/>
      <c r="VEL51" s="310"/>
      <c r="VEM51" s="310"/>
      <c r="VEN51" s="310"/>
      <c r="VEO51" s="310"/>
      <c r="VEP51" s="310"/>
      <c r="VEQ51" s="310"/>
      <c r="VER51" s="310"/>
      <c r="VES51" s="310"/>
      <c r="VET51" s="310"/>
      <c r="VEU51" s="310"/>
      <c r="VEV51" s="310"/>
      <c r="VEW51" s="310"/>
      <c r="VEX51" s="310"/>
      <c r="VEY51" s="310"/>
      <c r="VEZ51" s="310"/>
      <c r="VFA51" s="310"/>
      <c r="VFB51" s="310"/>
      <c r="VFC51" s="310"/>
      <c r="VFD51" s="310"/>
      <c r="VFE51" s="310"/>
      <c r="VFF51" s="310"/>
      <c r="VFG51" s="310"/>
      <c r="VFH51" s="310"/>
      <c r="VFI51" s="310"/>
      <c r="VFJ51" s="310"/>
      <c r="VFK51" s="310"/>
      <c r="VFL51" s="310"/>
      <c r="VFM51" s="310"/>
      <c r="VFN51" s="310"/>
      <c r="VFO51" s="310"/>
      <c r="VFP51" s="310"/>
      <c r="VFQ51" s="310"/>
      <c r="VFR51" s="310"/>
      <c r="VFS51" s="310"/>
      <c r="VFT51" s="310"/>
      <c r="VFU51" s="310"/>
      <c r="VFV51" s="310"/>
      <c r="VFW51" s="310"/>
      <c r="VFX51" s="310"/>
      <c r="VFY51" s="310"/>
      <c r="VFZ51" s="310"/>
      <c r="VGA51" s="310"/>
      <c r="VGB51" s="310"/>
      <c r="VGC51" s="310"/>
      <c r="VGD51" s="310"/>
      <c r="VGE51" s="310"/>
      <c r="VGF51" s="310"/>
      <c r="VGG51" s="310"/>
      <c r="VGH51" s="310"/>
      <c r="VGI51" s="310"/>
      <c r="VGJ51" s="310"/>
      <c r="VGK51" s="310"/>
      <c r="VGL51" s="310"/>
      <c r="VGM51" s="310"/>
      <c r="VGN51" s="310"/>
      <c r="VGO51" s="310"/>
      <c r="VGP51" s="310"/>
      <c r="VGQ51" s="310"/>
      <c r="VGR51" s="310"/>
      <c r="VGS51" s="310"/>
      <c r="VGT51" s="310"/>
      <c r="VGU51" s="310"/>
      <c r="VGV51" s="310"/>
      <c r="VGW51" s="310"/>
      <c r="VGX51" s="310"/>
      <c r="VGY51" s="310"/>
      <c r="VGZ51" s="310"/>
      <c r="VHA51" s="310"/>
      <c r="VHB51" s="310"/>
      <c r="VHC51" s="310"/>
      <c r="VHD51" s="310"/>
      <c r="VHE51" s="310"/>
      <c r="VHF51" s="310"/>
      <c r="VHG51" s="310"/>
      <c r="VHH51" s="310"/>
      <c r="VHI51" s="310"/>
      <c r="VHJ51" s="310"/>
      <c r="VHK51" s="310"/>
      <c r="VHL51" s="310"/>
      <c r="VHM51" s="310"/>
      <c r="VHN51" s="310"/>
      <c r="VHO51" s="310"/>
      <c r="VHP51" s="310"/>
      <c r="VHQ51" s="310"/>
      <c r="VHR51" s="310"/>
      <c r="VHS51" s="310"/>
      <c r="VHT51" s="310"/>
      <c r="VHU51" s="310"/>
      <c r="VHV51" s="310"/>
      <c r="VHW51" s="310"/>
      <c r="VHX51" s="310"/>
      <c r="VHY51" s="310"/>
      <c r="VHZ51" s="310"/>
      <c r="VIA51" s="310"/>
      <c r="VIB51" s="310"/>
      <c r="VIC51" s="310"/>
      <c r="VID51" s="310"/>
      <c r="VIE51" s="310"/>
      <c r="VIF51" s="310"/>
      <c r="VIG51" s="310"/>
      <c r="VIH51" s="310"/>
      <c r="VII51" s="310"/>
      <c r="VIJ51" s="310"/>
      <c r="VIK51" s="310"/>
      <c r="VIL51" s="310"/>
      <c r="VIM51" s="310"/>
      <c r="VIN51" s="310"/>
      <c r="VIO51" s="310"/>
      <c r="VIP51" s="310"/>
      <c r="VIQ51" s="310"/>
      <c r="VIR51" s="310"/>
      <c r="VIS51" s="310"/>
      <c r="VIT51" s="310"/>
      <c r="VIU51" s="310"/>
      <c r="VIV51" s="310"/>
      <c r="VIW51" s="310"/>
      <c r="VIX51" s="310"/>
      <c r="VIY51" s="310"/>
      <c r="VIZ51" s="310"/>
      <c r="VJA51" s="310"/>
      <c r="VJB51" s="310"/>
      <c r="VJC51" s="310"/>
      <c r="VJD51" s="310"/>
      <c r="VJE51" s="310"/>
      <c r="VJF51" s="310"/>
      <c r="VJG51" s="310"/>
      <c r="VJH51" s="310"/>
      <c r="VJI51" s="310"/>
      <c r="VJJ51" s="310"/>
      <c r="VJK51" s="310"/>
      <c r="VJL51" s="310"/>
      <c r="VJM51" s="310"/>
      <c r="VJN51" s="310"/>
      <c r="VJO51" s="310"/>
      <c r="VJP51" s="310"/>
      <c r="VJQ51" s="310"/>
      <c r="VJR51" s="310"/>
      <c r="VJS51" s="310"/>
      <c r="VJT51" s="310"/>
      <c r="VJU51" s="310"/>
      <c r="VJV51" s="310"/>
      <c r="VJW51" s="310"/>
      <c r="VJX51" s="310"/>
      <c r="VJY51" s="310"/>
      <c r="VJZ51" s="310"/>
      <c r="VKA51" s="310"/>
      <c r="VKB51" s="310"/>
      <c r="VKC51" s="310"/>
      <c r="VKD51" s="310"/>
      <c r="VKE51" s="310"/>
      <c r="VKF51" s="310"/>
      <c r="VKG51" s="310"/>
      <c r="VKH51" s="310"/>
      <c r="VKI51" s="310"/>
      <c r="VKJ51" s="310"/>
      <c r="VKK51" s="310"/>
      <c r="VKL51" s="310"/>
      <c r="VKM51" s="310"/>
      <c r="VKN51" s="310"/>
      <c r="VKO51" s="310"/>
      <c r="VKP51" s="310"/>
      <c r="VKQ51" s="310"/>
      <c r="VKR51" s="310"/>
      <c r="VKS51" s="310"/>
      <c r="VKT51" s="310"/>
      <c r="VKU51" s="310"/>
      <c r="VKV51" s="310"/>
      <c r="VKW51" s="310"/>
      <c r="VKX51" s="310"/>
      <c r="VKY51" s="310"/>
      <c r="VKZ51" s="310"/>
      <c r="VLA51" s="310"/>
      <c r="VLB51" s="310"/>
      <c r="VLC51" s="310"/>
      <c r="VLD51" s="310"/>
      <c r="VLE51" s="310"/>
      <c r="VLF51" s="310"/>
      <c r="VLG51" s="310"/>
      <c r="VLH51" s="310"/>
      <c r="VLI51" s="310"/>
      <c r="VLJ51" s="310"/>
      <c r="VLK51" s="310"/>
      <c r="VLL51" s="310"/>
      <c r="VLM51" s="310"/>
      <c r="VLN51" s="310"/>
      <c r="VLO51" s="310"/>
      <c r="VLP51" s="310"/>
      <c r="VLQ51" s="310"/>
      <c r="VLR51" s="310"/>
      <c r="VLS51" s="310"/>
      <c r="VLT51" s="310"/>
      <c r="VLU51" s="310"/>
      <c r="VLV51" s="310"/>
      <c r="VLW51" s="310"/>
      <c r="VLX51" s="310"/>
      <c r="VLY51" s="310"/>
      <c r="VLZ51" s="310"/>
      <c r="VMA51" s="310"/>
      <c r="VMB51" s="310"/>
      <c r="VMC51" s="310"/>
      <c r="VMD51" s="310"/>
      <c r="VME51" s="310"/>
      <c r="VMF51" s="310"/>
      <c r="VMG51" s="310"/>
      <c r="VMH51" s="310"/>
      <c r="VMI51" s="310"/>
      <c r="VMJ51" s="310"/>
      <c r="VMK51" s="310"/>
      <c r="VML51" s="310"/>
      <c r="VMM51" s="310"/>
      <c r="VMN51" s="310"/>
      <c r="VMO51" s="310"/>
      <c r="VMP51" s="310"/>
      <c r="VMQ51" s="310"/>
      <c r="VMR51" s="310"/>
      <c r="VMS51" s="310"/>
      <c r="VMT51" s="310"/>
      <c r="VMU51" s="310"/>
      <c r="VMV51" s="310"/>
      <c r="VMW51" s="310"/>
      <c r="VMX51" s="310"/>
      <c r="VMY51" s="310"/>
      <c r="VMZ51" s="310"/>
      <c r="VNA51" s="310"/>
      <c r="VNB51" s="310"/>
      <c r="VNC51" s="310"/>
      <c r="VND51" s="310"/>
      <c r="VNE51" s="310"/>
      <c r="VNF51" s="310"/>
      <c r="VNG51" s="310"/>
      <c r="VNH51" s="310"/>
      <c r="VNI51" s="310"/>
      <c r="VNJ51" s="310"/>
      <c r="VNK51" s="310"/>
      <c r="VNL51" s="310"/>
      <c r="VNM51" s="310"/>
      <c r="VNN51" s="310"/>
      <c r="VNO51" s="310"/>
      <c r="VNP51" s="310"/>
      <c r="VNQ51" s="310"/>
      <c r="VNR51" s="310"/>
      <c r="VNS51" s="310"/>
      <c r="VNT51" s="310"/>
      <c r="VNU51" s="310"/>
      <c r="VNV51" s="310"/>
      <c r="VNW51" s="310"/>
      <c r="VNX51" s="310"/>
      <c r="VNY51" s="310"/>
      <c r="VNZ51" s="310"/>
      <c r="VOA51" s="310"/>
      <c r="VOB51" s="310"/>
      <c r="VOC51" s="310"/>
      <c r="VOD51" s="310"/>
      <c r="VOE51" s="310"/>
      <c r="VOF51" s="310"/>
      <c r="VOG51" s="310"/>
      <c r="VOH51" s="310"/>
      <c r="VOI51" s="310"/>
      <c r="VOJ51" s="310"/>
      <c r="VOK51" s="310"/>
      <c r="VOL51" s="310"/>
      <c r="VOM51" s="310"/>
      <c r="VON51" s="310"/>
      <c r="VOO51" s="310"/>
      <c r="VOP51" s="310"/>
      <c r="VOQ51" s="310"/>
      <c r="VOR51" s="310"/>
      <c r="VOS51" s="310"/>
      <c r="VOT51" s="310"/>
      <c r="VOU51" s="310"/>
      <c r="VOV51" s="310"/>
      <c r="VOW51" s="310"/>
      <c r="VOX51" s="310"/>
      <c r="VOY51" s="310"/>
      <c r="VOZ51" s="310"/>
      <c r="VPA51" s="310"/>
      <c r="VPB51" s="310"/>
      <c r="VPC51" s="310"/>
      <c r="VPD51" s="310"/>
      <c r="VPE51" s="310"/>
      <c r="VPF51" s="310"/>
      <c r="VPG51" s="310"/>
      <c r="VPH51" s="310"/>
      <c r="VPI51" s="310"/>
      <c r="VPJ51" s="310"/>
      <c r="VPK51" s="310"/>
      <c r="VPL51" s="310"/>
      <c r="VPM51" s="310"/>
      <c r="VPN51" s="310"/>
      <c r="VPO51" s="310"/>
      <c r="VPP51" s="310"/>
      <c r="VPQ51" s="310"/>
      <c r="VPR51" s="310"/>
      <c r="VPS51" s="310"/>
      <c r="VPT51" s="310"/>
      <c r="VPU51" s="310"/>
      <c r="VPV51" s="310"/>
      <c r="VPW51" s="310"/>
      <c r="VPX51" s="310"/>
      <c r="VPY51" s="310"/>
      <c r="VPZ51" s="310"/>
      <c r="VQA51" s="310"/>
      <c r="VQB51" s="310"/>
      <c r="VQC51" s="310"/>
      <c r="VQD51" s="310"/>
      <c r="VQE51" s="310"/>
      <c r="VQF51" s="310"/>
      <c r="VQG51" s="310"/>
      <c r="VQH51" s="310"/>
      <c r="VQI51" s="310"/>
      <c r="VQJ51" s="310"/>
      <c r="VQK51" s="310"/>
      <c r="VQL51" s="310"/>
      <c r="VQM51" s="310"/>
      <c r="VQN51" s="310"/>
      <c r="VQO51" s="310"/>
      <c r="VQP51" s="310"/>
      <c r="VQQ51" s="310"/>
      <c r="VQR51" s="310"/>
      <c r="VQS51" s="310"/>
      <c r="VQT51" s="310"/>
      <c r="VQU51" s="310"/>
      <c r="VQV51" s="310"/>
      <c r="VQW51" s="310"/>
      <c r="VQX51" s="310"/>
      <c r="VQY51" s="310"/>
      <c r="VQZ51" s="310"/>
      <c r="VRA51" s="310"/>
      <c r="VRB51" s="310"/>
      <c r="VRC51" s="310"/>
      <c r="VRD51" s="310"/>
      <c r="VRE51" s="310"/>
      <c r="VRF51" s="310"/>
      <c r="VRG51" s="310"/>
      <c r="VRH51" s="310"/>
      <c r="VRI51" s="310"/>
      <c r="VRJ51" s="310"/>
      <c r="VRK51" s="310"/>
      <c r="VRL51" s="310"/>
      <c r="VRM51" s="310"/>
      <c r="VRN51" s="310"/>
      <c r="VRO51" s="310"/>
      <c r="VRP51" s="310"/>
      <c r="VRQ51" s="310"/>
      <c r="VRR51" s="310"/>
      <c r="VRS51" s="310"/>
      <c r="VRT51" s="310"/>
      <c r="VRU51" s="310"/>
      <c r="VRV51" s="310"/>
      <c r="VRW51" s="310"/>
      <c r="VRX51" s="310"/>
      <c r="VRY51" s="310"/>
      <c r="VRZ51" s="310"/>
      <c r="VSA51" s="310"/>
      <c r="VSB51" s="310"/>
      <c r="VSC51" s="310"/>
      <c r="VSD51" s="310"/>
      <c r="VSE51" s="310"/>
      <c r="VSF51" s="310"/>
      <c r="VSG51" s="310"/>
      <c r="VSH51" s="310"/>
      <c r="VSI51" s="310"/>
      <c r="VSJ51" s="310"/>
      <c r="VSK51" s="310"/>
      <c r="VSL51" s="310"/>
      <c r="VSM51" s="310"/>
      <c r="VSN51" s="310"/>
      <c r="VSO51" s="310"/>
      <c r="VSP51" s="310"/>
      <c r="VSQ51" s="310"/>
      <c r="VSR51" s="310"/>
      <c r="VSS51" s="310"/>
      <c r="VST51" s="310"/>
      <c r="VSU51" s="310"/>
      <c r="VSV51" s="310"/>
      <c r="VSW51" s="310"/>
      <c r="VSX51" s="310"/>
      <c r="VSY51" s="310"/>
      <c r="VSZ51" s="310"/>
      <c r="VTA51" s="310"/>
      <c r="VTB51" s="310"/>
      <c r="VTC51" s="310"/>
      <c r="VTD51" s="310"/>
      <c r="VTE51" s="310"/>
      <c r="VTF51" s="310"/>
      <c r="VTG51" s="310"/>
      <c r="VTH51" s="310"/>
      <c r="VTI51" s="310"/>
      <c r="VTJ51" s="310"/>
      <c r="VTK51" s="310"/>
      <c r="VTL51" s="310"/>
      <c r="VTM51" s="310"/>
      <c r="VTN51" s="310"/>
      <c r="VTO51" s="310"/>
      <c r="VTP51" s="310"/>
      <c r="VTQ51" s="310"/>
      <c r="VTR51" s="310"/>
      <c r="VTS51" s="310"/>
      <c r="VTT51" s="310"/>
      <c r="VTU51" s="310"/>
      <c r="VTV51" s="310"/>
      <c r="VTW51" s="310"/>
      <c r="VTX51" s="310"/>
      <c r="VTY51" s="310"/>
      <c r="VTZ51" s="310"/>
      <c r="VUA51" s="310"/>
      <c r="VUB51" s="310"/>
      <c r="VUC51" s="310"/>
      <c r="VUD51" s="310"/>
      <c r="VUE51" s="310"/>
      <c r="VUF51" s="310"/>
      <c r="VUG51" s="310"/>
      <c r="VUH51" s="310"/>
      <c r="VUI51" s="310"/>
      <c r="VUJ51" s="310"/>
      <c r="VUK51" s="310"/>
      <c r="VUL51" s="310"/>
      <c r="VUM51" s="310"/>
      <c r="VUN51" s="310"/>
      <c r="VUO51" s="310"/>
      <c r="VUP51" s="310"/>
      <c r="VUQ51" s="310"/>
      <c r="VUR51" s="310"/>
      <c r="VUS51" s="310"/>
      <c r="VUT51" s="310"/>
      <c r="VUU51" s="310"/>
      <c r="VUV51" s="310"/>
      <c r="VUW51" s="310"/>
      <c r="VUX51" s="310"/>
      <c r="VUY51" s="310"/>
      <c r="VUZ51" s="310"/>
      <c r="VVA51" s="310"/>
      <c r="VVB51" s="310"/>
      <c r="VVC51" s="310"/>
      <c r="VVD51" s="310"/>
      <c r="VVE51" s="310"/>
      <c r="VVF51" s="310"/>
      <c r="VVG51" s="310"/>
      <c r="VVH51" s="310"/>
      <c r="VVI51" s="310"/>
      <c r="VVJ51" s="310"/>
      <c r="VVK51" s="310"/>
      <c r="VVL51" s="310"/>
      <c r="VVM51" s="310"/>
      <c r="VVN51" s="310"/>
      <c r="VVO51" s="310"/>
      <c r="VVP51" s="310"/>
      <c r="VVQ51" s="310"/>
      <c r="VVR51" s="310"/>
      <c r="VVS51" s="310"/>
      <c r="VVT51" s="310"/>
      <c r="VVU51" s="310"/>
      <c r="VVV51" s="310"/>
      <c r="VVW51" s="310"/>
      <c r="VVX51" s="310"/>
      <c r="VVY51" s="310"/>
      <c r="VVZ51" s="310"/>
      <c r="VWA51" s="310"/>
      <c r="VWB51" s="310"/>
      <c r="VWC51" s="310"/>
      <c r="VWD51" s="310"/>
      <c r="VWE51" s="310"/>
      <c r="VWF51" s="310"/>
      <c r="VWG51" s="310"/>
      <c r="VWH51" s="310"/>
      <c r="VWI51" s="310"/>
      <c r="VWJ51" s="310"/>
      <c r="VWK51" s="310"/>
      <c r="VWL51" s="310"/>
      <c r="VWM51" s="310"/>
      <c r="VWN51" s="310"/>
      <c r="VWO51" s="310"/>
      <c r="VWP51" s="310"/>
      <c r="VWQ51" s="310"/>
      <c r="VWR51" s="310"/>
      <c r="VWS51" s="310"/>
      <c r="VWT51" s="310"/>
      <c r="VWU51" s="310"/>
      <c r="VWV51" s="310"/>
      <c r="VWW51" s="310"/>
      <c r="VWX51" s="310"/>
      <c r="VWY51" s="310"/>
      <c r="VWZ51" s="310"/>
      <c r="VXA51" s="310"/>
      <c r="VXB51" s="310"/>
      <c r="VXC51" s="310"/>
      <c r="VXD51" s="310"/>
      <c r="VXE51" s="310"/>
      <c r="VXF51" s="310"/>
      <c r="VXG51" s="310"/>
      <c r="VXH51" s="310"/>
      <c r="VXI51" s="310"/>
      <c r="VXJ51" s="310"/>
      <c r="VXK51" s="310"/>
      <c r="VXL51" s="310"/>
      <c r="VXM51" s="310"/>
      <c r="VXN51" s="310"/>
      <c r="VXO51" s="310"/>
      <c r="VXP51" s="310"/>
      <c r="VXQ51" s="310"/>
      <c r="VXR51" s="310"/>
      <c r="VXS51" s="310"/>
      <c r="VXT51" s="310"/>
      <c r="VXU51" s="310"/>
      <c r="VXV51" s="310"/>
      <c r="VXW51" s="310"/>
      <c r="VXX51" s="310"/>
      <c r="VXY51" s="310"/>
      <c r="VXZ51" s="310"/>
      <c r="VYA51" s="310"/>
      <c r="VYB51" s="310"/>
      <c r="VYC51" s="310"/>
      <c r="VYD51" s="310"/>
      <c r="VYE51" s="310"/>
      <c r="VYF51" s="310"/>
      <c r="VYG51" s="310"/>
      <c r="VYH51" s="310"/>
      <c r="VYI51" s="310"/>
      <c r="VYJ51" s="310"/>
      <c r="VYK51" s="310"/>
      <c r="VYL51" s="310"/>
      <c r="VYM51" s="310"/>
      <c r="VYN51" s="310"/>
      <c r="VYO51" s="310"/>
      <c r="VYP51" s="310"/>
      <c r="VYQ51" s="310"/>
      <c r="VYR51" s="310"/>
      <c r="VYS51" s="310"/>
      <c r="VYT51" s="310"/>
      <c r="VYU51" s="310"/>
      <c r="VYV51" s="310"/>
      <c r="VYW51" s="310"/>
      <c r="VYX51" s="310"/>
      <c r="VYY51" s="310"/>
      <c r="VYZ51" s="310"/>
      <c r="VZA51" s="310"/>
      <c r="VZB51" s="310"/>
      <c r="VZC51" s="310"/>
      <c r="VZD51" s="310"/>
      <c r="VZE51" s="310"/>
      <c r="VZF51" s="310"/>
      <c r="VZG51" s="310"/>
      <c r="VZH51" s="310"/>
      <c r="VZI51" s="310"/>
      <c r="VZJ51" s="310"/>
      <c r="VZK51" s="310"/>
      <c r="VZL51" s="310"/>
      <c r="VZM51" s="310"/>
      <c r="VZN51" s="310"/>
      <c r="VZO51" s="310"/>
      <c r="VZP51" s="310"/>
      <c r="VZQ51" s="310"/>
      <c r="VZR51" s="310"/>
      <c r="VZS51" s="310"/>
      <c r="VZT51" s="310"/>
      <c r="VZU51" s="310"/>
      <c r="VZV51" s="310"/>
      <c r="VZW51" s="310"/>
      <c r="VZX51" s="310"/>
      <c r="VZY51" s="310"/>
      <c r="VZZ51" s="310"/>
      <c r="WAA51" s="310"/>
      <c r="WAB51" s="310"/>
      <c r="WAC51" s="310"/>
      <c r="WAD51" s="310"/>
      <c r="WAE51" s="310"/>
      <c r="WAF51" s="310"/>
      <c r="WAG51" s="310"/>
      <c r="WAH51" s="310"/>
      <c r="WAI51" s="310"/>
      <c r="WAJ51" s="310"/>
      <c r="WAK51" s="310"/>
      <c r="WAL51" s="310"/>
      <c r="WAM51" s="310"/>
      <c r="WAN51" s="310"/>
      <c r="WAO51" s="310"/>
      <c r="WAP51" s="310"/>
      <c r="WAQ51" s="310"/>
      <c r="WAR51" s="310"/>
      <c r="WAS51" s="310"/>
      <c r="WAT51" s="310"/>
      <c r="WAU51" s="310"/>
      <c r="WAV51" s="310"/>
      <c r="WAW51" s="310"/>
      <c r="WAX51" s="310"/>
      <c r="WAY51" s="310"/>
      <c r="WAZ51" s="310"/>
      <c r="WBA51" s="310"/>
      <c r="WBB51" s="310"/>
      <c r="WBC51" s="310"/>
      <c r="WBD51" s="310"/>
      <c r="WBE51" s="310"/>
      <c r="WBF51" s="310"/>
      <c r="WBG51" s="310"/>
      <c r="WBH51" s="310"/>
      <c r="WBI51" s="310"/>
      <c r="WBJ51" s="310"/>
      <c r="WBK51" s="310"/>
      <c r="WBL51" s="310"/>
      <c r="WBM51" s="310"/>
      <c r="WBN51" s="310"/>
      <c r="WBO51" s="310"/>
      <c r="WBP51" s="310"/>
      <c r="WBQ51" s="310"/>
      <c r="WBR51" s="310"/>
      <c r="WBS51" s="310"/>
      <c r="WBT51" s="310"/>
      <c r="WBU51" s="310"/>
      <c r="WBV51" s="310"/>
      <c r="WBW51" s="310"/>
      <c r="WBX51" s="310"/>
      <c r="WBY51" s="310"/>
      <c r="WBZ51" s="310"/>
      <c r="WCA51" s="310"/>
      <c r="WCB51" s="310"/>
      <c r="WCC51" s="310"/>
      <c r="WCD51" s="310"/>
      <c r="WCE51" s="310"/>
      <c r="WCF51" s="310"/>
      <c r="WCG51" s="310"/>
      <c r="WCH51" s="310"/>
      <c r="WCI51" s="310"/>
      <c r="WCJ51" s="310"/>
      <c r="WCK51" s="310"/>
      <c r="WCL51" s="310"/>
      <c r="WCM51" s="310"/>
      <c r="WCN51" s="310"/>
      <c r="WCO51" s="310"/>
      <c r="WCP51" s="310"/>
      <c r="WCQ51" s="310"/>
      <c r="WCR51" s="310"/>
      <c r="WCS51" s="310"/>
      <c r="WCT51" s="310"/>
      <c r="WCU51" s="310"/>
      <c r="WCV51" s="310"/>
      <c r="WCW51" s="310"/>
      <c r="WCX51" s="310"/>
      <c r="WCY51" s="310"/>
      <c r="WCZ51" s="310"/>
      <c r="WDA51" s="310"/>
      <c r="WDB51" s="310"/>
      <c r="WDC51" s="310"/>
      <c r="WDD51" s="310"/>
      <c r="WDE51" s="310"/>
      <c r="WDF51" s="310"/>
      <c r="WDG51" s="310"/>
      <c r="WDH51" s="310"/>
      <c r="WDI51" s="310"/>
      <c r="WDJ51" s="310"/>
      <c r="WDK51" s="310"/>
      <c r="WDL51" s="310"/>
      <c r="WDM51" s="310"/>
      <c r="WDN51" s="310"/>
      <c r="WDO51" s="310"/>
      <c r="WDP51" s="310"/>
      <c r="WDQ51" s="310"/>
      <c r="WDR51" s="310"/>
      <c r="WDS51" s="310"/>
      <c r="WDT51" s="310"/>
      <c r="WDU51" s="310"/>
      <c r="WDV51" s="310"/>
      <c r="WDW51" s="310"/>
      <c r="WDX51" s="310"/>
      <c r="WDY51" s="310"/>
      <c r="WDZ51" s="310"/>
      <c r="WEA51" s="310"/>
      <c r="WEB51" s="310"/>
      <c r="WEC51" s="310"/>
      <c r="WED51" s="310"/>
      <c r="WEE51" s="310"/>
      <c r="WEF51" s="310"/>
      <c r="WEG51" s="310"/>
      <c r="WEH51" s="310"/>
      <c r="WEI51" s="310"/>
      <c r="WEJ51" s="310"/>
      <c r="WEK51" s="310"/>
      <c r="WEL51" s="310"/>
      <c r="WEM51" s="310"/>
      <c r="WEN51" s="310"/>
      <c r="WEO51" s="310"/>
      <c r="WEP51" s="310"/>
      <c r="WEQ51" s="310"/>
      <c r="WER51" s="310"/>
      <c r="WES51" s="310"/>
      <c r="WET51" s="310"/>
      <c r="WEU51" s="310"/>
      <c r="WEV51" s="310"/>
      <c r="WEW51" s="310"/>
      <c r="WEX51" s="310"/>
      <c r="WEY51" s="310"/>
      <c r="WEZ51" s="310"/>
      <c r="WFA51" s="310"/>
      <c r="WFB51" s="310"/>
      <c r="WFC51" s="310"/>
      <c r="WFD51" s="310"/>
      <c r="WFE51" s="310"/>
      <c r="WFF51" s="310"/>
      <c r="WFG51" s="310"/>
      <c r="WFH51" s="310"/>
      <c r="WFI51" s="310"/>
      <c r="WFJ51" s="310"/>
      <c r="WFK51" s="310"/>
      <c r="WFL51" s="310"/>
      <c r="WFM51" s="310"/>
      <c r="WFN51" s="310"/>
      <c r="WFO51" s="310"/>
      <c r="WFP51" s="310"/>
      <c r="WFQ51" s="310"/>
      <c r="WFR51" s="310"/>
      <c r="WFS51" s="310"/>
      <c r="WFT51" s="310"/>
      <c r="WFU51" s="310"/>
      <c r="WFV51" s="310"/>
      <c r="WFW51" s="310"/>
      <c r="WFX51" s="310"/>
      <c r="WFY51" s="310"/>
      <c r="WFZ51" s="310"/>
      <c r="WGA51" s="310"/>
      <c r="WGB51" s="310"/>
      <c r="WGC51" s="310"/>
      <c r="WGD51" s="310"/>
      <c r="WGE51" s="310"/>
      <c r="WGF51" s="310"/>
      <c r="WGG51" s="310"/>
      <c r="WGH51" s="310"/>
      <c r="WGI51" s="310"/>
      <c r="WGJ51" s="310"/>
      <c r="WGK51" s="310"/>
      <c r="WGL51" s="310"/>
      <c r="WGM51" s="310"/>
      <c r="WGN51" s="310"/>
      <c r="WGO51" s="310"/>
      <c r="WGP51" s="310"/>
      <c r="WGQ51" s="310"/>
      <c r="WGR51" s="310"/>
      <c r="WGS51" s="310"/>
      <c r="WGT51" s="310"/>
      <c r="WGU51" s="310"/>
      <c r="WGV51" s="310"/>
      <c r="WGW51" s="310"/>
      <c r="WGX51" s="310"/>
      <c r="WGY51" s="310"/>
      <c r="WGZ51" s="310"/>
      <c r="WHA51" s="310"/>
      <c r="WHB51" s="310"/>
      <c r="WHC51" s="310"/>
      <c r="WHD51" s="310"/>
      <c r="WHE51" s="310"/>
      <c r="WHF51" s="310"/>
      <c r="WHG51" s="310"/>
      <c r="WHH51" s="310"/>
      <c r="WHI51" s="310"/>
      <c r="WHJ51" s="310"/>
      <c r="WHK51" s="310"/>
      <c r="WHL51" s="310"/>
      <c r="WHM51" s="310"/>
      <c r="WHN51" s="310"/>
      <c r="WHO51" s="310"/>
      <c r="WHP51" s="310"/>
      <c r="WHQ51" s="310"/>
      <c r="WHR51" s="310"/>
      <c r="WHS51" s="310"/>
      <c r="WHT51" s="310"/>
      <c r="WHU51" s="310"/>
      <c r="WHV51" s="310"/>
      <c r="WHW51" s="310"/>
      <c r="WHX51" s="310"/>
      <c r="WHY51" s="310"/>
      <c r="WHZ51" s="310"/>
      <c r="WIA51" s="310"/>
      <c r="WIB51" s="310"/>
      <c r="WIC51" s="310"/>
      <c r="WID51" s="310"/>
      <c r="WIE51" s="310"/>
      <c r="WIF51" s="310"/>
      <c r="WIG51" s="310"/>
      <c r="WIH51" s="310"/>
      <c r="WII51" s="310"/>
      <c r="WIJ51" s="310"/>
      <c r="WIK51" s="310"/>
      <c r="WIL51" s="310"/>
      <c r="WIM51" s="310"/>
      <c r="WIN51" s="310"/>
      <c r="WIO51" s="310"/>
      <c r="WIP51" s="310"/>
      <c r="WIQ51" s="310"/>
      <c r="WIR51" s="310"/>
      <c r="WIS51" s="310"/>
      <c r="WIT51" s="310"/>
      <c r="WIU51" s="310"/>
      <c r="WIV51" s="310"/>
      <c r="WIW51" s="310"/>
      <c r="WIX51" s="310"/>
      <c r="WIY51" s="310"/>
      <c r="WIZ51" s="310"/>
      <c r="WJA51" s="310"/>
      <c r="WJB51" s="310"/>
      <c r="WJC51" s="310"/>
      <c r="WJD51" s="310"/>
      <c r="WJE51" s="310"/>
      <c r="WJF51" s="310"/>
      <c r="WJG51" s="310"/>
      <c r="WJH51" s="310"/>
      <c r="WJI51" s="310"/>
      <c r="WJJ51" s="310"/>
      <c r="WJK51" s="310"/>
      <c r="WJL51" s="310"/>
      <c r="WJM51" s="310"/>
      <c r="WJN51" s="310"/>
      <c r="WJO51" s="310"/>
      <c r="WJP51" s="310"/>
      <c r="WJQ51" s="310"/>
      <c r="WJR51" s="310"/>
      <c r="WJS51" s="310"/>
      <c r="WJT51" s="310"/>
      <c r="WJU51" s="310"/>
      <c r="WJV51" s="310"/>
      <c r="WJW51" s="310"/>
      <c r="WJX51" s="310"/>
      <c r="WJY51" s="310"/>
      <c r="WJZ51" s="310"/>
      <c r="WKA51" s="310"/>
      <c r="WKB51" s="310"/>
      <c r="WKC51" s="310"/>
      <c r="WKD51" s="310"/>
      <c r="WKE51" s="310"/>
      <c r="WKF51" s="310"/>
      <c r="WKG51" s="310"/>
      <c r="WKH51" s="310"/>
      <c r="WKI51" s="310"/>
      <c r="WKJ51" s="310"/>
      <c r="WKK51" s="310"/>
      <c r="WKL51" s="310"/>
      <c r="WKM51" s="310"/>
      <c r="WKN51" s="310"/>
      <c r="WKO51" s="310"/>
      <c r="WKP51" s="310"/>
      <c r="WKQ51" s="310"/>
      <c r="WKR51" s="310"/>
      <c r="WKS51" s="310"/>
      <c r="WKT51" s="310"/>
      <c r="WKU51" s="310"/>
      <c r="WKV51" s="310"/>
      <c r="WKW51" s="310"/>
      <c r="WKX51" s="310"/>
      <c r="WKY51" s="310"/>
      <c r="WKZ51" s="310"/>
      <c r="WLA51" s="310"/>
      <c r="WLB51" s="310"/>
      <c r="WLC51" s="310"/>
      <c r="WLD51" s="310"/>
      <c r="WLE51" s="310"/>
      <c r="WLF51" s="310"/>
      <c r="WLG51" s="310"/>
      <c r="WLH51" s="310"/>
      <c r="WLI51" s="310"/>
      <c r="WLJ51" s="310"/>
      <c r="WLK51" s="310"/>
      <c r="WLL51" s="310"/>
      <c r="WLM51" s="310"/>
      <c r="WLN51" s="310"/>
      <c r="WLO51" s="310"/>
      <c r="WLP51" s="310"/>
      <c r="WLQ51" s="310"/>
      <c r="WLR51" s="310"/>
      <c r="WLS51" s="310"/>
      <c r="WLT51" s="310"/>
      <c r="WLU51" s="310"/>
      <c r="WLV51" s="310"/>
      <c r="WLW51" s="310"/>
      <c r="WLX51" s="310"/>
      <c r="WLY51" s="310"/>
      <c r="WLZ51" s="310"/>
      <c r="WMA51" s="310"/>
      <c r="WMB51" s="310"/>
      <c r="WMC51" s="310"/>
      <c r="WMD51" s="310"/>
      <c r="WME51" s="310"/>
      <c r="WMF51" s="310"/>
      <c r="WMG51" s="310"/>
      <c r="WMH51" s="310"/>
      <c r="WMI51" s="310"/>
      <c r="WMJ51" s="310"/>
      <c r="WMK51" s="310"/>
      <c r="WML51" s="310"/>
      <c r="WMM51" s="310"/>
      <c r="WMN51" s="310"/>
      <c r="WMO51" s="310"/>
      <c r="WMP51" s="310"/>
      <c r="WMQ51" s="310"/>
      <c r="WMR51" s="310"/>
      <c r="WMS51" s="310"/>
      <c r="WMT51" s="310"/>
      <c r="WMU51" s="310"/>
      <c r="WMV51" s="310"/>
      <c r="WMW51" s="310"/>
      <c r="WMX51" s="310"/>
      <c r="WMY51" s="310"/>
      <c r="WMZ51" s="310"/>
      <c r="WNA51" s="310"/>
      <c r="WNB51" s="310"/>
      <c r="WNC51" s="310"/>
      <c r="WND51" s="310"/>
      <c r="WNE51" s="310"/>
      <c r="WNF51" s="310"/>
      <c r="WNG51" s="310"/>
      <c r="WNH51" s="310"/>
      <c r="WNI51" s="310"/>
      <c r="WNJ51" s="310"/>
      <c r="WNK51" s="310"/>
      <c r="WNL51" s="310"/>
      <c r="WNM51" s="310"/>
      <c r="WNN51" s="310"/>
      <c r="WNO51" s="310"/>
      <c r="WNP51" s="310"/>
      <c r="WNQ51" s="310"/>
      <c r="WNR51" s="310"/>
      <c r="WNS51" s="310"/>
      <c r="WNT51" s="310"/>
      <c r="WNU51" s="310"/>
      <c r="WNV51" s="310"/>
      <c r="WNW51" s="310"/>
      <c r="WNX51" s="310"/>
      <c r="WNY51" s="310"/>
      <c r="WNZ51" s="310"/>
      <c r="WOA51" s="310"/>
      <c r="WOB51" s="310"/>
      <c r="WOC51" s="310"/>
      <c r="WOD51" s="310"/>
      <c r="WOE51" s="310"/>
      <c r="WOF51" s="310"/>
      <c r="WOG51" s="310"/>
      <c r="WOH51" s="310"/>
      <c r="WOI51" s="310"/>
      <c r="WOJ51" s="310"/>
      <c r="WOK51" s="310"/>
      <c r="WOL51" s="310"/>
      <c r="WOM51" s="310"/>
      <c r="WON51" s="310"/>
      <c r="WOO51" s="310"/>
      <c r="WOP51" s="310"/>
      <c r="WOQ51" s="310"/>
      <c r="WOR51" s="310"/>
      <c r="WOS51" s="310"/>
      <c r="WOT51" s="310"/>
      <c r="WOU51" s="310"/>
      <c r="WOV51" s="310"/>
      <c r="WOW51" s="310"/>
      <c r="WOX51" s="310"/>
      <c r="WOY51" s="310"/>
      <c r="WOZ51" s="310"/>
      <c r="WPA51" s="310"/>
      <c r="WPB51" s="310"/>
      <c r="WPC51" s="310"/>
      <c r="WPD51" s="310"/>
      <c r="WPE51" s="310"/>
      <c r="WPF51" s="310"/>
      <c r="WPG51" s="310"/>
      <c r="WPH51" s="310"/>
      <c r="WPI51" s="310"/>
      <c r="WPJ51" s="310"/>
      <c r="WPK51" s="310"/>
      <c r="WPL51" s="310"/>
      <c r="WPM51" s="310"/>
      <c r="WPN51" s="310"/>
      <c r="WPO51" s="310"/>
      <c r="WPP51" s="310"/>
      <c r="WPQ51" s="310"/>
      <c r="WPR51" s="310"/>
      <c r="WPS51" s="310"/>
      <c r="WPT51" s="310"/>
      <c r="WPU51" s="310"/>
      <c r="WPV51" s="310"/>
      <c r="WPW51" s="310"/>
      <c r="WPX51" s="310"/>
      <c r="WPY51" s="310"/>
      <c r="WPZ51" s="310"/>
      <c r="WQA51" s="310"/>
      <c r="WQB51" s="310"/>
      <c r="WQC51" s="310"/>
      <c r="WQD51" s="310"/>
      <c r="WQE51" s="310"/>
      <c r="WQF51" s="310"/>
      <c r="WQG51" s="310"/>
      <c r="WQH51" s="310"/>
      <c r="WQI51" s="310"/>
      <c r="WQJ51" s="310"/>
      <c r="WQK51" s="310"/>
      <c r="WQL51" s="310"/>
      <c r="WQM51" s="310"/>
      <c r="WQN51" s="310"/>
      <c r="WQO51" s="310"/>
      <c r="WQP51" s="310"/>
      <c r="WQQ51" s="310"/>
      <c r="WQR51" s="310"/>
      <c r="WQS51" s="310"/>
      <c r="WQT51" s="310"/>
      <c r="WQU51" s="310"/>
      <c r="WQV51" s="310"/>
      <c r="WQW51" s="310"/>
      <c r="WQX51" s="310"/>
      <c r="WQY51" s="310"/>
      <c r="WQZ51" s="310"/>
      <c r="WRA51" s="310"/>
      <c r="WRB51" s="310"/>
      <c r="WRC51" s="310"/>
      <c r="WRD51" s="310"/>
      <c r="WRE51" s="310"/>
      <c r="WRF51" s="310"/>
      <c r="WRG51" s="310"/>
      <c r="WRH51" s="310"/>
      <c r="WRI51" s="310"/>
      <c r="WRJ51" s="310"/>
      <c r="WRK51" s="310"/>
      <c r="WRL51" s="310"/>
      <c r="WRM51" s="310"/>
      <c r="WRN51" s="310"/>
      <c r="WRO51" s="310"/>
      <c r="WRP51" s="310"/>
      <c r="WRQ51" s="310"/>
      <c r="WRR51" s="310"/>
      <c r="WRS51" s="310"/>
      <c r="WRT51" s="310"/>
      <c r="WRU51" s="310"/>
      <c r="WRV51" s="310"/>
      <c r="WRW51" s="310"/>
      <c r="WRX51" s="310"/>
      <c r="WRY51" s="310"/>
      <c r="WRZ51" s="310"/>
      <c r="WSA51" s="310"/>
      <c r="WSB51" s="310"/>
      <c r="WSC51" s="310"/>
      <c r="WSD51" s="310"/>
      <c r="WSE51" s="310"/>
      <c r="WSF51" s="310"/>
      <c r="WSG51" s="310"/>
      <c r="WSH51" s="310"/>
      <c r="WSI51" s="310"/>
      <c r="WSJ51" s="310"/>
      <c r="WSK51" s="310"/>
      <c r="WSL51" s="310"/>
      <c r="WSM51" s="310"/>
      <c r="WSN51" s="310"/>
      <c r="WSO51" s="310"/>
      <c r="WSP51" s="310"/>
      <c r="WSQ51" s="310"/>
      <c r="WSR51" s="310"/>
      <c r="WSS51" s="310"/>
      <c r="WST51" s="310"/>
      <c r="WSU51" s="310"/>
      <c r="WSV51" s="310"/>
      <c r="WSW51" s="310"/>
      <c r="WSX51" s="310"/>
      <c r="WSY51" s="310"/>
      <c r="WSZ51" s="310"/>
      <c r="WTA51" s="310"/>
      <c r="WTB51" s="310"/>
      <c r="WTC51" s="310"/>
      <c r="WTD51" s="310"/>
      <c r="WTE51" s="310"/>
      <c r="WTF51" s="310"/>
      <c r="WTG51" s="310"/>
      <c r="WTH51" s="310"/>
      <c r="WTI51" s="310"/>
      <c r="WTJ51" s="310"/>
      <c r="WTK51" s="310"/>
      <c r="WTL51" s="310"/>
      <c r="WTM51" s="310"/>
      <c r="WTN51" s="310"/>
      <c r="WTO51" s="310"/>
      <c r="WTP51" s="310"/>
      <c r="WTQ51" s="310"/>
      <c r="WTR51" s="310"/>
      <c r="WTS51" s="310"/>
      <c r="WTT51" s="310"/>
      <c r="WTU51" s="310"/>
      <c r="WTV51" s="310"/>
      <c r="WTW51" s="310"/>
      <c r="WTX51" s="310"/>
      <c r="WTY51" s="310"/>
      <c r="WTZ51" s="310"/>
      <c r="WUA51" s="310"/>
      <c r="WUB51" s="310"/>
      <c r="WUC51" s="310"/>
      <c r="WUD51" s="310"/>
      <c r="WUE51" s="310"/>
      <c r="WUF51" s="310"/>
      <c r="WUG51" s="310"/>
      <c r="WUH51" s="310"/>
      <c r="WUI51" s="310"/>
      <c r="WUJ51" s="310"/>
      <c r="WUK51" s="310"/>
      <c r="WUL51" s="310"/>
      <c r="WUM51" s="310"/>
      <c r="WUN51" s="310"/>
      <c r="WUO51" s="310"/>
      <c r="WUP51" s="310"/>
      <c r="WUQ51" s="310"/>
      <c r="WUR51" s="310"/>
      <c r="WUS51" s="310"/>
      <c r="WUT51" s="310"/>
      <c r="WUU51" s="310"/>
      <c r="WUV51" s="310"/>
      <c r="WUW51" s="310"/>
      <c r="WUX51" s="310"/>
      <c r="WUY51" s="310"/>
      <c r="WUZ51" s="310"/>
      <c r="WVA51" s="310"/>
      <c r="WVB51" s="310"/>
      <c r="WVC51" s="310"/>
      <c r="WVD51" s="310"/>
      <c r="WVE51" s="310"/>
      <c r="WVF51" s="310"/>
      <c r="WVG51" s="310"/>
      <c r="WVH51" s="310"/>
      <c r="WVI51" s="310"/>
      <c r="WVJ51" s="310"/>
      <c r="WVK51" s="310"/>
      <c r="WVL51" s="310"/>
      <c r="WVM51" s="310"/>
      <c r="WVN51" s="310"/>
      <c r="WVO51" s="310"/>
      <c r="WVP51" s="310"/>
      <c r="WVQ51" s="310"/>
      <c r="WVR51" s="310"/>
      <c r="WVS51" s="310"/>
      <c r="WVT51" s="310"/>
      <c r="WVU51" s="310"/>
      <c r="WVV51" s="310"/>
      <c r="WVW51" s="310"/>
      <c r="WVX51" s="310"/>
      <c r="WVY51" s="310"/>
      <c r="WVZ51" s="310"/>
      <c r="WWA51" s="310"/>
      <c r="WWB51" s="310"/>
      <c r="WWC51" s="310"/>
      <c r="WWD51" s="310"/>
      <c r="WWE51" s="310"/>
      <c r="WWF51" s="310"/>
      <c r="WWG51" s="310"/>
      <c r="WWH51" s="310"/>
      <c r="WWI51" s="310"/>
      <c r="WWJ51" s="310"/>
      <c r="WWK51" s="310"/>
      <c r="WWL51" s="310"/>
      <c r="WWM51" s="310"/>
      <c r="WWN51" s="310"/>
      <c r="WWO51" s="310"/>
      <c r="WWP51" s="310"/>
      <c r="WWQ51" s="310"/>
      <c r="WWR51" s="310"/>
      <c r="WWS51" s="310"/>
      <c r="WWT51" s="310"/>
      <c r="WWU51" s="310"/>
      <c r="WWV51" s="310"/>
      <c r="WWW51" s="310"/>
      <c r="WWX51" s="310"/>
      <c r="WWY51" s="310"/>
      <c r="WWZ51" s="310"/>
      <c r="WXA51" s="310"/>
      <c r="WXB51" s="310"/>
      <c r="WXC51" s="310"/>
      <c r="WXD51" s="310"/>
      <c r="WXE51" s="310"/>
      <c r="WXF51" s="310"/>
      <c r="WXG51" s="310"/>
      <c r="WXH51" s="310"/>
      <c r="WXI51" s="310"/>
      <c r="WXJ51" s="310"/>
      <c r="WXK51" s="310"/>
      <c r="WXL51" s="310"/>
      <c r="WXM51" s="310"/>
      <c r="WXN51" s="310"/>
      <c r="WXO51" s="310"/>
      <c r="WXP51" s="310"/>
      <c r="WXQ51" s="310"/>
      <c r="WXR51" s="310"/>
      <c r="WXS51" s="310"/>
      <c r="WXT51" s="310"/>
      <c r="WXU51" s="310"/>
      <c r="WXV51" s="310"/>
      <c r="WXW51" s="310"/>
      <c r="WXX51" s="310"/>
      <c r="WXY51" s="310"/>
      <c r="WXZ51" s="310"/>
      <c r="WYA51" s="310"/>
      <c r="WYB51" s="310"/>
      <c r="WYC51" s="310"/>
      <c r="WYD51" s="310"/>
      <c r="WYE51" s="310"/>
      <c r="WYF51" s="310"/>
      <c r="WYG51" s="310"/>
      <c r="WYH51" s="310"/>
      <c r="WYI51" s="310"/>
      <c r="WYJ51" s="310"/>
      <c r="WYK51" s="310"/>
      <c r="WYL51" s="310"/>
      <c r="WYM51" s="310"/>
      <c r="WYN51" s="310"/>
      <c r="WYO51" s="310"/>
      <c r="WYP51" s="310"/>
      <c r="WYQ51" s="310"/>
      <c r="WYR51" s="310"/>
      <c r="WYS51" s="310"/>
      <c r="WYT51" s="310"/>
      <c r="WYU51" s="310"/>
      <c r="WYV51" s="310"/>
      <c r="WYW51" s="310"/>
      <c r="WYX51" s="310"/>
      <c r="WYY51" s="310"/>
      <c r="WYZ51" s="310"/>
      <c r="WZA51" s="310"/>
      <c r="WZB51" s="310"/>
      <c r="WZC51" s="310"/>
      <c r="WZD51" s="310"/>
      <c r="WZE51" s="310"/>
      <c r="WZF51" s="310"/>
      <c r="WZG51" s="310"/>
      <c r="WZH51" s="310"/>
      <c r="WZI51" s="310"/>
      <c r="WZJ51" s="310"/>
      <c r="WZK51" s="310"/>
      <c r="WZL51" s="310"/>
      <c r="WZM51" s="310"/>
      <c r="WZN51" s="310"/>
      <c r="WZO51" s="310"/>
      <c r="WZP51" s="310"/>
      <c r="WZQ51" s="310"/>
      <c r="WZR51" s="310"/>
      <c r="WZS51" s="310"/>
      <c r="WZT51" s="310"/>
      <c r="WZU51" s="310"/>
      <c r="WZV51" s="310"/>
      <c r="WZW51" s="310"/>
      <c r="WZX51" s="310"/>
      <c r="WZY51" s="310"/>
      <c r="WZZ51" s="310"/>
      <c r="XAA51" s="310"/>
      <c r="XAB51" s="310"/>
      <c r="XAC51" s="310"/>
      <c r="XAD51" s="310"/>
      <c r="XAE51" s="310"/>
      <c r="XAF51" s="310"/>
      <c r="XAG51" s="310"/>
      <c r="XAH51" s="310"/>
      <c r="XAI51" s="310"/>
      <c r="XAJ51" s="310"/>
      <c r="XAK51" s="310"/>
      <c r="XAL51" s="310"/>
      <c r="XAM51" s="310"/>
      <c r="XAN51" s="310"/>
      <c r="XAO51" s="310"/>
      <c r="XAP51" s="310"/>
      <c r="XAQ51" s="310"/>
      <c r="XAR51" s="310"/>
      <c r="XAS51" s="310"/>
      <c r="XAT51" s="310"/>
      <c r="XAU51" s="310"/>
      <c r="XAV51" s="310"/>
      <c r="XAW51" s="310"/>
      <c r="XAX51" s="310"/>
      <c r="XAY51" s="310"/>
      <c r="XAZ51" s="310"/>
      <c r="XBA51" s="310"/>
      <c r="XBB51" s="310"/>
      <c r="XBC51" s="310"/>
      <c r="XBD51" s="310"/>
      <c r="XBE51" s="310"/>
      <c r="XBF51" s="310"/>
      <c r="XBG51" s="310"/>
      <c r="XBH51" s="310"/>
      <c r="XBI51" s="310"/>
      <c r="XBJ51" s="310"/>
      <c r="XBK51" s="310"/>
      <c r="XBL51" s="310"/>
      <c r="XBM51" s="310"/>
      <c r="XBN51" s="310"/>
      <c r="XBO51" s="310"/>
      <c r="XBP51" s="310"/>
      <c r="XBQ51" s="310"/>
      <c r="XBR51" s="310"/>
      <c r="XBS51" s="310"/>
      <c r="XBT51" s="310"/>
      <c r="XBU51" s="310"/>
      <c r="XBV51" s="310"/>
      <c r="XBW51" s="310"/>
      <c r="XBX51" s="310"/>
      <c r="XBY51" s="310"/>
      <c r="XBZ51" s="310"/>
      <c r="XCA51" s="310"/>
      <c r="XCB51" s="310"/>
      <c r="XCC51" s="310"/>
      <c r="XCD51" s="310"/>
      <c r="XCE51" s="310"/>
      <c r="XCF51" s="310"/>
      <c r="XCG51" s="310"/>
      <c r="XCH51" s="310"/>
      <c r="XCI51" s="310"/>
      <c r="XCJ51" s="310"/>
      <c r="XCK51" s="310"/>
      <c r="XCL51" s="310"/>
      <c r="XCM51" s="310"/>
      <c r="XCN51" s="310"/>
      <c r="XCO51" s="310"/>
      <c r="XCP51" s="310"/>
      <c r="XCQ51" s="310"/>
      <c r="XCR51" s="310"/>
      <c r="XCS51" s="310"/>
      <c r="XCT51" s="310"/>
      <c r="XCU51" s="310"/>
      <c r="XCV51" s="310"/>
      <c r="XCW51" s="310"/>
      <c r="XCX51" s="310"/>
      <c r="XCY51" s="310"/>
      <c r="XCZ51" s="310"/>
      <c r="XDA51" s="310"/>
      <c r="XDB51" s="310"/>
      <c r="XDC51" s="310"/>
      <c r="XDD51" s="310"/>
      <c r="XDE51" s="310"/>
      <c r="XDF51" s="310"/>
      <c r="XDG51" s="310"/>
      <c r="XDH51" s="310"/>
      <c r="XDI51" s="310"/>
      <c r="XDJ51" s="310"/>
      <c r="XDK51" s="310"/>
      <c r="XDL51" s="310"/>
      <c r="XDM51" s="310"/>
      <c r="XDN51" s="310"/>
      <c r="XDO51" s="310"/>
      <c r="XDP51" s="310"/>
      <c r="XDQ51" s="310"/>
      <c r="XDR51" s="310"/>
      <c r="XDS51" s="310"/>
      <c r="XDT51" s="310"/>
      <c r="XDU51" s="310"/>
      <c r="XDV51" s="310"/>
      <c r="XDW51" s="310"/>
      <c r="XDX51" s="310"/>
      <c r="XDY51" s="310"/>
      <c r="XDZ51" s="310"/>
      <c r="XEA51" s="310"/>
      <c r="XEB51" s="310"/>
      <c r="XEC51" s="310"/>
      <c r="XED51" s="310"/>
      <c r="XEE51" s="310"/>
      <c r="XEF51" s="310"/>
      <c r="XEG51" s="310"/>
      <c r="XEH51" s="310"/>
      <c r="XEI51" s="310"/>
      <c r="XEJ51" s="310"/>
      <c r="XEK51" s="310"/>
      <c r="XEL51" s="310"/>
      <c r="XEM51" s="310"/>
      <c r="XEN51" s="310"/>
      <c r="XEO51" s="310"/>
      <c r="XEP51" s="310"/>
      <c r="XEQ51" s="310"/>
      <c r="XER51" s="310"/>
      <c r="XES51" s="310"/>
      <c r="XET51" s="310"/>
      <c r="XEU51" s="310"/>
      <c r="XEV51" s="310"/>
      <c r="XEW51" s="310"/>
      <c r="XEX51" s="310"/>
    </row>
    <row r="52" spans="1:16378" ht="11.25" outlineLevel="1" x14ac:dyDescent="0.2">
      <c r="J52" s="766"/>
      <c r="S52" s="766"/>
      <c r="T52" s="766"/>
      <c r="U52" s="766"/>
      <c r="V52" s="766"/>
      <c r="W52" s="766"/>
      <c r="X52" s="766"/>
      <c r="Y52" s="766"/>
      <c r="Z52" s="766"/>
      <c r="AA52" s="766"/>
      <c r="AB52" s="766"/>
    </row>
    <row r="53" spans="1:16378" ht="11.25" x14ac:dyDescent="0.2">
      <c r="E53" s="723" t="s">
        <v>132</v>
      </c>
      <c r="F53" s="724"/>
      <c r="G53" s="724"/>
      <c r="H53" s="724"/>
      <c r="I53" s="725"/>
      <c r="J53" s="767">
        <f t="shared" ref="J53:R53" si="8">SUM(J38:J44)</f>
        <v>1076991</v>
      </c>
      <c r="K53" s="767">
        <f t="shared" si="8"/>
        <v>1145000</v>
      </c>
      <c r="L53" s="767">
        <f t="shared" si="8"/>
        <v>1200000</v>
      </c>
      <c r="M53" s="767">
        <f t="shared" si="8"/>
        <v>1200000</v>
      </c>
      <c r="N53" s="767">
        <f t="shared" ca="1" si="8"/>
        <v>1415254.0309172999</v>
      </c>
      <c r="O53" s="767">
        <f t="shared" ca="1" si="8"/>
        <v>1468053.2555374049</v>
      </c>
      <c r="P53" s="767">
        <f t="shared" ca="1" si="8"/>
        <v>1523372.3927783412</v>
      </c>
      <c r="Q53" s="767">
        <f t="shared" ca="1" si="8"/>
        <v>1581350.6726941683</v>
      </c>
      <c r="R53" s="767">
        <f t="shared" ca="1" si="8"/>
        <v>1642135.8294337688</v>
      </c>
      <c r="S53" s="767">
        <f t="shared" ref="S53:AB53" ca="1" si="9">SUM(S38:S44)</f>
        <v>1698008.8346265743</v>
      </c>
      <c r="T53" s="767">
        <f t="shared" ca="1" si="9"/>
        <v>1756118.8302345918</v>
      </c>
      <c r="U53" s="767">
        <f t="shared" ca="1" si="9"/>
        <v>1816565.8152118556</v>
      </c>
      <c r="V53" s="767">
        <f t="shared" ca="1" si="9"/>
        <v>1879454.6485199898</v>
      </c>
      <c r="W53" s="767">
        <f t="shared" ca="1" si="9"/>
        <v>1944895.2985088492</v>
      </c>
      <c r="X53" s="767">
        <f t="shared" ca="1" si="9"/>
        <v>2013003.105507453</v>
      </c>
      <c r="Y53" s="767">
        <f t="shared" ca="1" si="9"/>
        <v>2083899.0583374163</v>
      </c>
      <c r="Z53" s="767">
        <f t="shared" ca="1" si="9"/>
        <v>2157710.0854998319</v>
      </c>
      <c r="AA53" s="767">
        <f t="shared" ca="1" si="9"/>
        <v>2234569.3618274392</v>
      </c>
      <c r="AB53" s="767">
        <f t="shared" ca="1" si="9"/>
        <v>2314616.6314370274</v>
      </c>
      <c r="AC53" s="686"/>
      <c r="AD53" s="686"/>
      <c r="AE53" s="686"/>
      <c r="AF53" s="686"/>
      <c r="AG53" s="686"/>
      <c r="AH53" s="686"/>
      <c r="AI53" s="686"/>
    </row>
    <row r="54" spans="1:16378" ht="6" customHeight="1" x14ac:dyDescent="0.2">
      <c r="F54" s="642"/>
      <c r="G54" s="642"/>
      <c r="H54" s="642"/>
      <c r="J54" s="440"/>
      <c r="K54" s="440"/>
      <c r="L54" s="772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</row>
    <row r="55" spans="1:16378" ht="11.25" customHeight="1" x14ac:dyDescent="0.2">
      <c r="E55" s="726" t="s">
        <v>348</v>
      </c>
      <c r="F55" s="726"/>
      <c r="G55" s="726"/>
      <c r="H55" s="726"/>
      <c r="I55" s="727"/>
      <c r="J55" s="773">
        <f t="shared" ref="J55:R55" si="10">J34-J53</f>
        <v>368688</v>
      </c>
      <c r="K55" s="773">
        <f t="shared" si="10"/>
        <v>343000</v>
      </c>
      <c r="L55" s="773">
        <f t="shared" si="10"/>
        <v>353000</v>
      </c>
      <c r="M55" s="773">
        <f t="shared" si="10"/>
        <v>330000</v>
      </c>
      <c r="N55" s="773">
        <f t="shared" ca="1" si="10"/>
        <v>-267660.13159099594</v>
      </c>
      <c r="O55" s="773">
        <f t="shared" ca="1" si="10"/>
        <v>-291839.59449614794</v>
      </c>
      <c r="P55" s="773">
        <f t="shared" ca="1" si="10"/>
        <v>-327175.75222357968</v>
      </c>
      <c r="Q55" s="773">
        <f t="shared" ca="1" si="10"/>
        <v>-359337.62681920198</v>
      </c>
      <c r="R55" s="773">
        <f t="shared" ca="1" si="10"/>
        <v>-384268.3735230309</v>
      </c>
      <c r="S55" s="773">
        <f t="shared" ref="S55:AB55" ca="1" si="11">S34-S53</f>
        <v>-403512.34401288955</v>
      </c>
      <c r="T55" s="773">
        <f t="shared" ca="1" si="11"/>
        <v>-423803.17782113887</v>
      </c>
      <c r="U55" s="773">
        <f t="shared" ca="1" si="11"/>
        <v>-444991.38072746783</v>
      </c>
      <c r="V55" s="773">
        <f t="shared" ca="1" si="11"/>
        <v>-467128.71831744141</v>
      </c>
      <c r="W55" s="773">
        <f t="shared" ca="1" si="11"/>
        <v>-490243.84150135238</v>
      </c>
      <c r="X55" s="773">
        <f t="shared" ca="1" si="11"/>
        <v>-514507.64208675548</v>
      </c>
      <c r="Y55" s="773">
        <f t="shared" ca="1" si="11"/>
        <v>-539970.46685638721</v>
      </c>
      <c r="Z55" s="773">
        <f t="shared" ca="1" si="11"/>
        <v>-566602.41082875896</v>
      </c>
      <c r="AA55" s="773">
        <f t="shared" ca="1" si="11"/>
        <v>-594461.7701469427</v>
      </c>
      <c r="AB55" s="773">
        <f t="shared" ca="1" si="11"/>
        <v>-623585.42664448428</v>
      </c>
    </row>
    <row r="56" spans="1:16378" ht="5.25" customHeight="1" x14ac:dyDescent="0.2">
      <c r="F56" s="642"/>
      <c r="G56" s="642"/>
      <c r="H56" s="642"/>
      <c r="K56" s="440"/>
      <c r="L56" s="800"/>
      <c r="M56" s="800"/>
      <c r="N56" s="800"/>
      <c r="O56" s="800"/>
      <c r="P56" s="800"/>
      <c r="Q56" s="800"/>
      <c r="R56" s="800"/>
      <c r="S56" s="800"/>
      <c r="T56" s="800"/>
      <c r="U56" s="800"/>
      <c r="V56" s="800"/>
      <c r="W56" s="800"/>
      <c r="X56" s="800"/>
      <c r="Y56" s="800"/>
      <c r="Z56" s="800"/>
      <c r="AA56" s="800"/>
      <c r="AB56" s="800"/>
    </row>
    <row r="57" spans="1:16378" ht="12" customHeight="1" x14ac:dyDescent="0.2">
      <c r="E57" s="641" t="s">
        <v>343</v>
      </c>
      <c r="J57" s="440">
        <f>SUM(J58:J60)</f>
        <v>-73796</v>
      </c>
      <c r="K57" s="440">
        <f>SUM(K58:K60)</f>
        <v>111837</v>
      </c>
      <c r="L57" s="440">
        <f>SUM(L58:L60)</f>
        <v>40789</v>
      </c>
      <c r="M57" s="440">
        <f>SUM(M58:M60)</f>
        <v>-42449</v>
      </c>
      <c r="N57" s="440">
        <f>SUM(N58:N60)</f>
        <v>65000</v>
      </c>
      <c r="O57" s="440">
        <v>0</v>
      </c>
      <c r="P57" s="440">
        <v>0</v>
      </c>
      <c r="Q57" s="440">
        <v>0</v>
      </c>
      <c r="R57" s="440">
        <v>0</v>
      </c>
      <c r="S57" s="440">
        <v>0</v>
      </c>
      <c r="T57" s="440">
        <v>0</v>
      </c>
      <c r="U57" s="440">
        <v>0</v>
      </c>
      <c r="V57" s="440">
        <v>0</v>
      </c>
      <c r="W57" s="440">
        <v>0</v>
      </c>
      <c r="X57" s="440">
        <v>0</v>
      </c>
      <c r="Y57" s="440">
        <v>0</v>
      </c>
      <c r="Z57" s="440">
        <v>0</v>
      </c>
      <c r="AA57" s="440">
        <v>0</v>
      </c>
      <c r="AB57" s="440">
        <v>0</v>
      </c>
    </row>
    <row r="58" spans="1:16378" ht="11.25" outlineLevel="1" x14ac:dyDescent="0.2">
      <c r="E58" s="750" t="s">
        <v>387</v>
      </c>
      <c r="F58" s="751"/>
      <c r="G58" s="751"/>
      <c r="H58" s="751"/>
      <c r="I58" s="751"/>
      <c r="J58" s="765">
        <v>-75127</v>
      </c>
      <c r="K58" s="765">
        <v>78880</v>
      </c>
      <c r="L58" s="765">
        <v>7402</v>
      </c>
      <c r="M58" s="774">
        <v>-60500</v>
      </c>
      <c r="N58" s="774">
        <v>50000</v>
      </c>
      <c r="O58" s="774"/>
      <c r="P58" s="774"/>
      <c r="Q58" s="774"/>
      <c r="R58" s="774"/>
      <c r="S58" s="774"/>
      <c r="T58" s="774"/>
      <c r="U58" s="774"/>
      <c r="V58" s="774"/>
      <c r="W58" s="774"/>
      <c r="X58" s="774"/>
      <c r="Y58" s="774"/>
      <c r="Z58" s="774"/>
      <c r="AA58" s="774"/>
      <c r="AB58" s="774"/>
    </row>
    <row r="59" spans="1:16378" ht="11.25" outlineLevel="1" x14ac:dyDescent="0.2">
      <c r="E59" s="750" t="s">
        <v>388</v>
      </c>
      <c r="F59" s="751"/>
      <c r="G59" s="751"/>
      <c r="H59" s="751"/>
      <c r="I59" s="751"/>
      <c r="J59" s="765">
        <v>13868</v>
      </c>
      <c r="K59" s="765">
        <v>18414</v>
      </c>
      <c r="L59" s="765">
        <v>30749</v>
      </c>
      <c r="M59" s="774">
        <v>11263</v>
      </c>
      <c r="N59" s="774">
        <v>10000</v>
      </c>
      <c r="O59" s="774"/>
      <c r="P59" s="774"/>
      <c r="Q59" s="774"/>
      <c r="R59" s="774"/>
      <c r="S59" s="774"/>
      <c r="T59" s="774"/>
      <c r="U59" s="774"/>
      <c r="V59" s="774"/>
      <c r="W59" s="774"/>
      <c r="X59" s="774"/>
      <c r="Y59" s="774"/>
      <c r="Z59" s="774"/>
      <c r="AA59" s="774"/>
      <c r="AB59" s="774"/>
    </row>
    <row r="60" spans="1:16378" ht="11.25" outlineLevel="1" x14ac:dyDescent="0.2">
      <c r="E60" s="750" t="s">
        <v>373</v>
      </c>
      <c r="F60" s="751"/>
      <c r="G60" s="751"/>
      <c r="H60" s="751"/>
      <c r="I60" s="751"/>
      <c r="J60" s="765">
        <v>-12537</v>
      </c>
      <c r="K60" s="765">
        <v>14543</v>
      </c>
      <c r="L60" s="765">
        <v>2638</v>
      </c>
      <c r="M60" s="774">
        <v>6788</v>
      </c>
      <c r="N60" s="774">
        <v>5000</v>
      </c>
      <c r="O60" s="774"/>
      <c r="P60" s="774"/>
      <c r="Q60" s="774"/>
      <c r="R60" s="774"/>
      <c r="S60" s="774"/>
      <c r="T60" s="774"/>
      <c r="U60" s="774"/>
      <c r="V60" s="774"/>
      <c r="W60" s="774"/>
      <c r="X60" s="774"/>
      <c r="Y60" s="774"/>
      <c r="Z60" s="774"/>
      <c r="AA60" s="774"/>
      <c r="AB60" s="774"/>
    </row>
    <row r="61" spans="1:16378" s="729" customFormat="1" ht="11.25" outlineLevel="1" x14ac:dyDescent="0.2">
      <c r="A61" s="824"/>
      <c r="B61" s="824"/>
      <c r="C61" s="824"/>
      <c r="D61" s="825"/>
      <c r="E61" s="833" t="s">
        <v>364</v>
      </c>
      <c r="J61" s="826"/>
      <c r="K61" s="827"/>
      <c r="L61" s="827"/>
      <c r="M61" s="827"/>
      <c r="N61" s="827">
        <f>Scenarios!K72</f>
        <v>0</v>
      </c>
      <c r="O61" s="827">
        <f>Scenarios!L72</f>
        <v>0</v>
      </c>
      <c r="P61" s="827">
        <f>Scenarios!M72</f>
        <v>0</v>
      </c>
      <c r="Q61" s="827">
        <f>Scenarios!N72</f>
        <v>0</v>
      </c>
      <c r="R61" s="827">
        <f>Scenarios!O72</f>
        <v>0</v>
      </c>
      <c r="S61" s="827">
        <f t="shared" ref="S61:AB61" si="12">R61*(1+gr_Inflation)</f>
        <v>0</v>
      </c>
      <c r="T61" s="827">
        <f t="shared" si="12"/>
        <v>0</v>
      </c>
      <c r="U61" s="827">
        <f t="shared" si="12"/>
        <v>0</v>
      </c>
      <c r="V61" s="827">
        <f t="shared" si="12"/>
        <v>0</v>
      </c>
      <c r="W61" s="827">
        <f t="shared" si="12"/>
        <v>0</v>
      </c>
      <c r="X61" s="827">
        <f t="shared" si="12"/>
        <v>0</v>
      </c>
      <c r="Y61" s="827">
        <f t="shared" si="12"/>
        <v>0</v>
      </c>
      <c r="Z61" s="827">
        <f t="shared" si="12"/>
        <v>0</v>
      </c>
      <c r="AA61" s="827">
        <f t="shared" si="12"/>
        <v>0</v>
      </c>
      <c r="AB61" s="827">
        <f t="shared" si="12"/>
        <v>0</v>
      </c>
    </row>
    <row r="62" spans="1:16378" ht="4.5" customHeight="1" x14ac:dyDescent="0.2">
      <c r="E62" s="738"/>
      <c r="K62" s="440"/>
      <c r="L62" s="440"/>
      <c r="M62" s="440"/>
      <c r="N62" s="440"/>
      <c r="O62" s="440"/>
      <c r="P62" s="440"/>
      <c r="Q62" s="440"/>
      <c r="R62" s="440"/>
      <c r="S62" s="440"/>
      <c r="T62" s="440"/>
      <c r="U62" s="440"/>
      <c r="V62" s="440"/>
      <c r="W62" s="440"/>
      <c r="X62" s="440"/>
      <c r="Y62" s="440"/>
      <c r="Z62" s="440"/>
      <c r="AA62" s="440"/>
      <c r="AB62" s="440"/>
    </row>
    <row r="63" spans="1:16378" ht="11.25" x14ac:dyDescent="0.2">
      <c r="E63" s="726" t="s">
        <v>345</v>
      </c>
      <c r="F63" s="726"/>
      <c r="G63" s="726"/>
      <c r="H63" s="726"/>
      <c r="I63" s="725"/>
      <c r="J63" s="773">
        <f>J55+J57</f>
        <v>294892</v>
      </c>
      <c r="K63" s="773">
        <f>K55+K57</f>
        <v>454837</v>
      </c>
      <c r="L63" s="773">
        <f>L55+L57</f>
        <v>393789</v>
      </c>
      <c r="M63" s="773">
        <f>M55+M57</f>
        <v>287551</v>
      </c>
      <c r="N63" s="773">
        <f ca="1">N55+N57+N61</f>
        <v>-202660.13159099594</v>
      </c>
      <c r="O63" s="773">
        <f ca="1">O55+O57+O61</f>
        <v>-291839.59449614794</v>
      </c>
      <c r="P63" s="773">
        <f ca="1">P55+P57+P61</f>
        <v>-327175.75222357968</v>
      </c>
      <c r="Q63" s="773">
        <f ca="1">Q55+Q57+Q61</f>
        <v>-359337.62681920198</v>
      </c>
      <c r="R63" s="773">
        <f ca="1">R55+R57+R61</f>
        <v>-384268.3735230309</v>
      </c>
      <c r="S63" s="773">
        <f t="shared" ref="S63:AB63" ca="1" si="13">S55+S57+S61</f>
        <v>-403512.34401288955</v>
      </c>
      <c r="T63" s="773">
        <f t="shared" ca="1" si="13"/>
        <v>-423803.17782113887</v>
      </c>
      <c r="U63" s="773">
        <f t="shared" ca="1" si="13"/>
        <v>-444991.38072746783</v>
      </c>
      <c r="V63" s="773">
        <f t="shared" ca="1" si="13"/>
        <v>-467128.71831744141</v>
      </c>
      <c r="W63" s="773">
        <f t="shared" ca="1" si="13"/>
        <v>-490243.84150135238</v>
      </c>
      <c r="X63" s="773">
        <f t="shared" ca="1" si="13"/>
        <v>-514507.64208675548</v>
      </c>
      <c r="Y63" s="773">
        <f t="shared" ca="1" si="13"/>
        <v>-539970.46685638721</v>
      </c>
      <c r="Z63" s="773">
        <f t="shared" ca="1" si="13"/>
        <v>-566602.41082875896</v>
      </c>
      <c r="AA63" s="773">
        <f t="shared" ca="1" si="13"/>
        <v>-594461.7701469427</v>
      </c>
      <c r="AB63" s="773">
        <f t="shared" ca="1" si="13"/>
        <v>-623585.42664448428</v>
      </c>
    </row>
    <row r="64" spans="1:16378" ht="5.25" customHeight="1" x14ac:dyDescent="0.2">
      <c r="E64" s="729"/>
      <c r="K64" s="440"/>
      <c r="L64" s="648"/>
      <c r="M64" s="648"/>
      <c r="N64" s="648"/>
      <c r="O64" s="648"/>
      <c r="P64" s="648"/>
      <c r="Q64" s="648"/>
      <c r="R64" s="648"/>
      <c r="S64" s="648"/>
      <c r="T64" s="648"/>
      <c r="U64" s="648"/>
      <c r="V64" s="648"/>
      <c r="W64" s="648"/>
      <c r="X64" s="648"/>
      <c r="Y64" s="648"/>
      <c r="Z64" s="648"/>
      <c r="AA64" s="648"/>
      <c r="AB64" s="648"/>
    </row>
    <row r="65" spans="1:28" ht="11.25" outlineLevel="1" x14ac:dyDescent="0.2">
      <c r="E65" s="732" t="s">
        <v>371</v>
      </c>
      <c r="K65" s="440"/>
      <c r="L65" s="440"/>
      <c r="M65" s="440"/>
      <c r="N65" s="440"/>
      <c r="O65" s="440"/>
      <c r="P65" s="440"/>
      <c r="Q65" s="440"/>
      <c r="R65" s="440"/>
      <c r="S65" s="440"/>
      <c r="T65" s="440"/>
      <c r="U65" s="440"/>
      <c r="V65" s="440"/>
      <c r="W65" s="440"/>
      <c r="X65" s="440"/>
      <c r="Y65" s="440"/>
      <c r="Z65" s="440"/>
      <c r="AA65" s="440"/>
      <c r="AB65" s="440"/>
    </row>
    <row r="66" spans="1:28" ht="11.25" outlineLevel="1" x14ac:dyDescent="0.2">
      <c r="E66" s="687" t="s">
        <v>389</v>
      </c>
      <c r="H66" s="643"/>
      <c r="J66" s="440">
        <f>-76104-27864</f>
        <v>-103968</v>
      </c>
      <c r="K66" s="440">
        <f>-91697-24690</f>
        <v>-116387</v>
      </c>
      <c r="L66" s="440">
        <f>-79854-16349-3537</f>
        <v>-99740</v>
      </c>
      <c r="M66" s="440">
        <f>-90073-18733</f>
        <v>-108806</v>
      </c>
      <c r="N66" s="440">
        <v>-100000</v>
      </c>
      <c r="O66" s="440">
        <v>-100000</v>
      </c>
      <c r="P66" s="440">
        <v>-100000</v>
      </c>
      <c r="Q66" s="440">
        <v>-100000</v>
      </c>
      <c r="R66" s="440">
        <v>-100000</v>
      </c>
      <c r="S66" s="440">
        <f>-105678.43363-24876.9630226853</f>
        <v>-130555.3966526853</v>
      </c>
      <c r="T66" s="440">
        <f>-104356.64113-24876.9630226853</f>
        <v>-129233.60415268531</v>
      </c>
      <c r="U66" s="440">
        <f>-103739.74389-24876.9630226853</f>
        <v>-128616.7069126853</v>
      </c>
      <c r="V66" s="440">
        <f>-102166.39505-24876.9630226853</f>
        <v>-127043.35807268531</v>
      </c>
      <c r="W66" s="440">
        <f>-108720.68204-24876.9630226853</f>
        <v>-133597.6450626853</v>
      </c>
      <c r="X66" s="440">
        <f>-114813.24693-24876.9630226853</f>
        <v>-139690.20995268528</v>
      </c>
      <c r="Y66" s="440">
        <f>-114876.06685-24876.9630226853</f>
        <v>-139753.02987268529</v>
      </c>
      <c r="Z66" s="440">
        <f>-114651.14145-24876.9630226853</f>
        <v>-139528.10447268529</v>
      </c>
      <c r="AA66" s="440">
        <f>-112482.27426-24876.9630226853</f>
        <v>-137359.2372826853</v>
      </c>
      <c r="AB66" s="440">
        <f>-109482.38085-24876.9630226853</f>
        <v>-134359.34387268531</v>
      </c>
    </row>
    <row r="67" spans="1:28" ht="11.25" outlineLevel="1" x14ac:dyDescent="0.2">
      <c r="E67" s="687" t="s">
        <v>390</v>
      </c>
      <c r="H67" s="643" t="s">
        <v>14</v>
      </c>
      <c r="J67" s="440">
        <v>-42176</v>
      </c>
      <c r="K67" s="440">
        <v>-15024</v>
      </c>
      <c r="L67" s="440">
        <v>-121819</v>
      </c>
      <c r="M67" s="440">
        <f t="shared" ref="M67:R67" si="14">SUM(M68:M73)</f>
        <v>-106003</v>
      </c>
      <c r="N67" s="440">
        <f t="shared" si="14"/>
        <v>-110000</v>
      </c>
      <c r="O67" s="440">
        <f t="shared" si="14"/>
        <v>-110000</v>
      </c>
      <c r="P67" s="440">
        <f t="shared" si="14"/>
        <v>-120000</v>
      </c>
      <c r="Q67" s="440">
        <f t="shared" si="14"/>
        <v>-130000</v>
      </c>
      <c r="R67" s="440">
        <f t="shared" si="14"/>
        <v>-130000</v>
      </c>
      <c r="S67" s="440">
        <f t="shared" ref="S67:AB67" si="15">SUM(S68:S73)</f>
        <v>-110000</v>
      </c>
      <c r="T67" s="440">
        <f t="shared" si="15"/>
        <v>-110000</v>
      </c>
      <c r="U67" s="440">
        <f t="shared" si="15"/>
        <v>-110000</v>
      </c>
      <c r="V67" s="440">
        <f t="shared" si="15"/>
        <v>-110000</v>
      </c>
      <c r="W67" s="440">
        <f t="shared" si="15"/>
        <v>-110000</v>
      </c>
      <c r="X67" s="440">
        <f t="shared" si="15"/>
        <v>-110000</v>
      </c>
      <c r="Y67" s="440">
        <f t="shared" si="15"/>
        <v>-110000</v>
      </c>
      <c r="Z67" s="440">
        <f t="shared" si="15"/>
        <v>-110000</v>
      </c>
      <c r="AA67" s="440">
        <f t="shared" si="15"/>
        <v>-110000</v>
      </c>
      <c r="AB67" s="440">
        <f t="shared" si="15"/>
        <v>-110000</v>
      </c>
    </row>
    <row r="68" spans="1:28" s="751" customFormat="1" ht="11.25" outlineLevel="2" x14ac:dyDescent="0.2">
      <c r="A68" s="752"/>
      <c r="B68" s="752"/>
      <c r="C68" s="752"/>
      <c r="D68" s="753"/>
      <c r="E68" s="750" t="s">
        <v>393</v>
      </c>
      <c r="F68" s="754"/>
      <c r="G68" s="754"/>
      <c r="H68" s="754"/>
      <c r="I68" s="754"/>
      <c r="J68" s="765"/>
      <c r="K68" s="765"/>
      <c r="L68" s="765"/>
      <c r="M68" s="765">
        <f>'1. SRECNA'!S72</f>
        <v>10000</v>
      </c>
      <c r="N68" s="765">
        <v>0</v>
      </c>
      <c r="O68" s="765">
        <v>0</v>
      </c>
      <c r="P68" s="765">
        <v>0</v>
      </c>
      <c r="Q68" s="765">
        <v>0</v>
      </c>
      <c r="R68" s="765">
        <v>0</v>
      </c>
      <c r="S68" s="765">
        <v>10000</v>
      </c>
      <c r="T68" s="765">
        <v>10000</v>
      </c>
      <c r="U68" s="765">
        <v>10000</v>
      </c>
      <c r="V68" s="765">
        <v>10000</v>
      </c>
      <c r="W68" s="765">
        <v>10000</v>
      </c>
      <c r="X68" s="765">
        <v>10000</v>
      </c>
      <c r="Y68" s="765">
        <v>10000</v>
      </c>
      <c r="Z68" s="765">
        <v>10000</v>
      </c>
      <c r="AA68" s="765">
        <v>10000</v>
      </c>
      <c r="AB68" s="765">
        <v>10000</v>
      </c>
    </row>
    <row r="69" spans="1:28" s="751" customFormat="1" ht="11.25" outlineLevel="2" x14ac:dyDescent="0.2">
      <c r="A69" s="752"/>
      <c r="B69" s="752"/>
      <c r="C69" s="752"/>
      <c r="D69" s="753"/>
      <c r="E69" s="750" t="s">
        <v>394</v>
      </c>
      <c r="F69" s="754"/>
      <c r="G69" s="754"/>
      <c r="H69" s="754"/>
      <c r="I69" s="754"/>
      <c r="J69" s="765"/>
      <c r="K69" s="765"/>
      <c r="L69" s="765"/>
      <c r="M69" s="765">
        <v>9755</v>
      </c>
      <c r="N69" s="765">
        <v>0</v>
      </c>
      <c r="O69" s="765">
        <v>0</v>
      </c>
      <c r="P69" s="765">
        <v>0</v>
      </c>
      <c r="Q69" s="765">
        <v>0</v>
      </c>
      <c r="R69" s="765">
        <v>0</v>
      </c>
      <c r="S69" s="765">
        <v>10000</v>
      </c>
      <c r="T69" s="765">
        <v>10000</v>
      </c>
      <c r="U69" s="765">
        <v>10000</v>
      </c>
      <c r="V69" s="765">
        <v>10000</v>
      </c>
      <c r="W69" s="765">
        <v>10000</v>
      </c>
      <c r="X69" s="765">
        <v>10000</v>
      </c>
      <c r="Y69" s="765">
        <v>10000</v>
      </c>
      <c r="Z69" s="765">
        <v>10000</v>
      </c>
      <c r="AA69" s="765">
        <v>10000</v>
      </c>
      <c r="AB69" s="765">
        <v>10000</v>
      </c>
    </row>
    <row r="70" spans="1:28" s="751" customFormat="1" ht="11.25" outlineLevel="2" x14ac:dyDescent="0.2">
      <c r="A70" s="752"/>
      <c r="B70" s="752"/>
      <c r="C70" s="752"/>
      <c r="D70" s="753"/>
      <c r="E70" s="750" t="s">
        <v>395</v>
      </c>
      <c r="F70" s="754"/>
      <c r="G70" s="754"/>
      <c r="H70" s="754"/>
      <c r="I70" s="754"/>
      <c r="J70" s="765"/>
      <c r="K70" s="765"/>
      <c r="L70" s="765"/>
      <c r="M70" s="765">
        <v>17183</v>
      </c>
      <c r="N70" s="765">
        <v>25000</v>
      </c>
      <c r="O70" s="765">
        <v>25000</v>
      </c>
      <c r="P70" s="765">
        <v>25000</v>
      </c>
      <c r="Q70" s="765">
        <v>25000</v>
      </c>
      <c r="R70" s="765">
        <v>25000</v>
      </c>
      <c r="S70" s="765">
        <v>25000</v>
      </c>
      <c r="T70" s="765">
        <v>25000</v>
      </c>
      <c r="U70" s="765">
        <v>25000</v>
      </c>
      <c r="V70" s="765">
        <v>25000</v>
      </c>
      <c r="W70" s="765">
        <v>25000</v>
      </c>
      <c r="X70" s="765">
        <v>25000</v>
      </c>
      <c r="Y70" s="765">
        <v>25000</v>
      </c>
      <c r="Z70" s="765">
        <v>25000</v>
      </c>
      <c r="AA70" s="765">
        <v>25000</v>
      </c>
      <c r="AB70" s="765">
        <v>25000</v>
      </c>
    </row>
    <row r="71" spans="1:28" s="751" customFormat="1" ht="11.25" outlineLevel="2" x14ac:dyDescent="0.2">
      <c r="A71" s="752"/>
      <c r="B71" s="752"/>
      <c r="C71" s="752"/>
      <c r="D71" s="753"/>
      <c r="E71" s="750" t="s">
        <v>396</v>
      </c>
      <c r="F71" s="754"/>
      <c r="G71" s="754"/>
      <c r="H71" s="754"/>
      <c r="I71" s="754"/>
      <c r="J71" s="765"/>
      <c r="K71" s="765"/>
      <c r="L71" s="765"/>
      <c r="M71" s="765"/>
      <c r="N71" s="765">
        <v>-70000</v>
      </c>
      <c r="O71" s="765">
        <v>-70000</v>
      </c>
      <c r="P71" s="765">
        <v>-70000</v>
      </c>
      <c r="Q71" s="765">
        <v>-70000</v>
      </c>
      <c r="R71" s="765">
        <v>-70000</v>
      </c>
      <c r="S71" s="765">
        <v>-70000</v>
      </c>
      <c r="T71" s="765">
        <v>-70000</v>
      </c>
      <c r="U71" s="765">
        <v>-70000</v>
      </c>
      <c r="V71" s="765">
        <v>-70000</v>
      </c>
      <c r="W71" s="765">
        <v>-70000</v>
      </c>
      <c r="X71" s="765">
        <v>-70000</v>
      </c>
      <c r="Y71" s="765">
        <v>-70000</v>
      </c>
      <c r="Z71" s="765">
        <v>-70000</v>
      </c>
      <c r="AA71" s="765">
        <v>-70000</v>
      </c>
      <c r="AB71" s="765">
        <v>-70000</v>
      </c>
    </row>
    <row r="72" spans="1:28" s="751" customFormat="1" ht="11.25" outlineLevel="2" x14ac:dyDescent="0.2">
      <c r="A72" s="752"/>
      <c r="B72" s="752"/>
      <c r="C72" s="752"/>
      <c r="D72" s="753"/>
      <c r="E72" s="750" t="s">
        <v>397</v>
      </c>
      <c r="F72" s="754"/>
      <c r="G72" s="754"/>
      <c r="H72" s="754"/>
      <c r="I72" s="754"/>
      <c r="J72" s="765"/>
      <c r="K72" s="765"/>
      <c r="L72" s="765"/>
      <c r="M72" s="765"/>
      <c r="N72" s="765">
        <v>-40000</v>
      </c>
      <c r="O72" s="765">
        <v>-40000</v>
      </c>
      <c r="P72" s="765">
        <v>-50000</v>
      </c>
      <c r="Q72" s="765">
        <v>-60000</v>
      </c>
      <c r="R72" s="765">
        <v>-60000</v>
      </c>
      <c r="S72" s="765">
        <v>-60000</v>
      </c>
      <c r="T72" s="765">
        <v>-60000</v>
      </c>
      <c r="U72" s="765">
        <v>-60000</v>
      </c>
      <c r="V72" s="765">
        <v>-60000</v>
      </c>
      <c r="W72" s="765">
        <v>-60000</v>
      </c>
      <c r="X72" s="765">
        <v>-60000</v>
      </c>
      <c r="Y72" s="765">
        <v>-60000</v>
      </c>
      <c r="Z72" s="765">
        <v>-60000</v>
      </c>
      <c r="AA72" s="765">
        <v>-60000</v>
      </c>
      <c r="AB72" s="765">
        <v>-60000</v>
      </c>
    </row>
    <row r="73" spans="1:28" s="751" customFormat="1" ht="11.25" outlineLevel="2" x14ac:dyDescent="0.2">
      <c r="A73" s="752"/>
      <c r="B73" s="752"/>
      <c r="C73" s="752"/>
      <c r="D73" s="753"/>
      <c r="E73" s="750" t="s">
        <v>398</v>
      </c>
      <c r="F73" s="754"/>
      <c r="G73" s="754"/>
      <c r="H73" s="754"/>
      <c r="I73" s="754"/>
      <c r="J73" s="765"/>
      <c r="K73" s="765"/>
      <c r="L73" s="765"/>
      <c r="M73" s="765">
        <v>-142941</v>
      </c>
      <c r="N73" s="765">
        <v>-25000</v>
      </c>
      <c r="O73" s="765">
        <v>-25000</v>
      </c>
      <c r="P73" s="765">
        <v>-25000</v>
      </c>
      <c r="Q73" s="765">
        <v>-25000</v>
      </c>
      <c r="R73" s="765">
        <v>-25000</v>
      </c>
      <c r="S73" s="765">
        <v>-25000</v>
      </c>
      <c r="T73" s="765">
        <v>-25000</v>
      </c>
      <c r="U73" s="765">
        <v>-25000</v>
      </c>
      <c r="V73" s="765">
        <v>-25000</v>
      </c>
      <c r="W73" s="765">
        <v>-25000</v>
      </c>
      <c r="X73" s="765">
        <v>-25000</v>
      </c>
      <c r="Y73" s="765">
        <v>-25000</v>
      </c>
      <c r="Z73" s="765">
        <v>-25000</v>
      </c>
      <c r="AA73" s="765">
        <v>-25000</v>
      </c>
      <c r="AB73" s="765">
        <v>-25000</v>
      </c>
    </row>
    <row r="74" spans="1:28" s="751" customFormat="1" ht="4.5" customHeight="1" outlineLevel="1" x14ac:dyDescent="0.2">
      <c r="A74" s="752"/>
      <c r="B74" s="752"/>
      <c r="C74" s="752"/>
      <c r="D74" s="753"/>
      <c r="E74" s="755"/>
      <c r="F74" s="754"/>
      <c r="G74" s="754"/>
      <c r="H74" s="754"/>
      <c r="I74" s="754"/>
      <c r="J74" s="765"/>
      <c r="K74" s="765"/>
      <c r="L74" s="765"/>
      <c r="M74" s="765"/>
      <c r="N74" s="765"/>
      <c r="O74" s="765"/>
      <c r="P74" s="765"/>
      <c r="Q74" s="765"/>
      <c r="R74" s="765"/>
      <c r="S74" s="765"/>
      <c r="T74" s="765"/>
      <c r="U74" s="765"/>
      <c r="V74" s="765"/>
      <c r="W74" s="765"/>
      <c r="X74" s="765"/>
      <c r="Y74" s="765"/>
      <c r="Z74" s="765"/>
      <c r="AA74" s="765"/>
      <c r="AB74" s="765"/>
    </row>
    <row r="75" spans="1:28" s="731" customFormat="1" ht="11.25" x14ac:dyDescent="0.2">
      <c r="A75" s="702"/>
      <c r="B75" s="702"/>
      <c r="C75" s="702"/>
      <c r="D75" s="733"/>
      <c r="E75" s="734" t="s">
        <v>344</v>
      </c>
      <c r="F75" s="735"/>
      <c r="G75" s="735"/>
      <c r="H75" s="735"/>
      <c r="I75" s="736"/>
      <c r="J75" s="775">
        <f t="shared" ref="J75:R75" si="16">J66+J67</f>
        <v>-146144</v>
      </c>
      <c r="K75" s="775">
        <f t="shared" si="16"/>
        <v>-131411</v>
      </c>
      <c r="L75" s="775">
        <f t="shared" si="16"/>
        <v>-221559</v>
      </c>
      <c r="M75" s="775">
        <f t="shared" si="16"/>
        <v>-214809</v>
      </c>
      <c r="N75" s="775">
        <f t="shared" si="16"/>
        <v>-210000</v>
      </c>
      <c r="O75" s="775">
        <f t="shared" si="16"/>
        <v>-210000</v>
      </c>
      <c r="P75" s="775">
        <f t="shared" si="16"/>
        <v>-220000</v>
      </c>
      <c r="Q75" s="775">
        <f t="shared" si="16"/>
        <v>-230000</v>
      </c>
      <c r="R75" s="775">
        <f t="shared" si="16"/>
        <v>-230000</v>
      </c>
      <c r="S75" s="775">
        <f t="shared" ref="S75:AB75" si="17">S66+S67</f>
        <v>-240555.3966526853</v>
      </c>
      <c r="T75" s="775">
        <f t="shared" si="17"/>
        <v>-239233.60415268532</v>
      </c>
      <c r="U75" s="775">
        <f t="shared" si="17"/>
        <v>-238616.7069126853</v>
      </c>
      <c r="V75" s="775">
        <f t="shared" si="17"/>
        <v>-237043.35807268531</v>
      </c>
      <c r="W75" s="775">
        <f t="shared" si="17"/>
        <v>-243597.6450626853</v>
      </c>
      <c r="X75" s="775">
        <f t="shared" si="17"/>
        <v>-249690.20995268528</v>
      </c>
      <c r="Y75" s="775">
        <f t="shared" si="17"/>
        <v>-249753.02987268529</v>
      </c>
      <c r="Z75" s="775">
        <f t="shared" si="17"/>
        <v>-249528.10447268529</v>
      </c>
      <c r="AA75" s="775">
        <f t="shared" si="17"/>
        <v>-247359.2372826853</v>
      </c>
      <c r="AB75" s="775">
        <f t="shared" si="17"/>
        <v>-244359.34387268531</v>
      </c>
    </row>
    <row r="76" spans="1:28" s="731" customFormat="1" ht="5.25" customHeight="1" x14ac:dyDescent="0.2">
      <c r="A76" s="702"/>
      <c r="B76" s="702"/>
      <c r="C76" s="702"/>
      <c r="D76" s="733"/>
      <c r="E76" s="737"/>
      <c r="I76" s="728"/>
      <c r="J76" s="776"/>
      <c r="K76" s="777"/>
      <c r="L76" s="777"/>
      <c r="M76" s="777"/>
      <c r="N76" s="777"/>
      <c r="O76" s="777"/>
      <c r="P76" s="777"/>
      <c r="Q76" s="777"/>
      <c r="R76" s="777"/>
      <c r="S76" s="777"/>
      <c r="T76" s="777"/>
      <c r="U76" s="801"/>
      <c r="V76" s="801"/>
      <c r="W76" s="801"/>
      <c r="X76" s="801"/>
      <c r="Y76" s="801"/>
      <c r="Z76" s="801"/>
      <c r="AA76" s="801"/>
      <c r="AB76" s="801"/>
    </row>
    <row r="77" spans="1:28" s="731" customFormat="1" ht="11.25" outlineLevel="1" x14ac:dyDescent="0.2">
      <c r="A77" s="702"/>
      <c r="B77" s="702"/>
      <c r="C77" s="702"/>
      <c r="D77" s="733"/>
      <c r="E77" s="732" t="s">
        <v>250</v>
      </c>
      <c r="I77" s="728"/>
      <c r="J77" s="776"/>
      <c r="K77" s="777"/>
      <c r="L77" s="777"/>
      <c r="M77" s="777"/>
      <c r="N77" s="777"/>
      <c r="O77" s="777"/>
      <c r="P77" s="777"/>
      <c r="Q77" s="777"/>
      <c r="R77" s="777"/>
      <c r="S77" s="777"/>
      <c r="T77" s="777"/>
      <c r="U77" s="777"/>
      <c r="V77" s="777"/>
      <c r="W77" s="777"/>
      <c r="X77" s="777"/>
      <c r="Y77" s="777"/>
      <c r="Z77" s="777"/>
      <c r="AA77" s="777"/>
      <c r="AB77" s="777"/>
    </row>
    <row r="78" spans="1:28" s="731" customFormat="1" ht="11.25" outlineLevel="1" x14ac:dyDescent="0.2">
      <c r="A78" s="702"/>
      <c r="B78" s="702"/>
      <c r="C78" s="702"/>
      <c r="D78" s="733"/>
      <c r="E78" s="687" t="s">
        <v>410</v>
      </c>
      <c r="H78" s="728" t="s">
        <v>14</v>
      </c>
      <c r="I78" s="728"/>
      <c r="J78" s="777">
        <f>70277+7094-('1. SRECNA'!P78+'1. SRECNA'!P79)+1200-23000</f>
        <v>40571</v>
      </c>
      <c r="K78" s="777">
        <f>63837+10647-('1. SRECNA'!Q78+'1. SRECNA'!Q79)-562-23000</f>
        <v>35922</v>
      </c>
      <c r="L78" s="777">
        <f>92893+2402-23000</f>
        <v>72295</v>
      </c>
      <c r="M78" s="777">
        <v>14762.49169568019</v>
      </c>
      <c r="N78" s="777">
        <v>-30000</v>
      </c>
      <c r="O78" s="777">
        <f t="shared" ref="O78:AB78" ca="1" si="18">N88*0</f>
        <v>0</v>
      </c>
      <c r="P78" s="777">
        <f t="shared" ca="1" si="18"/>
        <v>0</v>
      </c>
      <c r="Q78" s="777">
        <f t="shared" ca="1" si="18"/>
        <v>0</v>
      </c>
      <c r="R78" s="777">
        <f t="shared" ca="1" si="18"/>
        <v>0</v>
      </c>
      <c r="S78" s="777">
        <f t="shared" ca="1" si="18"/>
        <v>0</v>
      </c>
      <c r="T78" s="777">
        <f t="shared" ca="1" si="18"/>
        <v>0</v>
      </c>
      <c r="U78" s="777">
        <f t="shared" ca="1" si="18"/>
        <v>0</v>
      </c>
      <c r="V78" s="777">
        <f t="shared" ca="1" si="18"/>
        <v>0</v>
      </c>
      <c r="W78" s="777">
        <f t="shared" ca="1" si="18"/>
        <v>0</v>
      </c>
      <c r="X78" s="777">
        <f t="shared" ca="1" si="18"/>
        <v>0</v>
      </c>
      <c r="Y78" s="777">
        <f t="shared" ca="1" si="18"/>
        <v>0</v>
      </c>
      <c r="Z78" s="777">
        <f t="shared" ca="1" si="18"/>
        <v>0</v>
      </c>
      <c r="AA78" s="777">
        <f t="shared" ca="1" si="18"/>
        <v>0</v>
      </c>
      <c r="AB78" s="777">
        <f t="shared" ca="1" si="18"/>
        <v>0</v>
      </c>
    </row>
    <row r="79" spans="1:28" s="731" customFormat="1" ht="11.25" outlineLevel="1" x14ac:dyDescent="0.2">
      <c r="A79" s="702"/>
      <c r="B79" s="702"/>
      <c r="C79" s="702"/>
      <c r="D79" s="733"/>
      <c r="E79" s="687" t="s">
        <v>412</v>
      </c>
      <c r="H79" s="728"/>
      <c r="I79" s="728"/>
      <c r="J79" s="777"/>
      <c r="K79" s="777"/>
      <c r="L79" s="777"/>
      <c r="M79" s="777">
        <v>0</v>
      </c>
      <c r="N79" s="777">
        <v>-25000</v>
      </c>
      <c r="O79" s="777"/>
      <c r="P79" s="777"/>
      <c r="Q79" s="777"/>
      <c r="R79" s="777"/>
      <c r="S79" s="777"/>
      <c r="T79" s="777"/>
      <c r="U79" s="777"/>
      <c r="V79" s="777"/>
      <c r="W79" s="777"/>
      <c r="X79" s="777"/>
      <c r="Y79" s="777"/>
      <c r="Z79" s="777"/>
      <c r="AA79" s="777"/>
      <c r="AB79" s="777"/>
    </row>
    <row r="80" spans="1:28" s="731" customFormat="1" ht="11.25" x14ac:dyDescent="0.2">
      <c r="A80" s="702"/>
      <c r="B80" s="702"/>
      <c r="C80" s="702"/>
      <c r="D80" s="733"/>
      <c r="E80" s="734" t="s">
        <v>369</v>
      </c>
      <c r="F80" s="735"/>
      <c r="G80" s="735"/>
      <c r="H80" s="735"/>
      <c r="I80" s="736"/>
      <c r="J80" s="775">
        <f>J78</f>
        <v>40571</v>
      </c>
      <c r="K80" s="775">
        <f>K78</f>
        <v>35922</v>
      </c>
      <c r="L80" s="775">
        <f>L78</f>
        <v>72295</v>
      </c>
      <c r="M80" s="775">
        <f>SUM(M78:M79)</f>
        <v>14762.49169568019</v>
      </c>
      <c r="N80" s="775">
        <f>SUM(N78:N79)</f>
        <v>-55000</v>
      </c>
      <c r="O80" s="775">
        <f ca="1">O78</f>
        <v>0</v>
      </c>
      <c r="P80" s="775">
        <f ca="1">P78</f>
        <v>0</v>
      </c>
      <c r="Q80" s="775">
        <f ca="1">Q78</f>
        <v>0</v>
      </c>
      <c r="R80" s="775">
        <f ca="1">R78</f>
        <v>0</v>
      </c>
      <c r="S80" s="775">
        <f t="shared" ref="S80:AB80" ca="1" si="19">S78</f>
        <v>0</v>
      </c>
      <c r="T80" s="775">
        <f t="shared" ca="1" si="19"/>
        <v>0</v>
      </c>
      <c r="U80" s="775">
        <f t="shared" ca="1" si="19"/>
        <v>0</v>
      </c>
      <c r="V80" s="775">
        <f t="shared" ca="1" si="19"/>
        <v>0</v>
      </c>
      <c r="W80" s="775">
        <f t="shared" ca="1" si="19"/>
        <v>0</v>
      </c>
      <c r="X80" s="775">
        <f t="shared" ca="1" si="19"/>
        <v>0</v>
      </c>
      <c r="Y80" s="775">
        <f t="shared" ca="1" si="19"/>
        <v>0</v>
      </c>
      <c r="Z80" s="775">
        <f t="shared" ca="1" si="19"/>
        <v>0</v>
      </c>
      <c r="AA80" s="775">
        <f t="shared" ca="1" si="19"/>
        <v>0</v>
      </c>
      <c r="AB80" s="775">
        <f t="shared" ca="1" si="19"/>
        <v>0</v>
      </c>
    </row>
    <row r="81" spans="1:33" ht="11.25" x14ac:dyDescent="0.2">
      <c r="E81" s="729"/>
      <c r="K81" s="440"/>
      <c r="L81" s="440"/>
      <c r="M81" s="440"/>
      <c r="N81" s="440"/>
      <c r="O81" s="440"/>
      <c r="P81" s="440"/>
      <c r="Q81" s="440"/>
      <c r="R81" s="440"/>
      <c r="S81" s="440"/>
      <c r="T81" s="440"/>
      <c r="U81" s="440"/>
      <c r="V81" s="440"/>
      <c r="W81" s="440"/>
      <c r="X81" s="440"/>
      <c r="Y81" s="440"/>
      <c r="Z81" s="440"/>
      <c r="AA81" s="440"/>
      <c r="AB81" s="440"/>
    </row>
    <row r="82" spans="1:33" ht="11.25" x14ac:dyDescent="0.2">
      <c r="E82" s="726" t="s">
        <v>368</v>
      </c>
      <c r="F82" s="726"/>
      <c r="G82" s="726"/>
      <c r="H82" s="726"/>
      <c r="I82" s="725"/>
      <c r="J82" s="773">
        <f t="shared" ref="J82:R82" si="20">J63+J75+J80</f>
        <v>189319</v>
      </c>
      <c r="K82" s="773">
        <f t="shared" si="20"/>
        <v>359348</v>
      </c>
      <c r="L82" s="773">
        <f t="shared" si="20"/>
        <v>244525</v>
      </c>
      <c r="M82" s="773">
        <f t="shared" si="20"/>
        <v>87504.49169568019</v>
      </c>
      <c r="N82" s="773">
        <f t="shared" ca="1" si="20"/>
        <v>-467660.13159099594</v>
      </c>
      <c r="O82" s="773">
        <f t="shared" ca="1" si="20"/>
        <v>-501839.59449614794</v>
      </c>
      <c r="P82" s="773">
        <f t="shared" ca="1" si="20"/>
        <v>-547175.75222357968</v>
      </c>
      <c r="Q82" s="773">
        <f t="shared" ca="1" si="20"/>
        <v>-589337.62681920198</v>
      </c>
      <c r="R82" s="773">
        <f t="shared" ca="1" si="20"/>
        <v>-614268.3735230309</v>
      </c>
      <c r="S82" s="773">
        <f t="shared" ref="S82:AB82" ca="1" si="21">S63+S75+S80</f>
        <v>-644067.74066557479</v>
      </c>
      <c r="T82" s="773">
        <f t="shared" ca="1" si="21"/>
        <v>-663036.78197382414</v>
      </c>
      <c r="U82" s="773">
        <f t="shared" ca="1" si="21"/>
        <v>-683608.08764015313</v>
      </c>
      <c r="V82" s="773">
        <f t="shared" ca="1" si="21"/>
        <v>-704172.07639012672</v>
      </c>
      <c r="W82" s="773">
        <f t="shared" ca="1" si="21"/>
        <v>-733841.48656403762</v>
      </c>
      <c r="X82" s="773">
        <f t="shared" ca="1" si="21"/>
        <v>-764197.85203944077</v>
      </c>
      <c r="Y82" s="773">
        <f t="shared" ca="1" si="21"/>
        <v>-789723.49672907253</v>
      </c>
      <c r="Z82" s="773">
        <f t="shared" ca="1" si="21"/>
        <v>-816130.51530144422</v>
      </c>
      <c r="AA82" s="773">
        <f t="shared" ca="1" si="21"/>
        <v>-841821.00742962793</v>
      </c>
      <c r="AB82" s="773">
        <f t="shared" ca="1" si="21"/>
        <v>-867944.77051716961</v>
      </c>
      <c r="AG82" s="730"/>
    </row>
    <row r="83" spans="1:33" ht="11.25" x14ac:dyDescent="0.2">
      <c r="E83" s="729"/>
      <c r="K83" s="440"/>
      <c r="L83" s="440"/>
      <c r="M83" s="440"/>
      <c r="N83" s="440"/>
      <c r="O83" s="440"/>
      <c r="P83" s="440"/>
      <c r="Q83" s="440"/>
      <c r="R83" s="440"/>
      <c r="S83" s="440"/>
      <c r="T83" s="440"/>
      <c r="U83" s="440"/>
      <c r="V83" s="440"/>
      <c r="W83" s="440"/>
      <c r="X83" s="440"/>
      <c r="Y83" s="440"/>
      <c r="Z83" s="440"/>
      <c r="AA83" s="440"/>
      <c r="AB83" s="440"/>
      <c r="AG83" s="160"/>
    </row>
    <row r="84" spans="1:33" ht="11.25" x14ac:dyDescent="0.2">
      <c r="E84" s="787" t="s">
        <v>380</v>
      </c>
      <c r="F84" s="744"/>
      <c r="G84" s="744"/>
      <c r="H84" s="744"/>
      <c r="I84" s="745"/>
      <c r="J84" s="788">
        <f>J11+J82</f>
        <v>1467847</v>
      </c>
      <c r="K84" s="788">
        <f>K11+K82</f>
        <v>1678435</v>
      </c>
      <c r="L84" s="788">
        <f>L11+L82-L85</f>
        <v>1501291</v>
      </c>
      <c r="M84" s="788">
        <f t="shared" ref="M84:R84" si="22">M11+M82</f>
        <v>1588795.4916956802</v>
      </c>
      <c r="N84" s="788">
        <f t="shared" ca="1" si="22"/>
        <v>1121135.3601046843</v>
      </c>
      <c r="O84" s="788">
        <f t="shared" ca="1" si="22"/>
        <v>619295.76560853631</v>
      </c>
      <c r="P84" s="788">
        <f t="shared" ca="1" si="22"/>
        <v>72120.013384956634</v>
      </c>
      <c r="Q84" s="788">
        <f t="shared" ca="1" si="22"/>
        <v>-517217.61343424534</v>
      </c>
      <c r="R84" s="788">
        <f t="shared" ca="1" si="22"/>
        <v>-1131485.9869572762</v>
      </c>
      <c r="S84" s="788">
        <f t="shared" ref="S84:AB84" ca="1" si="23">S11+S82</f>
        <v>-1775553.727622851</v>
      </c>
      <c r="T84" s="788">
        <f t="shared" ca="1" si="23"/>
        <v>-2438590.5095966752</v>
      </c>
      <c r="U84" s="788">
        <f t="shared" ca="1" si="23"/>
        <v>-3122198.5972368284</v>
      </c>
      <c r="V84" s="788">
        <f t="shared" ca="1" si="23"/>
        <v>-3826370.6736269551</v>
      </c>
      <c r="W84" s="788">
        <f t="shared" ca="1" si="23"/>
        <v>-4560212.160190993</v>
      </c>
      <c r="X84" s="788">
        <f t="shared" ca="1" si="23"/>
        <v>-5324410.0122304335</v>
      </c>
      <c r="Y84" s="788">
        <f t="shared" ca="1" si="23"/>
        <v>-6114133.5089595057</v>
      </c>
      <c r="Z84" s="788">
        <f t="shared" ca="1" si="23"/>
        <v>-6930264.0242609503</v>
      </c>
      <c r="AA84" s="788">
        <f t="shared" ca="1" si="23"/>
        <v>-7772085.031690578</v>
      </c>
      <c r="AB84" s="788">
        <f t="shared" ca="1" si="23"/>
        <v>-8640029.8022077475</v>
      </c>
    </row>
    <row r="85" spans="1:33" s="742" customFormat="1" ht="11.25" x14ac:dyDescent="0.2">
      <c r="A85" s="748"/>
      <c r="B85" s="748"/>
      <c r="C85" s="748"/>
      <c r="D85" s="749"/>
      <c r="I85" s="792" t="s">
        <v>249</v>
      </c>
      <c r="J85" s="795">
        <f>1319087-J84</f>
        <v>-148760</v>
      </c>
      <c r="K85" s="795">
        <f>1433550-K84</f>
        <v>-244885</v>
      </c>
      <c r="L85" s="795">
        <f>(L11+L82)-M11</f>
        <v>256634</v>
      </c>
      <c r="M85" s="778"/>
      <c r="N85" s="778"/>
      <c r="O85" s="778"/>
      <c r="P85" s="778"/>
      <c r="Q85" s="778"/>
      <c r="R85" s="778"/>
      <c r="S85" s="778"/>
      <c r="T85" s="778"/>
      <c r="U85" s="778"/>
      <c r="V85" s="778"/>
      <c r="W85" s="778"/>
      <c r="X85" s="778"/>
      <c r="Y85" s="778"/>
      <c r="Z85" s="778"/>
      <c r="AA85" s="778"/>
      <c r="AB85" s="778"/>
    </row>
    <row r="86" spans="1:33" s="741" customFormat="1" ht="11.25" x14ac:dyDescent="0.2">
      <c r="A86" s="739"/>
      <c r="B86" s="739"/>
      <c r="C86" s="739"/>
      <c r="D86" s="740"/>
      <c r="J86" s="779"/>
      <c r="K86" s="779"/>
      <c r="L86" s="780"/>
      <c r="M86" s="769"/>
      <c r="N86" s="769"/>
      <c r="O86" s="769"/>
      <c r="P86" s="769"/>
      <c r="Q86" s="769"/>
      <c r="R86" s="769"/>
      <c r="S86" s="769"/>
      <c r="T86" s="769"/>
      <c r="U86" s="769"/>
      <c r="V86" s="769"/>
      <c r="W86" s="769"/>
      <c r="X86" s="769"/>
      <c r="Y86" s="769"/>
      <c r="Z86" s="769"/>
      <c r="AA86" s="769"/>
      <c r="AB86" s="769"/>
    </row>
    <row r="87" spans="1:33" s="792" customFormat="1" ht="11.25" x14ac:dyDescent="0.2">
      <c r="A87" s="818"/>
      <c r="B87" s="818"/>
      <c r="C87" s="818"/>
      <c r="D87" s="819"/>
      <c r="E87" s="793" t="s">
        <v>68</v>
      </c>
      <c r="F87" s="820"/>
      <c r="G87" s="820"/>
      <c r="H87" s="820"/>
      <c r="I87" s="820"/>
      <c r="J87" s="821"/>
      <c r="K87" s="822"/>
      <c r="L87" s="795">
        <f>494860+1980</f>
        <v>496840</v>
      </c>
      <c r="M87" s="795">
        <f t="shared" ref="M87:R87" si="24">IF(M84&gt;300000,IF((L87+M82-M78)&lt;300000,300000,(L87+M82-M78)),M84)</f>
        <v>569582</v>
      </c>
      <c r="N87" s="795">
        <f t="shared" ca="1" si="24"/>
        <v>300000</v>
      </c>
      <c r="O87" s="795">
        <f t="shared" ca="1" si="24"/>
        <v>300000</v>
      </c>
      <c r="P87" s="795">
        <f t="shared" ca="1" si="24"/>
        <v>72120.013384956634</v>
      </c>
      <c r="Q87" s="795">
        <f t="shared" ca="1" si="24"/>
        <v>-517217.61343424534</v>
      </c>
      <c r="R87" s="795">
        <f t="shared" ca="1" si="24"/>
        <v>-1131485.9869572762</v>
      </c>
      <c r="S87" s="795">
        <f t="shared" ref="S87:AB87" ca="1" si="25">IF(S84&gt;300000,IF((R87+S82-S78)&lt;300000,300000,(R87+S82-S78)),S84)</f>
        <v>-1775553.727622851</v>
      </c>
      <c r="T87" s="795">
        <f t="shared" ca="1" si="25"/>
        <v>-2438590.5095966752</v>
      </c>
      <c r="U87" s="795">
        <f t="shared" ca="1" si="25"/>
        <v>-3122198.5972368284</v>
      </c>
      <c r="V87" s="795">
        <f t="shared" ca="1" si="25"/>
        <v>-3826370.6736269551</v>
      </c>
      <c r="W87" s="795">
        <f t="shared" ca="1" si="25"/>
        <v>-4560212.160190993</v>
      </c>
      <c r="X87" s="795">
        <f t="shared" ca="1" si="25"/>
        <v>-5324410.0122304335</v>
      </c>
      <c r="Y87" s="795">
        <f t="shared" ca="1" si="25"/>
        <v>-6114133.5089595057</v>
      </c>
      <c r="Z87" s="795">
        <f t="shared" ca="1" si="25"/>
        <v>-6930264.0242609503</v>
      </c>
      <c r="AA87" s="795">
        <f t="shared" ca="1" si="25"/>
        <v>-7772085.031690578</v>
      </c>
      <c r="AB87" s="795">
        <f t="shared" ca="1" si="25"/>
        <v>-8640029.8022077475</v>
      </c>
    </row>
    <row r="88" spans="1:33" s="792" customFormat="1" ht="11.25" x14ac:dyDescent="0.2">
      <c r="A88" s="818"/>
      <c r="B88" s="818"/>
      <c r="C88" s="818"/>
      <c r="D88" s="819"/>
      <c r="E88" s="793" t="s">
        <v>85</v>
      </c>
      <c r="F88" s="820"/>
      <c r="G88" s="820"/>
      <c r="H88" s="820"/>
      <c r="I88" s="820"/>
      <c r="J88" s="821"/>
      <c r="K88" s="823"/>
      <c r="L88" s="795">
        <v>1004451</v>
      </c>
      <c r="M88" s="795">
        <f t="shared" ref="M88:R88" si="26">M84-M87</f>
        <v>1019213.4916956802</v>
      </c>
      <c r="N88" s="795">
        <f t="shared" ca="1" si="26"/>
        <v>821135.36010468425</v>
      </c>
      <c r="O88" s="795">
        <f t="shared" ca="1" si="26"/>
        <v>319295.76560853631</v>
      </c>
      <c r="P88" s="795">
        <f t="shared" ca="1" si="26"/>
        <v>0</v>
      </c>
      <c r="Q88" s="795">
        <f t="shared" ca="1" si="26"/>
        <v>0</v>
      </c>
      <c r="R88" s="795">
        <f t="shared" ca="1" si="26"/>
        <v>0</v>
      </c>
      <c r="S88" s="795">
        <f t="shared" ref="S88:AB88" ca="1" si="27">S84-S87</f>
        <v>0</v>
      </c>
      <c r="T88" s="795">
        <f t="shared" ca="1" si="27"/>
        <v>0</v>
      </c>
      <c r="U88" s="795">
        <f t="shared" ca="1" si="27"/>
        <v>0</v>
      </c>
      <c r="V88" s="795">
        <f t="shared" ca="1" si="27"/>
        <v>0</v>
      </c>
      <c r="W88" s="795">
        <f t="shared" ca="1" si="27"/>
        <v>0</v>
      </c>
      <c r="X88" s="795">
        <f t="shared" ca="1" si="27"/>
        <v>0</v>
      </c>
      <c r="Y88" s="795">
        <f t="shared" ca="1" si="27"/>
        <v>0</v>
      </c>
      <c r="Z88" s="795">
        <f t="shared" ca="1" si="27"/>
        <v>0</v>
      </c>
      <c r="AA88" s="795">
        <f t="shared" ca="1" si="27"/>
        <v>0</v>
      </c>
      <c r="AB88" s="795">
        <f t="shared" ca="1" si="27"/>
        <v>0</v>
      </c>
    </row>
    <row r="89" spans="1:33" s="729" customFormat="1" ht="11.25" x14ac:dyDescent="0.2">
      <c r="A89" s="824"/>
      <c r="B89" s="824"/>
      <c r="C89" s="824"/>
      <c r="D89" s="825"/>
      <c r="J89" s="826"/>
      <c r="K89" s="827"/>
      <c r="L89" s="827"/>
      <c r="M89" s="827"/>
      <c r="N89" s="827"/>
      <c r="O89" s="827"/>
      <c r="P89" s="827"/>
      <c r="Q89" s="827"/>
      <c r="R89" s="827"/>
      <c r="S89" s="827"/>
      <c r="T89" s="827"/>
      <c r="U89" s="827"/>
      <c r="V89" s="827"/>
      <c r="W89" s="827"/>
      <c r="X89" s="827"/>
      <c r="Y89" s="827"/>
      <c r="Z89" s="827"/>
      <c r="AA89" s="827"/>
      <c r="AB89" s="827"/>
    </row>
    <row r="90" spans="1:33" s="729" customFormat="1" ht="11.25" x14ac:dyDescent="0.2">
      <c r="A90" s="824"/>
      <c r="B90" s="824"/>
      <c r="C90" s="824"/>
      <c r="D90" s="825"/>
      <c r="E90" s="729" t="s">
        <v>402</v>
      </c>
      <c r="J90" s="826"/>
      <c r="K90" s="827"/>
      <c r="M90" s="827">
        <v>350000</v>
      </c>
      <c r="N90" s="827">
        <f>M91</f>
        <v>422742</v>
      </c>
      <c r="O90" s="827">
        <f t="shared" ref="O90:AB90" ca="1" si="28">N91</f>
        <v>10081.868409004062</v>
      </c>
      <c r="P90" s="827" t="e">
        <f t="shared" ca="1" si="28"/>
        <v>#REF!</v>
      </c>
      <c r="Q90" s="827" t="e">
        <f t="shared" ca="1" si="28"/>
        <v>#REF!</v>
      </c>
      <c r="R90" s="827" t="e">
        <f t="shared" ca="1" si="28"/>
        <v>#REF!</v>
      </c>
      <c r="S90" s="827" t="e">
        <f t="shared" ca="1" si="28"/>
        <v>#REF!</v>
      </c>
      <c r="T90" s="827" t="e">
        <f t="shared" ca="1" si="28"/>
        <v>#REF!</v>
      </c>
      <c r="U90" s="827" t="e">
        <f t="shared" ca="1" si="28"/>
        <v>#REF!</v>
      </c>
      <c r="V90" s="827" t="e">
        <f t="shared" ca="1" si="28"/>
        <v>#REF!</v>
      </c>
      <c r="W90" s="827" t="e">
        <f t="shared" ca="1" si="28"/>
        <v>#REF!</v>
      </c>
      <c r="X90" s="827" t="e">
        <f t="shared" ca="1" si="28"/>
        <v>#REF!</v>
      </c>
      <c r="Y90" s="827" t="e">
        <f t="shared" ca="1" si="28"/>
        <v>#REF!</v>
      </c>
      <c r="Z90" s="827" t="e">
        <f t="shared" ca="1" si="28"/>
        <v>#REF!</v>
      </c>
      <c r="AA90" s="827" t="e">
        <f t="shared" ca="1" si="28"/>
        <v>#REF!</v>
      </c>
      <c r="AB90" s="827" t="e">
        <f t="shared" ca="1" si="28"/>
        <v>#REF!</v>
      </c>
    </row>
    <row r="91" spans="1:33" s="729" customFormat="1" ht="11.25" x14ac:dyDescent="0.2">
      <c r="A91" s="824"/>
      <c r="B91" s="824"/>
      <c r="C91" s="824"/>
      <c r="D91" s="825"/>
      <c r="E91" s="729" t="s">
        <v>403</v>
      </c>
      <c r="J91" s="826"/>
      <c r="K91" s="827"/>
      <c r="L91" s="827"/>
      <c r="M91" s="827">
        <f>IF(M90+M82-M80&lt;0,IF(ABS(M90+M82-M80)&gt;#REF!/1000,-(#REF!/1000),M90+M82-M80),M90+M82-M80)</f>
        <v>422742</v>
      </c>
      <c r="N91" s="827">
        <f ca="1">IF(N90+N82-N80&lt;0,IF(ABS(N90+N82-N80)&gt;#REF!/1000,-(#REF!/1000),N90+N82-N80),N90+N82-N80)</f>
        <v>10081.868409004062</v>
      </c>
      <c r="O91" s="827" t="e">
        <f ca="1">IF(O90+O82-O80&lt;0,IF(ABS(O90+O82-O80)&gt;#REF!/1000,-(#REF!/1000),O90+O82-O80),O90+O82-O80)</f>
        <v>#REF!</v>
      </c>
      <c r="P91" s="827" t="e">
        <f ca="1">IF(P90+P82-P80&lt;0,IF(ABS(P90+P82-P80)&gt;#REF!/1000,-(#REF!/1000),P90+P82-P80),P90+P82-P80)</f>
        <v>#REF!</v>
      </c>
      <c r="Q91" s="827" t="e">
        <f ca="1">IF(Q90+Q82-Q80&lt;0,IF(ABS(Q90+Q82-Q80)&gt;#REF!/1000,-(#REF!/1000),Q90+Q82-Q80),Q90+Q82-Q80)</f>
        <v>#REF!</v>
      </c>
      <c r="R91" s="827" t="e">
        <f ca="1">IF(R90+R82-R80&lt;0,IF(ABS(R90+R82-R80)&gt;#REF!/1000,-(#REF!/1000),R90+R82-R80),R90+R82-R80)</f>
        <v>#REF!</v>
      </c>
      <c r="S91" s="827" t="e">
        <f ca="1">IF(S90+S82-S80&lt;0,IF(ABS(S90+S82-S80)&gt;#REF!/1000,-(#REF!/1000),S90+S82-S80),S90+S82-S80)</f>
        <v>#REF!</v>
      </c>
      <c r="T91" s="827" t="e">
        <f ca="1">IF(T90+T82-T80&lt;0,IF(ABS(T90+T82-T80)&gt;#REF!/1000,-(#REF!/1000),T90+T82-T80),T90+T82-T80)</f>
        <v>#REF!</v>
      </c>
      <c r="U91" s="827" t="e">
        <f ca="1">IF(U90+U82-U80&lt;0,IF(ABS(U90+U82-U80)&gt;#REF!/1000,-(#REF!/1000),U90+U82-U80),U90+U82-U80)</f>
        <v>#REF!</v>
      </c>
      <c r="V91" s="827" t="e">
        <f ca="1">IF(V90+V82-V80&lt;0,IF(ABS(V90+V82-V80)&gt;#REF!/1000,-(#REF!/1000),V90+V82-V80),V90+V82-V80)</f>
        <v>#REF!</v>
      </c>
      <c r="W91" s="827" t="e">
        <f ca="1">IF(W90+W82-W80&lt;0,IF(ABS(W90+W82-W80)&gt;#REF!/1000,-(#REF!/1000),W90+W82-W80),W90+W82-W80)</f>
        <v>#REF!</v>
      </c>
      <c r="X91" s="827" t="e">
        <f ca="1">IF(X90+X82-X80&lt;0,IF(ABS(X90+X82-X80)&gt;#REF!/1000,-(#REF!/1000),X90+X82-X80),X90+X82-X80)</f>
        <v>#REF!</v>
      </c>
      <c r="Y91" s="827" t="e">
        <f ca="1">IF(Y90+Y82-Y80&lt;0,IF(ABS(Y90+Y82-Y80)&gt;#REF!/1000,-(#REF!/1000),Y90+Y82-Y80),Y90+Y82-Y80)</f>
        <v>#REF!</v>
      </c>
      <c r="Z91" s="827" t="e">
        <f ca="1">IF(Z90+Z82-Z80&lt;0,IF(ABS(Z90+Z82-Z80)&gt;#REF!/1000,-(#REF!/1000),Z90+Z82-Z80),Z90+Z82-Z80)</f>
        <v>#REF!</v>
      </c>
      <c r="AA91" s="827" t="e">
        <f ca="1">IF(AA90+AA82-AA80&lt;0,IF(ABS(AA90+AA82-AA80)&gt;#REF!/1000,-(#REF!/1000),AA90+AA82-AA80),AA90+AA82-AA80)</f>
        <v>#REF!</v>
      </c>
      <c r="AB91" s="827" t="e">
        <f ca="1">IF(AB90+AB82-AB80&lt;0,IF(ABS(AB90+AB82-AB80)&gt;#REF!/1000,-(#REF!/1000),AB90+AB82-AB80),AB90+AB82-AB80)</f>
        <v>#REF!</v>
      </c>
    </row>
    <row r="92" spans="1:33" ht="11.25" x14ac:dyDescent="0.2">
      <c r="I92" s="641"/>
      <c r="J92" s="766"/>
      <c r="K92" s="440"/>
      <c r="L92" s="440"/>
      <c r="M92" s="440"/>
      <c r="N92" s="440"/>
      <c r="O92" s="440"/>
      <c r="P92" s="440"/>
      <c r="Q92" s="440"/>
      <c r="R92" s="440"/>
      <c r="U92" s="721"/>
      <c r="Z92" s="641"/>
    </row>
    <row r="93" spans="1:33" ht="11.25" x14ac:dyDescent="0.2">
      <c r="I93" s="641"/>
      <c r="J93" s="766"/>
      <c r="K93" s="440"/>
      <c r="L93" s="440"/>
      <c r="M93" s="440"/>
      <c r="N93" s="440"/>
      <c r="O93" s="440"/>
      <c r="P93" s="440"/>
      <c r="Q93" s="440"/>
      <c r="R93" s="440"/>
      <c r="U93" s="721"/>
      <c r="Z93" s="641"/>
    </row>
    <row r="94" spans="1:33" ht="11.25" x14ac:dyDescent="0.2">
      <c r="E94" s="729"/>
      <c r="K94" s="440"/>
      <c r="L94" s="440"/>
      <c r="M94" s="440"/>
      <c r="N94" s="440"/>
      <c r="O94" s="440"/>
      <c r="P94" s="440"/>
      <c r="Q94" s="440"/>
      <c r="R94" s="440"/>
      <c r="U94" s="721"/>
      <c r="Z94" s="641"/>
    </row>
    <row r="95" spans="1:33" ht="11.25" x14ac:dyDescent="0.2">
      <c r="E95" s="729"/>
      <c r="K95" s="440"/>
      <c r="L95" s="440"/>
      <c r="M95" s="440"/>
      <c r="N95" s="440"/>
      <c r="O95" s="440"/>
      <c r="P95" s="440"/>
      <c r="Q95" s="440"/>
      <c r="R95" s="440"/>
      <c r="U95" s="721"/>
      <c r="Z95" s="641"/>
    </row>
    <row r="96" spans="1:33" ht="11.25" x14ac:dyDescent="0.2">
      <c r="E96" s="729"/>
      <c r="K96" s="440"/>
      <c r="L96" s="440"/>
      <c r="M96" s="440"/>
      <c r="N96" s="440"/>
      <c r="O96" s="440"/>
      <c r="P96" s="440"/>
      <c r="Q96" s="440"/>
      <c r="R96" s="440"/>
      <c r="U96" s="721"/>
      <c r="Z96" s="641"/>
    </row>
    <row r="97" spans="5:26" ht="11.25" x14ac:dyDescent="0.2">
      <c r="E97" s="729"/>
      <c r="K97" s="440"/>
      <c r="L97" s="440"/>
      <c r="M97" s="440"/>
      <c r="N97" s="440"/>
      <c r="O97" s="440"/>
      <c r="P97" s="440"/>
      <c r="Q97" s="440"/>
      <c r="R97" s="440"/>
      <c r="U97" s="721"/>
      <c r="Z97" s="641"/>
    </row>
    <row r="98" spans="5:26" ht="11.25" x14ac:dyDescent="0.2">
      <c r="E98" s="729"/>
      <c r="K98" s="440"/>
      <c r="L98" s="440"/>
      <c r="M98" s="440"/>
      <c r="N98" s="440"/>
      <c r="O98" s="440"/>
      <c r="P98" s="440"/>
      <c r="Q98" s="440"/>
      <c r="R98" s="440"/>
      <c r="U98" s="721"/>
      <c r="Z98" s="641"/>
    </row>
    <row r="99" spans="5:26" ht="11.25" x14ac:dyDescent="0.2">
      <c r="E99" s="729"/>
      <c r="K99" s="440"/>
      <c r="L99" s="440"/>
      <c r="M99" s="440"/>
      <c r="N99" s="440"/>
      <c r="O99" s="440"/>
      <c r="P99" s="440"/>
      <c r="Q99" s="440"/>
      <c r="R99" s="440"/>
      <c r="U99" s="721"/>
      <c r="Z99" s="641"/>
    </row>
    <row r="100" spans="5:26" ht="11.25" x14ac:dyDescent="0.2">
      <c r="E100" s="729"/>
      <c r="K100" s="440"/>
      <c r="L100" s="440"/>
      <c r="M100" s="440"/>
      <c r="N100" s="440"/>
      <c r="O100" s="440"/>
      <c r="P100" s="440"/>
      <c r="Q100" s="440"/>
      <c r="R100" s="440"/>
      <c r="U100" s="721"/>
      <c r="Z100" s="641"/>
    </row>
    <row r="101" spans="5:26" ht="11.25" x14ac:dyDescent="0.2">
      <c r="E101" s="729"/>
      <c r="K101" s="440"/>
      <c r="L101" s="440"/>
      <c r="M101" s="440"/>
      <c r="N101" s="440"/>
      <c r="O101" s="440"/>
      <c r="P101" s="440"/>
      <c r="Q101" s="440"/>
      <c r="R101" s="440"/>
      <c r="U101" s="721"/>
      <c r="Z101" s="641"/>
    </row>
    <row r="102" spans="5:26" ht="11.25" x14ac:dyDescent="0.2">
      <c r="E102" s="729"/>
      <c r="K102" s="440"/>
      <c r="L102" s="440"/>
      <c r="M102" s="440"/>
      <c r="N102" s="440"/>
      <c r="O102" s="440"/>
      <c r="P102" s="440"/>
      <c r="Q102" s="440"/>
      <c r="R102" s="440"/>
      <c r="U102" s="721"/>
      <c r="Z102" s="641"/>
    </row>
    <row r="103" spans="5:26" ht="11.25" x14ac:dyDescent="0.2">
      <c r="E103" s="729"/>
      <c r="K103" s="440"/>
      <c r="L103" s="440"/>
      <c r="M103" s="440"/>
      <c r="N103" s="440"/>
      <c r="O103" s="440"/>
      <c r="P103" s="440"/>
      <c r="Q103" s="440"/>
      <c r="R103" s="440"/>
      <c r="U103" s="721"/>
      <c r="Z103" s="641"/>
    </row>
    <row r="104" spans="5:26" ht="11.25" x14ac:dyDescent="0.2">
      <c r="E104" s="729"/>
      <c r="K104" s="440"/>
      <c r="L104" s="440"/>
      <c r="M104" s="440"/>
      <c r="N104" s="440"/>
      <c r="O104" s="440"/>
      <c r="P104" s="440"/>
      <c r="Q104" s="440"/>
      <c r="R104" s="440"/>
      <c r="U104" s="721"/>
      <c r="Z104" s="641"/>
    </row>
    <row r="105" spans="5:26" ht="11.25" x14ac:dyDescent="0.2">
      <c r="E105" s="729"/>
      <c r="K105" s="440"/>
      <c r="L105" s="440"/>
      <c r="M105" s="440"/>
      <c r="N105" s="440"/>
      <c r="O105" s="440"/>
      <c r="P105" s="440"/>
      <c r="Q105" s="440"/>
      <c r="R105" s="440"/>
      <c r="U105" s="721"/>
      <c r="Z105" s="641"/>
    </row>
    <row r="106" spans="5:26" ht="11.25" x14ac:dyDescent="0.2">
      <c r="E106" s="729"/>
      <c r="K106" s="440"/>
      <c r="L106" s="440"/>
      <c r="M106" s="440"/>
      <c r="N106" s="440"/>
      <c r="O106" s="440"/>
      <c r="P106" s="440"/>
      <c r="Q106" s="440"/>
      <c r="R106" s="440"/>
      <c r="U106" s="721"/>
      <c r="Z106" s="641"/>
    </row>
    <row r="107" spans="5:26" ht="11.25" x14ac:dyDescent="0.2">
      <c r="E107" s="729"/>
      <c r="K107" s="440"/>
      <c r="L107" s="440"/>
      <c r="M107" s="440"/>
      <c r="N107" s="440"/>
      <c r="O107" s="440"/>
      <c r="P107" s="440"/>
      <c r="Q107" s="440"/>
      <c r="R107" s="440"/>
      <c r="U107" s="721"/>
      <c r="Z107" s="641"/>
    </row>
    <row r="108" spans="5:26" ht="11.25" x14ac:dyDescent="0.2">
      <c r="E108" s="729"/>
      <c r="K108" s="440"/>
      <c r="L108" s="440"/>
      <c r="M108" s="440"/>
      <c r="N108" s="440"/>
      <c r="O108" s="440"/>
      <c r="P108" s="440"/>
      <c r="Q108" s="440"/>
      <c r="R108" s="440"/>
      <c r="U108" s="721"/>
      <c r="Z108" s="641"/>
    </row>
    <row r="109" spans="5:26" ht="11.25" x14ac:dyDescent="0.2">
      <c r="E109" s="729"/>
      <c r="K109" s="440"/>
      <c r="L109" s="440"/>
      <c r="M109" s="440"/>
      <c r="N109" s="440"/>
      <c r="O109" s="440"/>
      <c r="P109" s="440"/>
      <c r="Q109" s="440"/>
      <c r="R109" s="440"/>
      <c r="U109" s="721"/>
      <c r="Z109" s="641"/>
    </row>
    <row r="110" spans="5:26" ht="11.25" x14ac:dyDescent="0.2">
      <c r="E110" s="729"/>
      <c r="K110" s="440"/>
      <c r="L110" s="440"/>
      <c r="M110" s="440"/>
      <c r="N110" s="440"/>
      <c r="O110" s="440"/>
      <c r="P110" s="440"/>
      <c r="Q110" s="440"/>
      <c r="R110" s="440"/>
      <c r="U110" s="721"/>
      <c r="Z110" s="641"/>
    </row>
    <row r="111" spans="5:26" ht="11.25" x14ac:dyDescent="0.2">
      <c r="E111" s="729"/>
      <c r="K111" s="440"/>
      <c r="L111" s="440"/>
      <c r="M111" s="440"/>
      <c r="N111" s="440"/>
      <c r="O111" s="440"/>
      <c r="P111" s="440"/>
      <c r="Q111" s="440"/>
      <c r="R111" s="440"/>
      <c r="U111" s="721"/>
      <c r="Z111" s="641"/>
    </row>
    <row r="112" spans="5:26" ht="11.25" x14ac:dyDescent="0.2">
      <c r="E112" s="729"/>
      <c r="K112" s="440"/>
      <c r="L112" s="440"/>
      <c r="M112" s="440"/>
      <c r="N112" s="440"/>
      <c r="O112" s="440"/>
      <c r="P112" s="440"/>
      <c r="Q112" s="440"/>
      <c r="R112" s="440"/>
      <c r="U112" s="721"/>
      <c r="Z112" s="641"/>
    </row>
    <row r="113" spans="1:26" ht="11.25" x14ac:dyDescent="0.2">
      <c r="E113" s="729"/>
      <c r="K113" s="440"/>
      <c r="L113" s="440"/>
      <c r="M113" s="440"/>
      <c r="N113" s="440"/>
      <c r="O113" s="440"/>
      <c r="P113" s="440"/>
      <c r="Q113" s="440"/>
      <c r="R113" s="440"/>
      <c r="U113" s="721"/>
      <c r="Z113" s="641"/>
    </row>
    <row r="114" spans="1:26" ht="11.25" x14ac:dyDescent="0.2">
      <c r="E114" s="729"/>
      <c r="K114" s="440"/>
      <c r="L114" s="440"/>
      <c r="M114" s="440"/>
      <c r="N114" s="440"/>
      <c r="O114" s="440"/>
      <c r="P114" s="440"/>
      <c r="Q114" s="440"/>
      <c r="R114" s="440"/>
      <c r="U114" s="721"/>
      <c r="Z114" s="641"/>
    </row>
    <row r="115" spans="1:26" ht="11.25" x14ac:dyDescent="0.2">
      <c r="E115" s="729"/>
      <c r="K115" s="440"/>
      <c r="L115" s="440"/>
      <c r="M115" s="440"/>
      <c r="N115" s="440"/>
      <c r="O115" s="440"/>
      <c r="P115" s="440"/>
      <c r="Q115" s="440"/>
      <c r="R115" s="440"/>
      <c r="U115" s="721"/>
      <c r="Z115" s="641"/>
    </row>
    <row r="116" spans="1:26" ht="11.25" x14ac:dyDescent="0.2">
      <c r="E116" s="729"/>
      <c r="K116" s="440"/>
      <c r="L116" s="440"/>
      <c r="M116" s="440"/>
      <c r="N116" s="440"/>
      <c r="O116" s="440"/>
      <c r="P116" s="440"/>
      <c r="Q116" s="440"/>
      <c r="R116" s="440"/>
      <c r="U116" s="721"/>
      <c r="Z116" s="641"/>
    </row>
    <row r="117" spans="1:26" ht="11.25" x14ac:dyDescent="0.2">
      <c r="E117" s="729"/>
      <c r="K117" s="440"/>
      <c r="L117" s="440"/>
      <c r="M117" s="440"/>
      <c r="N117" s="440"/>
      <c r="O117" s="440"/>
      <c r="P117" s="440"/>
      <c r="Q117" s="440"/>
      <c r="R117" s="440"/>
      <c r="U117" s="721"/>
      <c r="Z117" s="641"/>
    </row>
    <row r="118" spans="1:26" ht="11.25" x14ac:dyDescent="0.2">
      <c r="E118" s="729"/>
      <c r="K118" s="440"/>
      <c r="L118" s="440"/>
      <c r="M118" s="440"/>
      <c r="N118" s="440"/>
      <c r="O118" s="440"/>
      <c r="P118" s="440"/>
      <c r="Q118" s="440"/>
      <c r="R118" s="440"/>
      <c r="U118" s="721"/>
      <c r="Z118" s="641"/>
    </row>
    <row r="119" spans="1:26" ht="11.25" x14ac:dyDescent="0.2">
      <c r="E119" s="731"/>
      <c r="K119" s="440"/>
      <c r="L119" s="440"/>
      <c r="M119" s="440"/>
      <c r="N119" s="440"/>
      <c r="O119" s="440"/>
      <c r="P119" s="440"/>
      <c r="Q119" s="440"/>
      <c r="R119" s="440"/>
      <c r="U119" s="721"/>
      <c r="Z119" s="641"/>
    </row>
    <row r="120" spans="1:26" ht="11.25" x14ac:dyDescent="0.2">
      <c r="E120" s="731"/>
      <c r="K120" s="440"/>
      <c r="L120" s="440"/>
      <c r="M120" s="440"/>
      <c r="N120" s="440"/>
      <c r="O120" s="440"/>
      <c r="P120" s="440"/>
      <c r="Q120" s="440"/>
      <c r="R120" s="440"/>
      <c r="U120" s="721"/>
      <c r="Z120" s="641"/>
    </row>
    <row r="121" spans="1:26" ht="11.25" x14ac:dyDescent="0.2">
      <c r="E121" s="731"/>
      <c r="K121" s="440"/>
      <c r="L121" s="440"/>
      <c r="M121" s="440"/>
      <c r="N121" s="440"/>
      <c r="O121" s="440"/>
      <c r="P121" s="440"/>
      <c r="Q121" s="440"/>
      <c r="R121" s="440"/>
      <c r="U121" s="721"/>
      <c r="Z121" s="641"/>
    </row>
    <row r="122" spans="1:26" ht="11.25" x14ac:dyDescent="0.2">
      <c r="E122" s="731"/>
      <c r="K122" s="440"/>
      <c r="L122" s="440"/>
      <c r="M122" s="440"/>
      <c r="N122" s="440"/>
      <c r="O122" s="440"/>
      <c r="P122" s="440"/>
      <c r="Q122" s="440"/>
      <c r="R122" s="440"/>
      <c r="U122" s="721"/>
      <c r="Z122" s="641"/>
    </row>
    <row r="123" spans="1:26" ht="11.25" x14ac:dyDescent="0.2">
      <c r="E123" s="731"/>
      <c r="K123" s="440"/>
      <c r="L123" s="440"/>
      <c r="M123" s="440"/>
      <c r="N123" s="440"/>
      <c r="O123" s="440"/>
      <c r="P123" s="440"/>
      <c r="Q123" s="440"/>
      <c r="R123" s="440"/>
      <c r="U123" s="721"/>
      <c r="Z123" s="641"/>
    </row>
    <row r="124" spans="1:26" ht="11.25" x14ac:dyDescent="0.2">
      <c r="E124" s="791"/>
      <c r="K124" s="440"/>
      <c r="L124" s="440"/>
      <c r="M124" s="440"/>
      <c r="N124" s="440"/>
      <c r="O124" s="440"/>
      <c r="P124" s="440"/>
      <c r="Q124" s="440"/>
      <c r="R124" s="440"/>
      <c r="U124" s="721"/>
      <c r="Z124" s="641"/>
    </row>
    <row r="125" spans="1:26" s="731" customFormat="1" ht="11.25" x14ac:dyDescent="0.2">
      <c r="A125" s="702"/>
      <c r="B125" s="702"/>
      <c r="C125" s="702"/>
      <c r="D125" s="733"/>
      <c r="J125" s="781"/>
      <c r="K125" s="777"/>
      <c r="L125" s="777"/>
      <c r="M125" s="777"/>
      <c r="N125" s="777"/>
      <c r="O125" s="777"/>
      <c r="P125" s="777"/>
      <c r="Q125" s="777"/>
      <c r="R125" s="777"/>
      <c r="S125" s="730"/>
      <c r="T125" s="730"/>
      <c r="U125" s="721"/>
    </row>
    <row r="126" spans="1:26" s="731" customFormat="1" ht="11.25" x14ac:dyDescent="0.2">
      <c r="A126" s="702"/>
      <c r="B126" s="702"/>
      <c r="C126" s="702"/>
      <c r="D126" s="733"/>
      <c r="I126" s="728"/>
      <c r="J126" s="776"/>
      <c r="K126" s="756"/>
      <c r="L126" s="756"/>
      <c r="M126" s="756"/>
      <c r="N126" s="756"/>
      <c r="O126" s="756"/>
      <c r="P126" s="756"/>
      <c r="Q126" s="756"/>
      <c r="R126" s="756"/>
      <c r="S126" s="730"/>
      <c r="T126" s="730"/>
    </row>
    <row r="127" spans="1:26" s="731" customFormat="1" ht="11.25" x14ac:dyDescent="0.2">
      <c r="A127" s="702"/>
      <c r="B127" s="702"/>
      <c r="C127" s="702"/>
      <c r="D127" s="733"/>
      <c r="J127" s="781"/>
      <c r="K127" s="777"/>
      <c r="L127" s="777"/>
      <c r="M127" s="777"/>
      <c r="N127" s="777"/>
      <c r="O127" s="777"/>
      <c r="P127" s="777"/>
      <c r="Q127" s="777"/>
      <c r="R127" s="777"/>
      <c r="S127" s="730"/>
      <c r="T127" s="730"/>
      <c r="U127" s="721"/>
    </row>
    <row r="128" spans="1:26" s="731" customFormat="1" ht="11.25" x14ac:dyDescent="0.2">
      <c r="A128" s="702"/>
      <c r="B128" s="702"/>
      <c r="C128" s="702"/>
      <c r="D128" s="733"/>
      <c r="J128" s="781"/>
      <c r="K128" s="777"/>
      <c r="L128" s="777"/>
      <c r="M128" s="777"/>
      <c r="N128" s="777"/>
      <c r="O128" s="777"/>
      <c r="P128" s="777"/>
      <c r="Q128" s="777"/>
      <c r="R128" s="777"/>
      <c r="S128" s="730"/>
      <c r="T128" s="730"/>
      <c r="U128" s="721"/>
    </row>
    <row r="129" spans="1:28" ht="12.75" customHeight="1" x14ac:dyDescent="0.2">
      <c r="E129" s="731"/>
    </row>
    <row r="130" spans="1:28" ht="11.25" x14ac:dyDescent="0.2">
      <c r="K130" s="782"/>
      <c r="L130" s="782"/>
      <c r="M130" s="783"/>
      <c r="N130" s="783"/>
      <c r="O130" s="783"/>
      <c r="P130" s="783"/>
      <c r="Q130" s="783"/>
      <c r="R130" s="783"/>
      <c r="Z130" s="641"/>
    </row>
    <row r="131" spans="1:28" ht="11.25" x14ac:dyDescent="0.2">
      <c r="S131" s="746"/>
      <c r="T131" s="746"/>
      <c r="U131" s="747"/>
      <c r="V131" s="747"/>
      <c r="W131" s="688"/>
      <c r="X131" s="688"/>
      <c r="Y131" s="688"/>
    </row>
    <row r="132" spans="1:28" ht="11.25" x14ac:dyDescent="0.2">
      <c r="T132" s="746"/>
      <c r="U132" s="747"/>
      <c r="V132" s="747"/>
      <c r="W132" s="688"/>
      <c r="X132" s="688"/>
      <c r="Y132" s="688"/>
    </row>
    <row r="133" spans="1:28" s="690" customFormat="1" ht="11.25" x14ac:dyDescent="0.2">
      <c r="A133" s="215"/>
      <c r="B133" s="215"/>
      <c r="C133" s="215"/>
      <c r="D133" s="487"/>
      <c r="E133" s="641"/>
      <c r="F133" s="641"/>
      <c r="G133" s="641"/>
      <c r="H133" s="641"/>
      <c r="I133" s="643"/>
      <c r="J133" s="770"/>
      <c r="K133" s="766"/>
      <c r="L133" s="766"/>
      <c r="M133" s="766"/>
      <c r="N133" s="766"/>
      <c r="O133" s="766"/>
      <c r="P133" s="766"/>
      <c r="Q133" s="766"/>
      <c r="R133" s="766"/>
      <c r="S133" s="730"/>
      <c r="T133" s="730"/>
      <c r="U133" s="731"/>
      <c r="V133" s="731"/>
      <c r="W133" s="641"/>
      <c r="X133" s="641"/>
      <c r="Y133" s="641"/>
      <c r="AA133" s="641"/>
      <c r="AB133" s="641"/>
    </row>
    <row r="134" spans="1:28" s="690" customFormat="1" ht="11.25" x14ac:dyDescent="0.2">
      <c r="A134" s="215"/>
      <c r="B134" s="215"/>
      <c r="C134" s="215"/>
      <c r="D134" s="487"/>
      <c r="E134" s="641"/>
      <c r="F134" s="641"/>
      <c r="G134" s="641"/>
      <c r="H134" s="641"/>
      <c r="I134" s="643"/>
      <c r="J134" s="770"/>
      <c r="K134" s="766"/>
      <c r="L134" s="766"/>
      <c r="M134" s="766"/>
      <c r="N134" s="766"/>
      <c r="O134" s="766"/>
      <c r="P134" s="766"/>
      <c r="Q134" s="766"/>
      <c r="R134" s="766"/>
      <c r="S134" s="746"/>
      <c r="T134" s="746"/>
      <c r="U134" s="747"/>
      <c r="V134" s="747"/>
      <c r="W134" s="688"/>
      <c r="X134" s="688"/>
      <c r="Y134" s="688"/>
      <c r="AA134" s="641"/>
      <c r="AB134" s="641"/>
    </row>
    <row r="135" spans="1:28" s="690" customFormat="1" ht="11.25" hidden="1" x14ac:dyDescent="0.2">
      <c r="A135" s="215"/>
      <c r="B135" s="215"/>
      <c r="C135" s="215"/>
      <c r="D135" s="487"/>
      <c r="E135" s="641"/>
      <c r="F135" s="641"/>
      <c r="G135" s="641"/>
      <c r="H135" s="641"/>
      <c r="I135" s="643"/>
      <c r="J135" s="770"/>
      <c r="K135" s="766"/>
      <c r="L135" s="766"/>
      <c r="M135" s="766"/>
      <c r="N135" s="766"/>
      <c r="O135" s="766"/>
      <c r="P135" s="766"/>
      <c r="Q135" s="766"/>
      <c r="R135" s="766"/>
      <c r="S135" s="730"/>
      <c r="T135" s="730"/>
      <c r="U135" s="747"/>
      <c r="V135" s="747"/>
      <c r="W135" s="688"/>
      <c r="X135" s="688"/>
      <c r="Y135" s="688"/>
      <c r="AA135" s="641"/>
      <c r="AB135" s="641"/>
    </row>
    <row r="136" spans="1:28" s="690" customFormat="1" ht="11.25" hidden="1" x14ac:dyDescent="0.2">
      <c r="A136" s="215"/>
      <c r="B136" s="215"/>
      <c r="C136" s="215"/>
      <c r="D136" s="487"/>
      <c r="E136" s="641" t="s">
        <v>367</v>
      </c>
      <c r="F136" s="641"/>
      <c r="G136" s="641"/>
      <c r="H136" s="641"/>
      <c r="I136" s="643"/>
      <c r="J136" s="770"/>
      <c r="K136" s="766"/>
      <c r="L136" s="440">
        <f>SUM(L137:L139)</f>
        <v>1501291</v>
      </c>
      <c r="M136" s="440">
        <f t="shared" ref="M136:R136" si="29">SUM(M137:M139)</f>
        <v>1588795.4916956802</v>
      </c>
      <c r="N136" s="440">
        <f t="shared" ca="1" si="29"/>
        <v>1121135.3601046843</v>
      </c>
      <c r="O136" s="440">
        <f t="shared" ca="1" si="29"/>
        <v>619295.76560853631</v>
      </c>
      <c r="P136" s="440">
        <f t="shared" ca="1" si="29"/>
        <v>72120.013384956634</v>
      </c>
      <c r="Q136" s="440">
        <f t="shared" ca="1" si="29"/>
        <v>-517217.61343424534</v>
      </c>
      <c r="R136" s="440">
        <f t="shared" ca="1" si="29"/>
        <v>-1131485.9869572762</v>
      </c>
      <c r="S136" s="730"/>
      <c r="T136" s="730"/>
      <c r="U136" s="731"/>
      <c r="V136" s="731"/>
      <c r="W136" s="641"/>
      <c r="X136" s="641"/>
      <c r="Y136" s="641"/>
      <c r="AA136" s="641"/>
      <c r="AB136" s="641"/>
    </row>
    <row r="137" spans="1:28" s="690" customFormat="1" ht="11.25" hidden="1" x14ac:dyDescent="0.2">
      <c r="A137" s="215"/>
      <c r="B137" s="215"/>
      <c r="C137" s="215"/>
      <c r="D137" s="487"/>
      <c r="E137" s="743" t="s">
        <v>68</v>
      </c>
      <c r="F137" s="641"/>
      <c r="G137" s="641"/>
      <c r="H137" s="641"/>
      <c r="I137" s="643"/>
      <c r="J137" s="770"/>
      <c r="K137" s="766"/>
      <c r="L137" s="440">
        <f t="shared" ref="L137:R137" si="30">L87-L139</f>
        <v>496840</v>
      </c>
      <c r="M137" s="440">
        <f t="shared" si="30"/>
        <v>569582</v>
      </c>
      <c r="N137" s="440">
        <f t="shared" ca="1" si="30"/>
        <v>300000</v>
      </c>
      <c r="O137" s="440">
        <f t="shared" ca="1" si="30"/>
        <v>300000</v>
      </c>
      <c r="P137" s="440">
        <f t="shared" ca="1" si="30"/>
        <v>72120.013384956634</v>
      </c>
      <c r="Q137" s="440">
        <f t="shared" ca="1" si="30"/>
        <v>-517217.61343424534</v>
      </c>
      <c r="R137" s="440">
        <f t="shared" ca="1" si="30"/>
        <v>-1131485.9869572762</v>
      </c>
      <c r="S137" s="730"/>
      <c r="T137" s="730"/>
      <c r="U137" s="731"/>
      <c r="V137" s="731"/>
      <c r="W137" s="641"/>
      <c r="X137" s="641"/>
      <c r="Y137" s="641"/>
      <c r="AA137" s="641"/>
      <c r="AB137" s="641"/>
    </row>
    <row r="138" spans="1:28" s="690" customFormat="1" ht="11.25" hidden="1" x14ac:dyDescent="0.2">
      <c r="A138" s="215"/>
      <c r="B138" s="215"/>
      <c r="C138" s="215"/>
      <c r="D138" s="487"/>
      <c r="E138" s="743" t="s">
        <v>85</v>
      </c>
      <c r="F138" s="641"/>
      <c r="G138" s="641"/>
      <c r="H138" s="641"/>
      <c r="I138" s="643"/>
      <c r="J138" s="770"/>
      <c r="K138" s="766"/>
      <c r="L138" s="440">
        <f>L88</f>
        <v>1004451</v>
      </c>
      <c r="M138" s="440">
        <f t="shared" ref="M138:R138" si="31">M88</f>
        <v>1019213.4916956802</v>
      </c>
      <c r="N138" s="440">
        <f t="shared" ca="1" si="31"/>
        <v>821135.36010468425</v>
      </c>
      <c r="O138" s="440">
        <f t="shared" ca="1" si="31"/>
        <v>319295.76560853631</v>
      </c>
      <c r="P138" s="440">
        <f t="shared" ca="1" si="31"/>
        <v>0</v>
      </c>
      <c r="Q138" s="440">
        <f t="shared" ca="1" si="31"/>
        <v>0</v>
      </c>
      <c r="R138" s="440">
        <f t="shared" ca="1" si="31"/>
        <v>0</v>
      </c>
      <c r="S138" s="730"/>
      <c r="T138" s="730"/>
      <c r="U138" s="731"/>
      <c r="V138" s="731"/>
      <c r="W138" s="641"/>
      <c r="X138" s="641"/>
      <c r="Y138" s="641"/>
      <c r="AA138" s="641"/>
      <c r="AB138" s="641"/>
    </row>
    <row r="139" spans="1:28" s="690" customFormat="1" ht="11.25" hidden="1" x14ac:dyDescent="0.2">
      <c r="A139" s="215"/>
      <c r="B139" s="215"/>
      <c r="C139" s="215"/>
      <c r="D139" s="487"/>
      <c r="E139" s="641" t="s">
        <v>364</v>
      </c>
      <c r="F139" s="641"/>
      <c r="G139" s="641"/>
      <c r="H139" s="641"/>
      <c r="I139" s="643"/>
      <c r="J139" s="770"/>
      <c r="K139" s="766"/>
      <c r="L139" s="440">
        <f>L61</f>
        <v>0</v>
      </c>
      <c r="M139" s="440">
        <f t="shared" ref="M139:R139" si="32">M61</f>
        <v>0</v>
      </c>
      <c r="N139" s="440">
        <f t="shared" si="32"/>
        <v>0</v>
      </c>
      <c r="O139" s="440">
        <f t="shared" si="32"/>
        <v>0</v>
      </c>
      <c r="P139" s="440">
        <f t="shared" si="32"/>
        <v>0</v>
      </c>
      <c r="Q139" s="440">
        <f t="shared" si="32"/>
        <v>0</v>
      </c>
      <c r="R139" s="440">
        <f t="shared" si="32"/>
        <v>0</v>
      </c>
      <c r="S139" s="730"/>
      <c r="T139" s="730"/>
      <c r="U139" s="731"/>
      <c r="V139" s="731"/>
      <c r="W139" s="641"/>
      <c r="X139" s="641"/>
      <c r="Y139" s="641"/>
      <c r="AA139" s="641"/>
      <c r="AB139" s="641"/>
    </row>
    <row r="140" spans="1:28" s="690" customFormat="1" ht="11.25" hidden="1" x14ac:dyDescent="0.2">
      <c r="A140" s="215"/>
      <c r="B140" s="215"/>
      <c r="C140" s="215"/>
      <c r="D140" s="487"/>
      <c r="E140" s="641"/>
      <c r="F140" s="641"/>
      <c r="G140" s="641"/>
      <c r="H140" s="641"/>
      <c r="I140" s="643"/>
      <c r="J140" s="770"/>
      <c r="K140" s="766"/>
      <c r="L140" s="766"/>
      <c r="M140" s="766"/>
      <c r="N140" s="766"/>
      <c r="O140" s="766"/>
      <c r="P140" s="766"/>
      <c r="Q140" s="766"/>
      <c r="R140" s="766"/>
      <c r="S140" s="730"/>
      <c r="T140" s="730"/>
      <c r="U140" s="731"/>
      <c r="V140" s="731"/>
      <c r="W140" s="641"/>
      <c r="X140" s="641"/>
      <c r="Y140" s="641"/>
      <c r="AA140" s="641"/>
      <c r="AB140" s="641"/>
    </row>
    <row r="141" spans="1:28" s="690" customFormat="1" ht="11.25" hidden="1" x14ac:dyDescent="0.2">
      <c r="A141" s="215"/>
      <c r="B141" s="215"/>
      <c r="C141" s="215"/>
      <c r="D141" s="487"/>
      <c r="E141" s="641"/>
      <c r="F141" s="641"/>
      <c r="G141" s="641"/>
      <c r="H141" s="641"/>
      <c r="I141" s="643"/>
      <c r="J141" s="770"/>
      <c r="K141" s="766"/>
      <c r="L141" s="766"/>
      <c r="M141" s="766"/>
      <c r="N141" s="766"/>
      <c r="O141" s="766"/>
      <c r="P141" s="766"/>
      <c r="Q141" s="766"/>
      <c r="R141" s="766"/>
      <c r="S141" s="730"/>
      <c r="T141" s="730"/>
      <c r="U141" s="731"/>
      <c r="V141" s="731"/>
      <c r="W141" s="641"/>
      <c r="X141" s="641"/>
      <c r="Y141" s="641"/>
      <c r="AA141" s="641"/>
      <c r="AB141" s="641"/>
    </row>
    <row r="142" spans="1:28" s="690" customFormat="1" ht="11.25" x14ac:dyDescent="0.2">
      <c r="A142" s="215"/>
      <c r="B142" s="215"/>
      <c r="C142" s="215"/>
      <c r="D142" s="487"/>
      <c r="E142" s="641"/>
      <c r="F142" s="641"/>
      <c r="G142" s="641"/>
      <c r="H142" s="641"/>
      <c r="I142" s="643"/>
      <c r="J142" s="770"/>
      <c r="K142" s="766"/>
      <c r="L142" s="766"/>
      <c r="M142" s="766"/>
      <c r="N142" s="766"/>
      <c r="O142" s="766"/>
      <c r="P142" s="766"/>
      <c r="Q142" s="766"/>
      <c r="R142" s="766"/>
      <c r="S142" s="730"/>
      <c r="T142" s="730"/>
      <c r="U142" s="731"/>
      <c r="V142" s="731"/>
      <c r="W142" s="641"/>
      <c r="X142" s="641"/>
      <c r="Y142" s="641"/>
      <c r="AA142" s="641"/>
      <c r="AB142" s="641"/>
    </row>
    <row r="143" spans="1:28" s="690" customFormat="1" ht="11.25" x14ac:dyDescent="0.2">
      <c r="A143" s="215"/>
      <c r="B143" s="215"/>
      <c r="C143" s="215"/>
      <c r="D143" s="487"/>
      <c r="E143" s="641"/>
      <c r="F143" s="641"/>
      <c r="G143" s="641"/>
      <c r="H143" s="641"/>
      <c r="I143" s="643"/>
      <c r="J143" s="770"/>
      <c r="K143" s="766"/>
      <c r="L143" s="766"/>
      <c r="M143" s="766"/>
      <c r="N143" s="766"/>
      <c r="O143" s="766"/>
      <c r="P143" s="766"/>
      <c r="Q143" s="766"/>
      <c r="R143" s="766"/>
      <c r="S143" s="730"/>
      <c r="T143" s="730"/>
      <c r="U143" s="731"/>
      <c r="V143" s="731"/>
      <c r="W143" s="641"/>
      <c r="X143" s="641"/>
      <c r="Y143" s="641"/>
      <c r="AA143" s="641"/>
      <c r="AB143" s="641"/>
    </row>
    <row r="144" spans="1:28" s="690" customFormat="1" ht="11.25" x14ac:dyDescent="0.2">
      <c r="A144" s="215"/>
      <c r="B144" s="215"/>
      <c r="C144" s="215"/>
      <c r="D144" s="487"/>
      <c r="E144" s="641"/>
      <c r="F144" s="641"/>
      <c r="G144" s="641"/>
      <c r="H144" s="641"/>
      <c r="I144" s="643"/>
      <c r="J144" s="770"/>
      <c r="K144" s="766"/>
      <c r="L144" s="766"/>
      <c r="M144" s="766"/>
      <c r="N144" s="766"/>
      <c r="O144" s="766"/>
      <c r="P144" s="766"/>
      <c r="Q144" s="766"/>
      <c r="R144" s="766"/>
      <c r="S144" s="730"/>
      <c r="T144" s="730"/>
      <c r="U144" s="731"/>
      <c r="V144" s="731"/>
      <c r="W144" s="641"/>
      <c r="X144" s="641"/>
      <c r="Y144" s="641"/>
      <c r="AA144" s="641"/>
      <c r="AB144" s="641"/>
    </row>
    <row r="145" spans="1:28" s="690" customFormat="1" ht="11.25" x14ac:dyDescent="0.2">
      <c r="A145" s="215"/>
      <c r="B145" s="215"/>
      <c r="C145" s="215"/>
      <c r="D145" s="487"/>
      <c r="E145" s="641"/>
      <c r="F145" s="641"/>
      <c r="G145" s="641"/>
      <c r="H145" s="641"/>
      <c r="I145" s="643"/>
      <c r="J145" s="770"/>
      <c r="K145" s="766"/>
      <c r="L145" s="766"/>
      <c r="M145" s="766"/>
      <c r="N145" s="766"/>
      <c r="O145" s="766"/>
      <c r="P145" s="766"/>
      <c r="Q145" s="766"/>
      <c r="R145" s="766"/>
      <c r="S145" s="730"/>
      <c r="T145" s="730"/>
      <c r="U145" s="731"/>
      <c r="V145" s="731"/>
      <c r="W145" s="641"/>
      <c r="X145" s="641"/>
      <c r="Y145" s="641"/>
      <c r="AA145" s="641"/>
      <c r="AB145" s="641"/>
    </row>
    <row r="146" spans="1:28" s="690" customFormat="1" ht="11.25" x14ac:dyDescent="0.2">
      <c r="A146" s="215"/>
      <c r="B146" s="215"/>
      <c r="C146" s="215"/>
      <c r="D146" s="487"/>
      <c r="E146" s="641"/>
      <c r="F146" s="641"/>
      <c r="G146" s="641"/>
      <c r="H146" s="641"/>
      <c r="I146" s="643"/>
      <c r="J146" s="770"/>
      <c r="K146" s="766"/>
      <c r="L146" s="766"/>
      <c r="M146" s="766"/>
      <c r="N146" s="766"/>
      <c r="O146" s="766"/>
      <c r="P146" s="766"/>
      <c r="Q146" s="766"/>
      <c r="R146" s="766"/>
      <c r="S146" s="730"/>
      <c r="T146" s="730"/>
      <c r="U146" s="731"/>
      <c r="V146" s="731"/>
      <c r="W146" s="641"/>
      <c r="X146" s="641"/>
      <c r="Y146" s="641"/>
      <c r="AA146" s="641"/>
      <c r="AB146" s="641"/>
    </row>
    <row r="147" spans="1:28" s="690" customFormat="1" ht="11.25" x14ac:dyDescent="0.2">
      <c r="A147" s="215"/>
      <c r="B147" s="215"/>
      <c r="C147" s="215"/>
      <c r="D147" s="487"/>
      <c r="E147" s="641"/>
      <c r="F147" s="641"/>
      <c r="G147" s="641"/>
      <c r="H147" s="641"/>
      <c r="I147" s="643"/>
      <c r="J147" s="770"/>
      <c r="K147" s="766"/>
      <c r="L147" s="766"/>
      <c r="M147" s="766"/>
      <c r="N147" s="766"/>
      <c r="O147" s="766"/>
      <c r="P147" s="766"/>
      <c r="Q147" s="766"/>
      <c r="R147" s="766"/>
      <c r="S147" s="730"/>
      <c r="T147" s="730"/>
      <c r="U147" s="731"/>
      <c r="V147" s="731"/>
      <c r="W147" s="641"/>
      <c r="X147" s="641"/>
      <c r="Y147" s="641"/>
      <c r="AA147" s="641"/>
      <c r="AB147" s="641"/>
    </row>
  </sheetData>
  <scenarios current="0" show="0" sqref="R39:V39">
    <scenario name="Best Case" locked="1" count="10" user="adileq" comment="Created by adileq on 1/6/2013_x000a_Modified by adileq on 1/6/2013">
      <inputCells r="V45" undone="1" val="0.05" numFmtId="173"/>
      <inputCells r="V47" undone="1" val="0.06" numFmtId="173"/>
      <inputCells r="N98" undone="1" val="0.05" numFmtId="173"/>
      <inputCells r="M98" undone="1" val="0.05" numFmtId="173"/>
      <inputCells r="L98" undone="1" val="0.05" numFmtId="173"/>
      <inputCells r="K98" undone="1" val="0.05" numFmtId="173"/>
      <inputCells r="N100" undone="1" val="0.06" numFmtId="173"/>
      <inputCells r="M100" undone="1" val="0.06" numFmtId="173"/>
      <inputCells r="L100" undone="1" val="0.06" numFmtId="173"/>
      <inputCells r="K100" undone="1" val="0.06" numFmtId="173"/>
    </scenario>
  </scenarios>
  <printOptions horizontalCentered="1"/>
  <pageMargins left="0.25" right="0.25" top="0.75" bottom="0.75" header="0.3" footer="0.3"/>
  <pageSetup paperSize="5" scale="37" firstPageNumber="13" orientation="landscape" useFirstPageNumber="1" r:id="rId1"/>
  <headerFooter alignWithMargins="0">
    <oddFooter xml:space="preserve">&amp;R&amp;8&amp;D </oddFooter>
  </headerFooter>
  <colBreaks count="1" manualBreakCount="1">
    <brk id="25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X191"/>
  <sheetViews>
    <sheetView topLeftCell="G1" zoomScale="70" zoomScaleNormal="70" zoomScalePageLayoutView="70" workbookViewId="0">
      <selection activeCell="G43" sqref="G43"/>
    </sheetView>
  </sheetViews>
  <sheetFormatPr defaultColWidth="18.7109375" defaultRowHeight="12.75" customHeight="1" outlineLevelRow="1" x14ac:dyDescent="0.2"/>
  <cols>
    <col min="1" max="6" width="0" style="167" hidden="1" customWidth="1"/>
    <col min="7" max="7" width="31.140625" style="167" customWidth="1"/>
    <col min="8" max="8" width="21.42578125" style="167" customWidth="1"/>
    <col min="9" max="9" width="37" style="672" customWidth="1"/>
    <col min="10" max="10" width="19.5703125" style="167" bestFit="1" customWidth="1"/>
    <col min="11" max="12" width="16.7109375" style="216" customWidth="1"/>
    <col min="13" max="13" width="16.140625" style="216" customWidth="1"/>
    <col min="14" max="14" width="16.140625" style="649" customWidth="1"/>
    <col min="15" max="15" width="16.140625" style="216" customWidth="1"/>
    <col min="16" max="16" width="18.28515625" style="168" bestFit="1" customWidth="1"/>
    <col min="17" max="17" width="12.42578125" style="168" customWidth="1"/>
    <col min="18" max="18" width="14" style="167" customWidth="1"/>
    <col min="19" max="19" width="13.42578125" style="245" hidden="1" customWidth="1"/>
    <col min="20" max="20" width="16" style="194" customWidth="1"/>
    <col min="21" max="21" width="12.28515625" style="168" bestFit="1" customWidth="1"/>
    <col min="22" max="22" width="13.42578125" style="168" bestFit="1" customWidth="1"/>
    <col min="23" max="23" width="9.140625" style="167" customWidth="1"/>
    <col min="24" max="24" width="9.140625" style="181" customWidth="1"/>
    <col min="25" max="16384" width="18.7109375" style="167"/>
  </cols>
  <sheetData>
    <row r="1" spans="1:24" s="168" customFormat="1" ht="21" customHeight="1" x14ac:dyDescent="0.2">
      <c r="A1" s="207"/>
      <c r="G1" s="206" t="s">
        <v>234</v>
      </c>
      <c r="I1" s="194">
        <f>IF(I28="SHORT TO MEDIUM TERM ",0,1)</f>
        <v>0</v>
      </c>
      <c r="J1" s="216"/>
      <c r="K1" s="216"/>
      <c r="L1" s="216"/>
      <c r="N1" s="188"/>
      <c r="Q1" s="216"/>
      <c r="R1" s="216"/>
      <c r="S1" s="244"/>
      <c r="T1" s="194"/>
    </row>
    <row r="2" spans="1:24" ht="15.75" hidden="1" outlineLevel="1" x14ac:dyDescent="0.25">
      <c r="A2"/>
      <c r="G2" s="196" t="s">
        <v>247</v>
      </c>
      <c r="I2" s="181"/>
      <c r="J2" s="181"/>
      <c r="K2" s="168"/>
      <c r="L2" s="168"/>
      <c r="M2" s="196"/>
      <c r="N2" s="609"/>
      <c r="O2" s="196"/>
      <c r="P2" s="167"/>
      <c r="Q2" s="181"/>
      <c r="R2" s="181"/>
    </row>
    <row r="3" spans="1:24" hidden="1" outlineLevel="1" x14ac:dyDescent="0.2">
      <c r="G3" s="171" t="s">
        <v>226</v>
      </c>
      <c r="H3" s="169">
        <v>2013</v>
      </c>
      <c r="I3" s="180" t="s">
        <v>229</v>
      </c>
      <c r="J3" s="194">
        <f>MATCH(H3,'2. MD&amp;A'!$E$5:$X$5,0)</f>
        <v>13</v>
      </c>
      <c r="K3" s="168"/>
      <c r="L3" s="168"/>
      <c r="M3" s="171"/>
      <c r="N3" s="256"/>
      <c r="O3" s="171"/>
      <c r="P3" s="169"/>
      <c r="Q3" s="180"/>
      <c r="R3" s="194"/>
    </row>
    <row r="4" spans="1:24" ht="21" hidden="1" customHeight="1" outlineLevel="1" x14ac:dyDescent="0.2">
      <c r="G4" s="230" t="s">
        <v>227</v>
      </c>
      <c r="H4" s="231">
        <v>2020</v>
      </c>
      <c r="I4" s="180" t="s">
        <v>230</v>
      </c>
      <c r="J4" s="194">
        <f>MATCH(H4,'2. MD&amp;A'!$E$5:$X$5,0)</f>
        <v>20</v>
      </c>
      <c r="K4" s="168"/>
      <c r="L4" s="168"/>
      <c r="M4" s="230"/>
      <c r="N4" s="256"/>
      <c r="O4" s="171"/>
      <c r="P4" s="231"/>
      <c r="Q4" s="180"/>
      <c r="R4" s="194"/>
    </row>
    <row r="5" spans="1:24" hidden="1" outlineLevel="1" x14ac:dyDescent="0.2">
      <c r="G5" s="174"/>
      <c r="H5" s="175" t="s">
        <v>228</v>
      </c>
      <c r="I5" s="175" t="s">
        <v>228</v>
      </c>
      <c r="J5" s="175" t="str">
        <f>CONCATENATE(H4-H3,"-year")</f>
        <v>7-year</v>
      </c>
      <c r="K5" s="173" t="s">
        <v>248</v>
      </c>
      <c r="L5" s="168"/>
      <c r="M5" s="168"/>
      <c r="N5" s="188"/>
      <c r="O5" s="168"/>
      <c r="P5" s="174"/>
      <c r="Q5" s="189"/>
      <c r="R5" s="189"/>
      <c r="S5" s="495"/>
      <c r="T5" s="234"/>
      <c r="X5" s="181">
        <v>2006</v>
      </c>
    </row>
    <row r="6" spans="1:24" hidden="1" outlineLevel="1" x14ac:dyDescent="0.2">
      <c r="H6" s="175" t="s">
        <v>229</v>
      </c>
      <c r="I6" s="175" t="s">
        <v>230</v>
      </c>
      <c r="J6" s="175" t="s">
        <v>240</v>
      </c>
      <c r="K6" s="172" t="s">
        <v>229</v>
      </c>
      <c r="L6" s="168"/>
      <c r="M6" s="186"/>
      <c r="N6" s="186"/>
      <c r="O6" s="186"/>
      <c r="P6" s="167"/>
      <c r="Q6" s="189"/>
      <c r="R6" s="189"/>
      <c r="S6" s="495"/>
      <c r="X6" s="181">
        <v>2007</v>
      </c>
    </row>
    <row r="7" spans="1:24" hidden="1" outlineLevel="1" x14ac:dyDescent="0.2">
      <c r="G7" s="176" t="s">
        <v>126</v>
      </c>
      <c r="H7" s="189"/>
      <c r="I7" s="189"/>
      <c r="J7" s="212"/>
      <c r="K7" s="190"/>
      <c r="L7" s="168"/>
      <c r="P7" s="176"/>
      <c r="Q7" s="219"/>
      <c r="R7" s="189"/>
      <c r="S7" s="496"/>
      <c r="T7" s="501"/>
      <c r="X7" s="181">
        <v>2008</v>
      </c>
    </row>
    <row r="8" spans="1:24" hidden="1" outlineLevel="1" x14ac:dyDescent="0.2">
      <c r="G8" s="177" t="s">
        <v>24</v>
      </c>
      <c r="H8" s="182">
        <f ca="1">INDEX('2. MD&amp;A'!E$13:X$35,MATCH(Scenarios!G8,'2. MD&amp;A'!$E$13:$E$35,0),Scenarios!$J$4)-INDEX('2. MD&amp;A'!E$13:X$35,MATCH(Scenarios!G8,'2. MD&amp;A'!$E$13:$E$35,0),Scenarios!$J$3)</f>
        <v>-608906.33832844894</v>
      </c>
      <c r="I8" s="178">
        <f ca="1">IFERROR(H8/INDEX('2. MD&amp;A'!E$13:X$35,MATCH(Scenarios!G8,'2. MD&amp;A'!$E$13:$E$35,0),Scenarios!$J$3),"N/A")</f>
        <v>-1.3838780416555658</v>
      </c>
      <c r="J8" s="235">
        <f ca="1">IFERROR(((INDEX('2. MD&amp;A'!E$13:X$35,MATCH(Scenarios!G8,'2. MD&amp;A'!$E$13:$E$35,0),Scenarios!$J$4)/INDEX('2. MD&amp;A'!E$13:X$35,MATCH(Scenarios!G8,'2. MD&amp;A'!$E$13:$E$35,0),Scenarios!$J$3))^(1/(LEFT($H$4,4)-LEFT($H$3,4)))-1),"N/A")</f>
        <v>-1.8721657715961997</v>
      </c>
      <c r="K8" s="170">
        <f t="shared" ref="K8:K16" ca="1" si="0">IF($K$6="$", H8, J8)</f>
        <v>-608906.33832844894</v>
      </c>
      <c r="L8" s="168"/>
      <c r="P8" s="174"/>
      <c r="Q8" s="198"/>
      <c r="R8" s="199"/>
      <c r="S8" s="497"/>
      <c r="T8" s="501"/>
      <c r="X8" s="181">
        <v>2009</v>
      </c>
    </row>
    <row r="9" spans="1:24" hidden="1" outlineLevel="1" x14ac:dyDescent="0.2">
      <c r="G9" s="177" t="s">
        <v>25</v>
      </c>
      <c r="H9" s="182">
        <f ca="1">INDEX('2. MD&amp;A'!E$13:X$35,MATCH(Scenarios!G9,'2. MD&amp;A'!$E$13:$E$35,0),Scenarios!$J$4)-INDEX('2. MD&amp;A'!E$13:X$35,MATCH(Scenarios!G9,'2. MD&amp;A'!$E$13:$E$35,0),Scenarios!$J$3)</f>
        <v>272850.33592600003</v>
      </c>
      <c r="I9" s="178">
        <f ca="1">IFERROR(H9/INDEX('2. MD&amp;A'!E$13:X$35,MATCH(Scenarios!G9,'2. MD&amp;A'!$E$13:$E$35,0),Scenarios!$J$3),"N/A")</f>
        <v>2.3726116167478262</v>
      </c>
      <c r="J9" s="235">
        <f ca="1">IFERROR(((INDEX('2. MD&amp;A'!E$13:X$35,MATCH(Scenarios!G9,'2. MD&amp;A'!$E$13:$E$35,0),Scenarios!$J$4)/INDEX('2. MD&amp;A'!E$13:X$35,MATCH(Scenarios!G9,'2. MD&amp;A'!$E$13:$E$35,0),Scenarios!$J$3))^(1/(LEFT($H$4,4)-LEFT($H$3,4)))-1),"N/A")</f>
        <v>0.1896624711985484</v>
      </c>
      <c r="K9" s="170">
        <f t="shared" ca="1" si="0"/>
        <v>272850.33592600003</v>
      </c>
      <c r="L9" s="168"/>
      <c r="P9" s="174"/>
      <c r="Q9" s="198"/>
      <c r="R9" s="199"/>
      <c r="S9" s="498"/>
      <c r="T9" s="501"/>
      <c r="X9" s="181">
        <v>2010</v>
      </c>
    </row>
    <row r="10" spans="1:24" hidden="1" outlineLevel="1" x14ac:dyDescent="0.2">
      <c r="G10" s="177" t="s">
        <v>78</v>
      </c>
      <c r="H10" s="182">
        <f ca="1">IF(INDEX('2. MD&amp;A'!E$13:X$35,MATCH(Scenarios!G10,'2. MD&amp;A'!$E$13:$E$35,0),Scenarios!$J$3) = 0, "N/A", INDEX('2. MD&amp;A'!E$13:X$35,MATCH(Scenarios!G10,'2. MD&amp;A'!$E$13:$E$35,0),Scenarios!$J$4)-INDEX('2. MD&amp;A'!E$13:X$35,MATCH(Scenarios!G10,'2. MD&amp;A'!$E$13:$E$35,0),Scenarios!$J$3))</f>
        <v>657.04106445312209</v>
      </c>
      <c r="I10" s="178">
        <f ca="1">IFERROR(H10/INDEX('2. MD&amp;A'!E$13:X$35,MATCH(Scenarios!G10,'2. MD&amp;A'!$E$13:$E$35,0),Scenarios!$J$3),"N/A")</f>
        <v>0.13140821289062443</v>
      </c>
      <c r="J10" s="235">
        <f ca="1">IFERROR(((INDEX('2. MD&amp;A'!E$13:X$35,MATCH(Scenarios!G10,'2. MD&amp;A'!$E$13:$E$35,0),Scenarios!$J$4)/INDEX('2. MD&amp;A'!E$13:X$35,MATCH(Scenarios!G10,'2. MD&amp;A'!$E$13:$E$35,0),Scenarios!$J$3))^(1/(LEFT($H$4,4)-LEFT($H$3,4)))-1),"N/A")</f>
        <v>1.7794041051976572E-2</v>
      </c>
      <c r="K10" s="214">
        <f t="shared" ca="1" si="0"/>
        <v>657.04106445312209</v>
      </c>
      <c r="L10" s="168"/>
      <c r="P10" s="174"/>
      <c r="Q10" s="198"/>
      <c r="R10" s="199"/>
      <c r="S10" s="497"/>
      <c r="T10" s="501"/>
      <c r="X10" s="181">
        <v>2011</v>
      </c>
    </row>
    <row r="11" spans="1:24" hidden="1" outlineLevel="1" x14ac:dyDescent="0.2">
      <c r="G11" s="177" t="s">
        <v>173</v>
      </c>
      <c r="H11" s="182">
        <f ca="1">INDEX('2. MD&amp;A'!E$13:X$35,MATCH(Scenarios!G11,'2. MD&amp;A'!$E$13:$E$35,0),Scenarios!$J$4)-INDEX('2. MD&amp;A'!E$13:X$35,MATCH(Scenarios!G11,'2. MD&amp;A'!$E$13:$E$35,0),Scenarios!$J$3)</f>
        <v>33909.806835937372</v>
      </c>
      <c r="I11" s="178">
        <f ca="1">IFERROR(H11/INDEX('2. MD&amp;A'!E$13:X$35,MATCH(Scenarios!G11,'2. MD&amp;A'!$E$13:$E$35,0),Scenarios!$J$3),"N/A")</f>
        <v>0.15772003179505753</v>
      </c>
      <c r="J11" s="235">
        <f ca="1">IFERROR(((INDEX('2. MD&amp;A'!E$13:X$35,MATCH(Scenarios!G11,'2. MD&amp;A'!$E$13:$E$35,0),Scenarios!$J$4)/INDEX('2. MD&amp;A'!E$13:X$35,MATCH(Scenarios!G11,'2. MD&amp;A'!$E$13:$E$35,0),Scenarios!$J$3))^(1/(LEFT($H$4,4)-LEFT($H$3,4)))-1),"N/A")</f>
        <v>2.1142192449602026E-2</v>
      </c>
      <c r="K11" s="170">
        <f t="shared" ca="1" si="0"/>
        <v>33909.806835937372</v>
      </c>
      <c r="L11" s="168"/>
      <c r="P11" s="174"/>
      <c r="Q11" s="198"/>
      <c r="R11" s="199"/>
      <c r="S11" s="497"/>
      <c r="T11" s="501"/>
      <c r="X11" s="181">
        <v>2012</v>
      </c>
    </row>
    <row r="12" spans="1:24" hidden="1" outlineLevel="1" x14ac:dyDescent="0.2">
      <c r="G12" s="177" t="s">
        <v>174</v>
      </c>
      <c r="H12" s="182">
        <f ca="1">INDEX('2. MD&amp;A'!E$13:X$35,MATCH(Scenarios!G12,'2. MD&amp;A'!$E$13:$E$35,0),Scenarios!$J$4)-INDEX('2. MD&amp;A'!E$13:X$35,MATCH(Scenarios!G12,'2. MD&amp;A'!$E$13:$E$35,0),Scenarios!$J$3)</f>
        <v>49166.135351562349</v>
      </c>
      <c r="I12" s="178">
        <f ca="1">IFERROR(H12/INDEX('2. MD&amp;A'!E$13:X$35,MATCH(Scenarios!G12,'2. MD&amp;A'!$E$13:$E$35,0),Scenarios!$J$3),"N/A")</f>
        <v>0.2006781034757647</v>
      </c>
      <c r="J12" s="235">
        <f ca="1">IFERROR(((INDEX('2. MD&amp;A'!E$13:X$35,MATCH(Scenarios!G12,'2. MD&amp;A'!$E$13:$E$35,0),Scenarios!$J$4)/INDEX('2. MD&amp;A'!E$13:X$35,MATCH(Scenarios!G12,'2. MD&amp;A'!$E$13:$E$35,0),Scenarios!$J$3))^(1/(LEFT($H$4,4)-LEFT($H$3,4)))-1),"N/A")</f>
        <v>2.6470933023467147E-2</v>
      </c>
      <c r="K12" s="170">
        <f t="shared" ca="1" si="0"/>
        <v>49166.135351562349</v>
      </c>
      <c r="L12" s="168"/>
      <c r="P12" s="174"/>
      <c r="Q12" s="198"/>
      <c r="R12" s="199"/>
      <c r="S12" s="497"/>
      <c r="T12" s="501"/>
      <c r="X12" s="181">
        <v>2013</v>
      </c>
    </row>
    <row r="13" spans="1:24" hidden="1" outlineLevel="1" x14ac:dyDescent="0.2">
      <c r="G13" s="177" t="s">
        <v>211</v>
      </c>
      <c r="H13" s="182">
        <f ca="1">INDEX('2. MD&amp;A'!E$13:X$35,MATCH(Scenarios!G13,'2. MD&amp;A'!$E$13:$E$35,0),Scenarios!$J$4)-INDEX('2. MD&amp;A'!E$13:X$35,MATCH(Scenarios!G13,'2. MD&amp;A'!$E$13:$E$35,0),Scenarios!$J$3)</f>
        <v>50767.221865906147</v>
      </c>
      <c r="I13" s="178">
        <f ca="1">IFERROR(H13/INDEX('2. MD&amp;A'!E$13:X$35,MATCH(Scenarios!G13,'2. MD&amp;A'!$E$13:$E$35,0),Scenarios!$J$3),"N/A")</f>
        <v>0.28204012147725638</v>
      </c>
      <c r="J13" s="235">
        <f ca="1">IFERROR(((INDEX('2. MD&amp;A'!E$13:X$35,MATCH(Scenarios!G13,'2. MD&amp;A'!$E$13:$E$35,0),Scenarios!$J$4)/INDEX('2. MD&amp;A'!E$13:X$35,MATCH(Scenarios!G13,'2. MD&amp;A'!$E$13:$E$35,0),Scenarios!$J$3))^(1/(LEFT($H$4,4)-LEFT($H$3,4)))-1),"N/A")</f>
        <v>3.6130640014657489E-2</v>
      </c>
      <c r="K13" s="170">
        <f t="shared" ca="1" si="0"/>
        <v>50767.221865906147</v>
      </c>
      <c r="L13" s="168"/>
      <c r="P13" s="174"/>
      <c r="Q13" s="198"/>
      <c r="R13" s="199"/>
      <c r="S13" s="497"/>
      <c r="T13" s="501"/>
      <c r="X13" s="181">
        <v>2014</v>
      </c>
    </row>
    <row r="14" spans="1:24" hidden="1" outlineLevel="1" x14ac:dyDescent="0.2">
      <c r="G14" s="177" t="s">
        <v>27</v>
      </c>
      <c r="H14" s="182">
        <f ca="1">INDEX('2. MD&amp;A'!E$13:X$35,MATCH(Scenarios!G14,'2. MD&amp;A'!$E$13:$E$35,0),Scenarios!$J$4)-INDEX('2. MD&amp;A'!E$13:X$35,MATCH(Scenarios!G14,'2. MD&amp;A'!$E$13:$E$35,0),Scenarios!$J$3)</f>
        <v>23768.630564687439</v>
      </c>
      <c r="I14" s="178">
        <f ca="1">IFERROR(H14/INDEX('2. MD&amp;A'!E$13:X$35,MATCH(Scenarios!G14,'2. MD&amp;A'!$E$13:$E$35,0),Scenarios!$J$3),"N/A")</f>
        <v>0.25019611120723617</v>
      </c>
      <c r="J14" s="235">
        <f ca="1">IFERROR(((INDEX('2. MD&amp;A'!E$13:X$35,MATCH(Scenarios!G14,'2. MD&amp;A'!$E$13:$E$35,0),Scenarios!$J$4)/INDEX('2. MD&amp;A'!E$13:X$35,MATCH(Scenarios!G14,'2. MD&amp;A'!$E$13:$E$35,0),Scenarios!$J$3))^(1/(LEFT($H$4,4)-LEFT($H$3,4)))-1),"N/A")</f>
        <v>3.2414321837959337E-2</v>
      </c>
      <c r="K14" s="170">
        <f t="shared" ca="1" si="0"/>
        <v>23768.630564687439</v>
      </c>
      <c r="L14" s="168"/>
      <c r="P14" s="174"/>
      <c r="Q14" s="198"/>
      <c r="R14" s="199"/>
      <c r="S14" s="497"/>
      <c r="T14" s="501"/>
      <c r="X14" s="181">
        <v>2015</v>
      </c>
    </row>
    <row r="15" spans="1:24" hidden="1" outlineLevel="1" x14ac:dyDescent="0.2">
      <c r="G15" s="177" t="s">
        <v>128</v>
      </c>
      <c r="H15" s="182">
        <f ca="1">IF(INDEX('2. MD&amp;A'!E$13:X$35,MATCH(Scenarios!G15,'2. MD&amp;A'!$E$13:$E$35,0),Scenarios!$J$3)=0,"N/A",INDEX('2. MD&amp;A'!E$13:X$35,MATCH(Scenarios!G15,'2. MD&amp;A'!$E$13:$E$35,0),Scenarios!$J$4)-INDEX('2. MD&amp;A'!E$13:X$35,MATCH(Scenarios!G15,'2. MD&amp;A'!$E$13:$E$35,0),Scenarios!$J$3))</f>
        <v>-40596.9808007838</v>
      </c>
      <c r="I15" s="178">
        <f ca="1">IFERROR(H15/INDEX('2. MD&amp;A'!E$13:X$35,MATCH(Scenarios!G15,'2. MD&amp;A'!$E$13:$E$35,0),Scenarios!$J$3),"N/A")</f>
        <v>-0.54129307734378396</v>
      </c>
      <c r="J15" s="235">
        <f ca="1">IFERROR(((INDEX('2. MD&amp;A'!E$13:X$35,MATCH(Scenarios!G15,'2. MD&amp;A'!$E$13:$E$35,0),Scenarios!$J$4)/INDEX('2. MD&amp;A'!E$13:X$35,MATCH(Scenarios!G15,'2. MD&amp;A'!$E$13:$E$35,0),Scenarios!$J$3))^(1/(LEFT($H$4,4)-LEFT($H$3,4)))-1),"N/A")</f>
        <v>-0.10536085013174012</v>
      </c>
      <c r="K15" s="214">
        <f t="shared" ca="1" si="0"/>
        <v>-40596.9808007838</v>
      </c>
      <c r="L15" s="168"/>
      <c r="P15" s="174"/>
      <c r="Q15" s="198"/>
      <c r="R15" s="199"/>
      <c r="S15" s="497"/>
      <c r="T15" s="501"/>
      <c r="X15" s="181">
        <v>2016</v>
      </c>
    </row>
    <row r="16" spans="1:24" hidden="1" outlineLevel="1" x14ac:dyDescent="0.2">
      <c r="G16" s="177" t="s">
        <v>127</v>
      </c>
      <c r="H16" s="182">
        <f ca="1">INDEX('2. MD&amp;A'!E$13:X$35,MATCH(Scenarios!G16,'2. MD&amp;A'!$E$13:$E$35,0),Scenarios!$J$4)-INDEX('2. MD&amp;A'!E$13:X$35,MATCH(Scenarios!G16,'2. MD&amp;A'!$E$13:$E$35,0),Scenarios!$J$3)</f>
        <v>25912.653543337481</v>
      </c>
      <c r="I16" s="178">
        <f ca="1">IFERROR(H16/INDEX('2. MD&amp;A'!E$13:X$35,MATCH(Scenarios!G16,'2. MD&amp;A'!$E$13:$E$35,0),Scenarios!$J$3),"N/A")</f>
        <v>0.23344732921925659</v>
      </c>
      <c r="J16" s="235">
        <f ca="1">IFERROR(((INDEX('2. MD&amp;A'!E$13:X$35,MATCH(Scenarios!G16,'2. MD&amp;A'!$E$13:$E$35,0),Scenarios!$J$4)/INDEX('2. MD&amp;A'!E$13:X$35,MATCH(Scenarios!G16,'2. MD&amp;A'!$E$13:$E$35,0),Scenarios!$J$3))^(1/(LEFT($H$4,4)-LEFT($H$3,4)))-1),"N/A")</f>
        <v>3.0426999959058731E-2</v>
      </c>
      <c r="K16" s="170">
        <f t="shared" ca="1" si="0"/>
        <v>25912.653543337481</v>
      </c>
      <c r="L16" s="168"/>
      <c r="P16" s="174"/>
      <c r="Q16" s="198"/>
      <c r="R16" s="199"/>
      <c r="S16" s="497"/>
      <c r="T16" s="501"/>
      <c r="X16" s="181">
        <v>2017</v>
      </c>
    </row>
    <row r="17" spans="1:24" ht="23.25" hidden="1" customHeight="1" outlineLevel="1" x14ac:dyDescent="0.2">
      <c r="G17" s="176" t="s">
        <v>130</v>
      </c>
      <c r="H17" s="183"/>
      <c r="I17" s="179"/>
      <c r="J17" s="237"/>
      <c r="K17" s="184"/>
      <c r="L17" s="168"/>
      <c r="M17" s="188"/>
      <c r="N17" s="188"/>
      <c r="O17" s="188"/>
      <c r="P17" s="176"/>
      <c r="Q17" s="183"/>
      <c r="R17" s="179"/>
      <c r="S17" s="499"/>
      <c r="T17" s="501"/>
      <c r="X17" s="181">
        <v>2018</v>
      </c>
    </row>
    <row r="18" spans="1:24" hidden="1" outlineLevel="1" x14ac:dyDescent="0.2">
      <c r="G18" s="177" t="s">
        <v>20</v>
      </c>
      <c r="H18" s="182">
        <f ca="1">INDEX('2. MD&amp;A'!E$13:X$35,MATCH(Scenarios!G18,'2. MD&amp;A'!$E$13:$E$35,0),Scenarios!$J$4)-INDEX('2. MD&amp;A'!E$13:X$35,MATCH(Scenarios!G18,'2. MD&amp;A'!$E$13:$E$35,0),Scenarios!$J$3)</f>
        <v>55967.703776000009</v>
      </c>
      <c r="I18" s="178">
        <f ca="1">IFERROR(H18/INDEX('2. MD&amp;A'!E$13:X$35,MATCH(Scenarios!G18,'2. MD&amp;A'!$E$13:$E$35,0),Scenarios!$J$3),"N/A")</f>
        <v>0.1776752500825397</v>
      </c>
      <c r="J18" s="235">
        <f ca="1">IFERROR(((INDEX('2. MD&amp;A'!E$13:X$35,MATCH(Scenarios!G18,'2. MD&amp;A'!$E$13:$E$35,0),Scenarios!$J$4)/INDEX('2. MD&amp;A'!E$13:X$35,MATCH(Scenarios!G18,'2. MD&amp;A'!$E$13:$E$35,0),Scenarios!$J$3))^(1/(LEFT($H$4,4)-LEFT($H$3,4)))-1),"N/A")</f>
        <v>2.3638252800494364E-2</v>
      </c>
      <c r="K18" s="170">
        <f t="shared" ref="K18:K26" ca="1" si="1">IF($K$6="$", H18, J18)</f>
        <v>55967.703776000009</v>
      </c>
      <c r="L18" s="168"/>
      <c r="M18" s="187"/>
      <c r="N18" s="187"/>
      <c r="O18" s="187"/>
      <c r="P18" s="174"/>
      <c r="Q18" s="198"/>
      <c r="R18" s="199"/>
      <c r="S18" s="498"/>
      <c r="T18" s="501"/>
      <c r="X18" s="181">
        <v>2019</v>
      </c>
    </row>
    <row r="19" spans="1:24" hidden="1" outlineLevel="1" x14ac:dyDescent="0.2">
      <c r="G19" s="177" t="s">
        <v>8</v>
      </c>
      <c r="H19" s="182">
        <f ca="1">INDEX('2. MD&amp;A'!E$13:X$35,MATCH(Scenarios!G19,'2. MD&amp;A'!$E$13:$E$35,0),Scenarios!$J$4)-INDEX('2. MD&amp;A'!E$13:X$35,MATCH(Scenarios!G19,'2. MD&amp;A'!$E$13:$E$35,0),Scenarios!$J$3)</f>
        <v>245636.54455867509</v>
      </c>
      <c r="I19" s="178">
        <f ca="1">IFERROR(H19/INDEX('2. MD&amp;A'!E$13:X$35,MATCH(Scenarios!G19,'2. MD&amp;A'!$E$13:$E$35,0),Scenarios!$J$3),"N/A")</f>
        <v>2.1359699526841314</v>
      </c>
      <c r="J19" s="235">
        <f ca="1">IFERROR(((INDEX('2. MD&amp;A'!E$13:X$35,MATCH(Scenarios!G19,'2. MD&amp;A'!$E$13:$E$35,0),Scenarios!$J$4)/INDEX('2. MD&amp;A'!E$13:X$35,MATCH(Scenarios!G19,'2. MD&amp;A'!$E$13:$E$35,0),Scenarios!$J$3))^(1/(LEFT($H$4,4)-LEFT($H$3,4)))-1),"N/A")</f>
        <v>0.17736269345152378</v>
      </c>
      <c r="K19" s="170">
        <f t="shared" ca="1" si="1"/>
        <v>245636.54455867509</v>
      </c>
      <c r="L19" s="168"/>
      <c r="M19" s="187"/>
      <c r="N19" s="187"/>
      <c r="O19" s="187"/>
      <c r="P19" s="174"/>
      <c r="Q19" s="198"/>
      <c r="R19" s="199"/>
      <c r="S19" s="497"/>
      <c r="T19" s="501"/>
      <c r="X19" s="181">
        <v>2020</v>
      </c>
    </row>
    <row r="20" spans="1:24" hidden="1" outlineLevel="1" x14ac:dyDescent="0.2">
      <c r="G20" s="177" t="s">
        <v>177</v>
      </c>
      <c r="H20" s="182">
        <f ca="1">INDEX('2. MD&amp;A'!E$13:X$35,MATCH(Scenarios!G20,'2. MD&amp;A'!$E$13:$E$35,0),Scenarios!$J$4)-INDEX('2. MD&amp;A'!E$13:X$35,MATCH(Scenarios!G20,'2. MD&amp;A'!$E$13:$E$35,0),Scenarios!$J$3)</f>
        <v>16516.581972656233</v>
      </c>
      <c r="I20" s="178">
        <f ca="1">IFERROR(H20/INDEX('2. MD&amp;A'!E$13:X$35,MATCH(Scenarios!G20,'2. MD&amp;A'!$E$13:$E$35,0),Scenarios!$J$3),"N/A")</f>
        <v>0.25410126111778819</v>
      </c>
      <c r="J20" s="235">
        <f ca="1">IFERROR(((INDEX('2. MD&amp;A'!E$13:X$35,MATCH(Scenarios!G20,'2. MD&amp;A'!$E$13:$E$35,0),Scenarios!$J$4)/INDEX('2. MD&amp;A'!E$13:X$35,MATCH(Scenarios!G20,'2. MD&amp;A'!$E$13:$E$35,0),Scenarios!$J$3))^(1/(LEFT($H$4,4)-LEFT($H$3,4)))-1),"N/A")</f>
        <v>3.2874403465983804E-2</v>
      </c>
      <c r="K20" s="170">
        <f t="shared" ca="1" si="1"/>
        <v>16516.581972656233</v>
      </c>
      <c r="L20" s="168"/>
      <c r="M20" s="195"/>
      <c r="N20" s="195"/>
      <c r="O20" s="195"/>
      <c r="P20" s="174"/>
      <c r="Q20" s="198"/>
      <c r="R20" s="199"/>
      <c r="S20" s="497"/>
      <c r="T20" s="501"/>
    </row>
    <row r="21" spans="1:24" hidden="1" outlineLevel="1" x14ac:dyDescent="0.2">
      <c r="G21" s="177" t="s">
        <v>9</v>
      </c>
      <c r="H21" s="182">
        <f ca="1">INDEX('2. MD&amp;A'!E$13:X$35,MATCH(Scenarios!G21,'2. MD&amp;A'!$E$13:$E$35,0),Scenarios!$J$4)-INDEX('2. MD&amp;A'!E$13:X$35,MATCH(Scenarios!G21,'2. MD&amp;A'!$E$13:$E$35,0),Scenarios!$J$3)</f>
        <v>33909.806835937372</v>
      </c>
      <c r="I21" s="178">
        <f ca="1">IFERROR(H21/INDEX('2. MD&amp;A'!E$13:X$35,MATCH(Scenarios!G21,'2. MD&amp;A'!$E$13:$E$35,0),Scenarios!$J$3),"N/A")</f>
        <v>0.15772003179505753</v>
      </c>
      <c r="J21" s="235">
        <f ca="1">IFERROR(((INDEX('2. MD&amp;A'!E$13:X$35,MATCH(Scenarios!G21,'2. MD&amp;A'!$E$13:$E$35,0),Scenarios!$J$4)/INDEX('2. MD&amp;A'!E$13:X$35,MATCH(Scenarios!G21,'2. MD&amp;A'!$E$13:$E$35,0),Scenarios!$J$3))^(1/(LEFT($H$4,4)-LEFT($H$3,4)))-1),"N/A")</f>
        <v>2.1142192449602026E-2</v>
      </c>
      <c r="K21" s="170">
        <f t="shared" ca="1" si="1"/>
        <v>33909.806835937372</v>
      </c>
      <c r="L21" s="168"/>
      <c r="M21" s="187"/>
      <c r="N21" s="187"/>
      <c r="O21" s="187"/>
      <c r="P21" s="174"/>
      <c r="Q21" s="198"/>
      <c r="R21" s="199"/>
      <c r="S21" s="497"/>
      <c r="T21" s="501"/>
    </row>
    <row r="22" spans="1:24" hidden="1" outlineLevel="1" x14ac:dyDescent="0.2">
      <c r="G22" s="177" t="s">
        <v>4</v>
      </c>
      <c r="H22" s="182">
        <f ca="1">INDEX('2. MD&amp;A'!E$13:X$35,MATCH(Scenarios!G22,'2. MD&amp;A'!$E$13:$E$35,0),Scenarios!$J$4)-INDEX('2. MD&amp;A'!E$13:X$35,MATCH(Scenarios!G22,'2. MD&amp;A'!$E$13:$E$35,0),Scenarios!$J$3)</f>
        <v>14198.574902343738</v>
      </c>
      <c r="I22" s="178">
        <f ca="1">IFERROR(H22/INDEX('2. MD&amp;A'!E$13:X$35,MATCH(Scenarios!G22,'2. MD&amp;A'!$E$13:$E$35,0),Scenarios!$J$3),"N/A")</f>
        <v>0.21843961388221136</v>
      </c>
      <c r="J22" s="235">
        <f ca="1">IFERROR(((INDEX('2. MD&amp;A'!E$13:X$35,MATCH(Scenarios!G22,'2. MD&amp;A'!$E$13:$E$35,0),Scenarios!$J$4)/INDEX('2. MD&amp;A'!E$13:X$35,MATCH(Scenarios!G22,'2. MD&amp;A'!$E$13:$E$35,0),Scenarios!$J$3))^(1/(LEFT($H$4,4)-LEFT($H$3,4)))-1),"N/A")</f>
        <v>2.8626516855539075E-2</v>
      </c>
      <c r="K22" s="170">
        <f t="shared" ca="1" si="1"/>
        <v>14198.574902343738</v>
      </c>
      <c r="L22" s="168"/>
      <c r="M22" s="187"/>
      <c r="N22" s="187"/>
      <c r="O22" s="187"/>
      <c r="P22" s="174"/>
      <c r="Q22" s="198"/>
      <c r="R22" s="199"/>
      <c r="S22" s="497"/>
      <c r="T22" s="501"/>
    </row>
    <row r="23" spans="1:24" hidden="1" outlineLevel="1" x14ac:dyDescent="0.2">
      <c r="G23" s="177" t="s">
        <v>10</v>
      </c>
      <c r="H23" s="182">
        <f ca="1">INDEX('2. MD&amp;A'!E$13:X$35,MATCH(Scenarios!G23,'2. MD&amp;A'!$E$13:$E$35,0),Scenarios!$J$4)-INDEX('2. MD&amp;A'!E$13:X$35,MATCH(Scenarios!G23,'2. MD&amp;A'!$E$13:$E$35,0),Scenarios!$J$3)</f>
        <v>20768.98554687493</v>
      </c>
      <c r="I23" s="178">
        <f ca="1">IFERROR(H23/INDEX('2. MD&amp;A'!E$13:X$35,MATCH(Scenarios!G23,'2. MD&amp;A'!$E$13:$E$35,0),Scenarios!$J$3),"N/A")</f>
        <v>0.18059987432065155</v>
      </c>
      <c r="J23" s="235">
        <f ca="1">IFERROR(((INDEX('2. MD&amp;A'!E$13:X$35,MATCH(Scenarios!G23,'2. MD&amp;A'!$E$13:$E$35,0),Scenarios!$J$4)/INDEX('2. MD&amp;A'!E$13:X$35,MATCH(Scenarios!G23,'2. MD&amp;A'!$E$13:$E$35,0),Scenarios!$J$3))^(1/(LEFT($H$4,4)-LEFT($H$3,4)))-1),"N/A")</f>
        <v>2.4001022691171769E-2</v>
      </c>
      <c r="K23" s="170">
        <f t="shared" ca="1" si="1"/>
        <v>20768.98554687493</v>
      </c>
      <c r="L23" s="168"/>
      <c r="M23" s="187"/>
      <c r="N23" s="187"/>
      <c r="O23" s="187"/>
      <c r="P23" s="174"/>
      <c r="Q23" s="198"/>
      <c r="R23" s="199"/>
      <c r="S23" s="497"/>
      <c r="T23" s="501"/>
    </row>
    <row r="24" spans="1:24" hidden="1" outlineLevel="1" x14ac:dyDescent="0.2">
      <c r="G24" s="177" t="s">
        <v>196</v>
      </c>
      <c r="H24" s="182">
        <f ca="1">INDEX('2. MD&amp;A'!E$13:X$35,MATCH(Scenarios!G24,'2. MD&amp;A'!$E$13:$E$35,0),Scenarios!$J$4)-INDEX('2. MD&amp;A'!E$13:X$35,MATCH(Scenarios!G24,'2. MD&amp;A'!$E$13:$E$35,0),Scenarios!$J$3)</f>
        <v>6768.9855468749302</v>
      </c>
      <c r="I24" s="178">
        <f ca="1">IFERROR(H24/INDEX('2. MD&amp;A'!E$13:X$35,MATCH(Scenarios!G24,'2. MD&amp;A'!$E$13:$E$35,0),Scenarios!$J$3),"N/A")</f>
        <v>0.21835437247983647</v>
      </c>
      <c r="J24" s="235">
        <f ca="1">IFERROR(((INDEX('2. MD&amp;A'!E$13:X$35,MATCH(Scenarios!G24,'2. MD&amp;A'!$E$13:$E$35,0),Scenarios!$J$4)/INDEX('2. MD&amp;A'!E$13:X$35,MATCH(Scenarios!G24,'2. MD&amp;A'!$E$13:$E$35,0),Scenarios!$J$3))^(1/(LEFT($H$4,4)-LEFT($H$3,4)))-1),"N/A")</f>
        <v>2.8616236236334913E-2</v>
      </c>
      <c r="K24" s="170">
        <f t="shared" ca="1" si="1"/>
        <v>6768.9855468749302</v>
      </c>
      <c r="L24" s="168"/>
      <c r="M24" s="187"/>
      <c r="N24" s="187"/>
      <c r="O24" s="187"/>
      <c r="P24" s="174"/>
      <c r="Q24" s="198"/>
      <c r="R24" s="199"/>
      <c r="S24" s="497"/>
      <c r="T24" s="501"/>
    </row>
    <row r="25" spans="1:24" hidden="1" outlineLevel="1" x14ac:dyDescent="0.2">
      <c r="G25" s="177" t="s">
        <v>115</v>
      </c>
      <c r="H25" s="182">
        <f>IF(INDEX('2. MD&amp;A'!E$13:X$35,MATCH(Scenarios!G25,'2. MD&amp;A'!$E$13:$E$35,0),Scenarios!$J$3)=0," N/A", INDEX('2. MD&amp;A'!E$13:X$35,MATCH(Scenarios!G25,'2. MD&amp;A'!$E$13:$E$35,0),Scenarios!$J$4)-INDEX('2. MD&amp;A'!E$13:X$35,MATCH(Scenarios!G25,'2. MD&amp;A'!$E$13:$E$35,0),Scenarios!$J$3))</f>
        <v>-27259</v>
      </c>
      <c r="I25" s="178">
        <f>IFERROR(H25/INDEX('2. MD&amp;A'!E$13:X$35,MATCH(Scenarios!G25,'2. MD&amp;A'!$E$13:$E$35,0),Scenarios!$J$3),"N/A")</f>
        <v>-0.24196025173310609</v>
      </c>
      <c r="J25" s="235">
        <f>IFERROR(((INDEX('2. MD&amp;A'!E$13:X$35,MATCH(Scenarios!G25,'2. MD&amp;A'!$E$13:$E$35,0),Scenarios!$J$4)/INDEX('2. MD&amp;A'!E$13:X$35,MATCH(Scenarios!G25,'2. MD&amp;A'!$E$13:$E$35,0),Scenarios!$J$3))^(1/(LEFT($H$4,4)-LEFT($H$3,4)))-1),"N/A")</f>
        <v>-3.8801377333940845E-2</v>
      </c>
      <c r="K25" s="214">
        <f t="shared" si="1"/>
        <v>-27259</v>
      </c>
      <c r="L25" s="168"/>
      <c r="M25" s="187"/>
      <c r="N25" s="187"/>
      <c r="O25" s="187"/>
      <c r="P25" s="174"/>
      <c r="Q25" s="198"/>
      <c r="R25" s="199"/>
      <c r="S25" s="497"/>
      <c r="T25" s="501"/>
    </row>
    <row r="26" spans="1:24" hidden="1" outlineLevel="1" x14ac:dyDescent="0.2">
      <c r="G26" s="177" t="s">
        <v>11</v>
      </c>
      <c r="H26" s="182">
        <f ca="1">INDEX('2. MD&amp;A'!E$13:X$35,MATCH(Scenarios!G26,'2. MD&amp;A'!$E$13:$E$35,0),Scenarios!$J$4)-INDEX('2. MD&amp;A'!E$13:X$35,MATCH(Scenarios!G26,'2. MD&amp;A'!$E$13:$E$35,0),Scenarios!$J$3)</f>
        <v>110137.63184128114</v>
      </c>
      <c r="I26" s="178">
        <f ca="1">IFERROR(H26/INDEX('2. MD&amp;A'!E$13:X$35,MATCH(Scenarios!G26,'2. MD&amp;A'!$E$13:$E$35,0),Scenarios!$J$3),"N/A")</f>
        <v>0.43191228173051427</v>
      </c>
      <c r="J26" s="235">
        <f ca="1">IFERROR(((INDEX('2. MD&amp;A'!E$13:X$35,MATCH(Scenarios!G26,'2. MD&amp;A'!$E$13:$E$35,0),Scenarios!$J$4)/INDEX('2. MD&amp;A'!E$13:X$35,MATCH(Scenarios!G26,'2. MD&amp;A'!$E$13:$E$35,0),Scenarios!$J$3))^(1/(LEFT($H$4,4)-LEFT($H$3,4)))-1),"N/A")</f>
        <v>5.2625225609340021E-2</v>
      </c>
      <c r="K26" s="170">
        <f t="shared" ca="1" si="1"/>
        <v>110137.63184128114</v>
      </c>
      <c r="L26" s="168"/>
      <c r="M26" s="187"/>
      <c r="N26" s="187"/>
      <c r="O26" s="187"/>
      <c r="P26" s="174"/>
      <c r="Q26" s="198"/>
      <c r="R26" s="199"/>
      <c r="S26" s="497"/>
      <c r="T26" s="501"/>
    </row>
    <row r="27" spans="1:24" hidden="1" outlineLevel="1" x14ac:dyDescent="0.2">
      <c r="G27" s="191"/>
      <c r="H27" s="192"/>
      <c r="I27" s="193"/>
      <c r="J27" s="192"/>
      <c r="K27" s="192"/>
      <c r="L27" s="187"/>
      <c r="M27" s="191"/>
      <c r="N27" s="650"/>
      <c r="O27" s="191"/>
      <c r="P27" s="192"/>
      <c r="Q27" s="198"/>
      <c r="R27" s="170"/>
      <c r="T27" s="501"/>
    </row>
    <row r="28" spans="1:24" ht="30.75" customHeight="1" collapsed="1" x14ac:dyDescent="0.35">
      <c r="A28" s="202"/>
      <c r="G28" s="185" t="s">
        <v>232</v>
      </c>
      <c r="H28" s="192"/>
      <c r="I28" s="816" t="s">
        <v>408</v>
      </c>
      <c r="J28" s="653" t="s">
        <v>349</v>
      </c>
      <c r="K28" s="194">
        <f>IF($J$28="Traditional MD&amp;A ",1,IF($J$28="Net Income",2,IF($J$28="Cash Flow",3,4)))</f>
        <v>2</v>
      </c>
      <c r="L28" s="194">
        <f>IF($J$28="Traditional MD&amp;A ",1,IF($J$28="Net Income",2,3))</f>
        <v>2</v>
      </c>
      <c r="M28" s="191"/>
      <c r="N28" s="200"/>
      <c r="O28" s="191"/>
      <c r="P28" s="192"/>
      <c r="Q28" s="193"/>
      <c r="R28" s="208" t="s">
        <v>188</v>
      </c>
    </row>
    <row r="29" spans="1:24" ht="11.25" hidden="1" customHeight="1" x14ac:dyDescent="0.35">
      <c r="A29" s="202"/>
      <c r="F29" s="185"/>
      <c r="G29" s="185"/>
      <c r="H29" s="192"/>
      <c r="I29" s="193"/>
      <c r="J29" s="170"/>
      <c r="K29" s="168"/>
      <c r="L29" s="187"/>
      <c r="M29" s="191"/>
      <c r="N29" s="650"/>
      <c r="O29" s="191"/>
      <c r="P29" s="192"/>
      <c r="Q29" s="193"/>
      <c r="R29" s="208" t="s">
        <v>23</v>
      </c>
    </row>
    <row r="30" spans="1:24" ht="42" customHeight="1" x14ac:dyDescent="0.2">
      <c r="F30" s="203"/>
      <c r="G30" s="245"/>
      <c r="H30"/>
      <c r="I30" s="225"/>
      <c r="J30" s="652" t="s">
        <v>392</v>
      </c>
      <c r="K30" s="478" t="s">
        <v>195</v>
      </c>
      <c r="L30" s="478" t="s">
        <v>235</v>
      </c>
      <c r="M30" s="412" t="s">
        <v>239</v>
      </c>
      <c r="N30" s="188"/>
      <c r="O30" s="192"/>
      <c r="P30" s="193"/>
      <c r="Q30" s="213"/>
      <c r="R30" s="208" t="s">
        <v>22</v>
      </c>
      <c r="U30" s="167"/>
      <c r="V30" s="181"/>
      <c r="X30" s="167"/>
    </row>
    <row r="31" spans="1:24" ht="13.5" hidden="1" customHeight="1" x14ac:dyDescent="0.2">
      <c r="G31" s="655"/>
      <c r="I31" s="204"/>
      <c r="J31" s="404" t="s">
        <v>246</v>
      </c>
      <c r="K31" s="403">
        <v>-43488</v>
      </c>
      <c r="L31" s="403">
        <f>'2. MD&amp;A'!$Q$39</f>
        <v>192341</v>
      </c>
      <c r="M31" s="413">
        <f>L31-K31</f>
        <v>235829</v>
      </c>
      <c r="N31" s="651"/>
      <c r="O31" s="192"/>
      <c r="P31" s="193"/>
      <c r="Q31" s="213"/>
      <c r="R31" s="607" t="s">
        <v>21</v>
      </c>
      <c r="U31" s="167"/>
      <c r="V31" s="181"/>
      <c r="X31" s="167"/>
    </row>
    <row r="32" spans="1:24" ht="13.5" customHeight="1" x14ac:dyDescent="0.2">
      <c r="F32" s="201"/>
      <c r="G32" s="605" t="s">
        <v>349</v>
      </c>
      <c r="H32" s="243"/>
      <c r="I32" s="606">
        <v>2014</v>
      </c>
      <c r="J32" s="814">
        <f t="shared" ref="J32:J38" si="2">IF($I$1=0,I32+0,I32+6)</f>
        <v>2014</v>
      </c>
      <c r="K32" s="403">
        <f>INDEX(Saved_Scenarios!$B$4:$E$10,MATCH(J32,Saved_Scenarios!$A$4:$A$10,0),$K$28)</f>
        <v>-145435.375</v>
      </c>
      <c r="L32" s="403">
        <f>INDEX(Saved_Scenarios!$B$21:$E$33,MATCH(J32,Saved_Scenarios!$A$21:$A$33,0),$K$28)</f>
        <v>248000</v>
      </c>
      <c r="M32" s="413">
        <f>L32-K32</f>
        <v>393435.375</v>
      </c>
      <c r="N32" s="651"/>
      <c r="O32" s="246"/>
      <c r="Q32" s="181"/>
      <c r="R32" s="222"/>
      <c r="U32" s="167"/>
      <c r="V32" s="181"/>
      <c r="X32" s="167"/>
    </row>
    <row r="33" spans="1:24" ht="13.5" customHeight="1" x14ac:dyDescent="0.2">
      <c r="G33" s="194" t="s">
        <v>350</v>
      </c>
      <c r="I33" s="606">
        <v>2015</v>
      </c>
      <c r="J33" s="814">
        <f t="shared" si="2"/>
        <v>2015</v>
      </c>
      <c r="K33" s="403">
        <f>INDEX(Saved_Scenarios!$B$4:$E$16,MATCH(J33,Saved_Scenarios!$A$4:$A$16,0),$K$28)</f>
        <v>-114389.49169568019</v>
      </c>
      <c r="L33" s="403">
        <f>INDEX(Saved_Scenarios!$B$21:$E$33,MATCH(J33,Saved_Scenarios!$A$21:$A$33,0),$K$28)</f>
        <v>225000</v>
      </c>
      <c r="M33" s="413">
        <f>L33-K33</f>
        <v>339389.49169568019</v>
      </c>
      <c r="N33" s="651"/>
      <c r="O33" s="246"/>
      <c r="Q33" s="181"/>
      <c r="R33" s="181"/>
      <c r="U33" s="167"/>
      <c r="V33" s="181"/>
      <c r="X33" s="167"/>
    </row>
    <row r="34" spans="1:24" ht="15.75" x14ac:dyDescent="0.2">
      <c r="G34" s="181" t="s">
        <v>404</v>
      </c>
      <c r="I34" s="606">
        <v>2016</v>
      </c>
      <c r="J34" s="814">
        <f t="shared" si="2"/>
        <v>2016</v>
      </c>
      <c r="K34" s="403">
        <f>INDEX(Saved_Scenarios!$B$4:$E$16,MATCH(J34,Saved_Scenarios!$A$4:$A$16,0),$K$28)</f>
        <v>-133673.74078884674</v>
      </c>
      <c r="L34" s="403">
        <f ca="1">INDEX(Saved_Scenarios!$B$21:$E$33,MATCH(J34,Saved_Scenarios!$A$21:$A$33,0),$K$28)</f>
        <v>-424753.4687173015</v>
      </c>
      <c r="M34" s="413">
        <f ca="1">L34-K34</f>
        <v>-291079.72792845475</v>
      </c>
      <c r="N34" s="651"/>
      <c r="O34" s="244"/>
      <c r="P34" s="244"/>
      <c r="Q34" s="244"/>
      <c r="R34" s="244"/>
      <c r="S34" s="244"/>
      <c r="T34" s="502"/>
      <c r="U34" s="244"/>
      <c r="V34" s="245"/>
      <c r="W34" s="245"/>
      <c r="X34" s="245"/>
    </row>
    <row r="35" spans="1:24" ht="13.5" customHeight="1" x14ac:dyDescent="0.2">
      <c r="G35" s="245"/>
      <c r="I35" s="606">
        <v>2017</v>
      </c>
      <c r="J35" s="814">
        <f t="shared" si="2"/>
        <v>2017</v>
      </c>
      <c r="K35" s="403">
        <f>INDEX(Saved_Scenarios!$B$4:$E$16,MATCH(J35,Saved_Scenarios!$A$4:$A$16,0),$K$28)</f>
        <v>-125071.9292338863</v>
      </c>
      <c r="L35" s="403">
        <f ca="1">INDEX(Saved_Scenarios!$B$21:$E$33,MATCH(J35,Saved_Scenarios!$A$21:$A$33,0),$K$28)</f>
        <v>-438716.71070085862</v>
      </c>
      <c r="M35" s="413">
        <f ca="1">L35-K35</f>
        <v>-313644.78146697232</v>
      </c>
      <c r="N35" s="651"/>
      <c r="O35" s="232">
        <f>$N$35*'2. MD&amp;A'!R23</f>
        <v>0</v>
      </c>
      <c r="P35" s="232">
        <f>$N$35*'2. MD&amp;A'!S23</f>
        <v>0</v>
      </c>
      <c r="Q35" s="232">
        <f ca="1">$N$35*'2. MD&amp;A'!T23</f>
        <v>0</v>
      </c>
      <c r="R35" s="232">
        <f ca="1">$N$35*'2. MD&amp;A'!U23</f>
        <v>0</v>
      </c>
      <c r="S35" s="244">
        <f ca="1">$N$35*'2. MD&amp;A'!V23</f>
        <v>0</v>
      </c>
      <c r="T35" s="502">
        <f ca="1">$N$35*'2. MD&amp;A'!W23</f>
        <v>0</v>
      </c>
      <c r="U35" s="232">
        <f ca="1">$N$35*'2. MD&amp;A'!X23</f>
        <v>0</v>
      </c>
      <c r="V35" s="216"/>
      <c r="W35" s="245"/>
      <c r="X35" s="245"/>
    </row>
    <row r="36" spans="1:24" ht="13.5" customHeight="1" x14ac:dyDescent="0.2">
      <c r="G36" s="181" t="s">
        <v>408</v>
      </c>
      <c r="I36" s="815">
        <v>2018</v>
      </c>
      <c r="J36" s="814">
        <f t="shared" si="2"/>
        <v>2018</v>
      </c>
      <c r="K36" s="403">
        <f>INDEX(Saved_Scenarios!$B$4:$E$16,MATCH(J36,Saved_Scenarios!$A$4:$A$16,0),$K$28)</f>
        <v>-126881.08282362286</v>
      </c>
      <c r="L36" s="403">
        <f ca="1">INDEX(Saved_Scenarios!$B$21:$E$33,MATCH(J36,Saved_Scenarios!$A$21:$A$33,0),$K$28)</f>
        <v>-454268.36330096371</v>
      </c>
      <c r="M36" s="413">
        <f ca="1">IF($H$59&lt;&gt;'2. MD&amp;A'!$H$58,0,L36-K36)</f>
        <v>-327387.28047734086</v>
      </c>
      <c r="N36" s="651"/>
      <c r="O36" s="232">
        <f>$N$35*'2. MD&amp;A'!R37</f>
        <v>0</v>
      </c>
      <c r="P36" s="232">
        <f>$N$35*'2. MD&amp;A'!S37</f>
        <v>0</v>
      </c>
      <c r="Q36" s="232">
        <f ca="1">$N$35*'2. MD&amp;A'!T37</f>
        <v>0</v>
      </c>
      <c r="R36" s="232">
        <f ca="1">$N$35*'2. MD&amp;A'!U37</f>
        <v>0</v>
      </c>
      <c r="S36" s="244">
        <f ca="1">$N$35*'2. MD&amp;A'!V37</f>
        <v>0</v>
      </c>
      <c r="T36" s="502">
        <f ca="1">$N$35*'2. MD&amp;A'!W37</f>
        <v>0</v>
      </c>
      <c r="U36" s="232">
        <f ca="1">$N$35*'2. MD&amp;A'!X37</f>
        <v>0</v>
      </c>
      <c r="W36" s="168"/>
      <c r="X36" s="167"/>
    </row>
    <row r="37" spans="1:24" ht="13.5" customHeight="1" x14ac:dyDescent="0.2">
      <c r="G37" s="181" t="s">
        <v>409</v>
      </c>
      <c r="I37" s="606">
        <v>2019</v>
      </c>
      <c r="J37" s="814">
        <f t="shared" si="2"/>
        <v>2019</v>
      </c>
      <c r="K37" s="403">
        <f>INDEX(Saved_Scenarios!$B$4:$E$16,MATCH(J37,Saved_Scenarios!$A$4:$A$16,0),$K$28)</f>
        <v>-135041.70722936344</v>
      </c>
      <c r="L37" s="403">
        <f ca="1">INDEX(Saved_Scenarios!$B$21:$E$33,MATCH(J37,Saved_Scenarios!$A$21:$A$33,0),$K$28)</f>
        <v>-471500.50182560121</v>
      </c>
      <c r="M37" s="413">
        <f ca="1">IF($H$59&lt;&gt;'2. MD&amp;A'!$H$58,0,L37-K37)</f>
        <v>-336458.79459623777</v>
      </c>
      <c r="N37" s="651"/>
      <c r="O37" s="247"/>
      <c r="Q37" s="181"/>
      <c r="R37" s="181"/>
      <c r="V37" s="181"/>
      <c r="W37" s="168"/>
      <c r="X37" s="167"/>
    </row>
    <row r="38" spans="1:24" ht="13.5" customHeight="1" x14ac:dyDescent="0.2">
      <c r="I38" s="815">
        <v>2020</v>
      </c>
      <c r="J38" s="814">
        <f t="shared" si="2"/>
        <v>2020</v>
      </c>
      <c r="K38" s="403">
        <f>INDEX(Saved_Scenarios!$B$4:$E$16,MATCH(J38,Saved_Scenarios!$A$4:$A$16,0),$K$28)</f>
        <v>-147353.66358216561</v>
      </c>
      <c r="L38" s="403">
        <f ca="1">INDEX(Saved_Scenarios!$B$21:$E$33,MATCH(J38,Saved_Scenarios!$A$21:$A$33,0),$K$28)</f>
        <v>-490507.71717088285</v>
      </c>
      <c r="M38" s="414">
        <f ca="1">IF($H$59&lt;&gt;'2. MD&amp;A'!$H$58,0,L38-K38)</f>
        <v>-343154.05358871724</v>
      </c>
      <c r="N38" s="651"/>
      <c r="O38" s="168"/>
      <c r="Q38" s="181"/>
      <c r="R38" s="181"/>
      <c r="V38" s="181"/>
      <c r="W38" s="168"/>
      <c r="X38" s="167"/>
    </row>
    <row r="39" spans="1:24" s="168" customFormat="1" ht="15.75" customHeight="1" x14ac:dyDescent="0.2">
      <c r="G39"/>
      <c r="K39" s="181">
        <v>2006</v>
      </c>
      <c r="M39" s="415">
        <f ca="1">SUM(M31:M38)</f>
        <v>-643070.77136204275</v>
      </c>
      <c r="N39" s="188"/>
      <c r="O39" s="194">
        <f>MATCH($Q$41,'2. MD&amp;A'!$E$5:$X$5,0)</f>
        <v>17</v>
      </c>
      <c r="P39" s="194">
        <f>MATCH(Scenarios!$Q$41,Tuition!$E$113:$X$113,0)</f>
        <v>17</v>
      </c>
      <c r="Q39" s="194"/>
      <c r="R39" s="194" t="e">
        <f>MATCH($Q$41,#REF!,0)</f>
        <v>#REF!</v>
      </c>
      <c r="S39" s="245"/>
      <c r="T39" s="194"/>
      <c r="V39" s="181"/>
    </row>
    <row r="40" spans="1:24" ht="23.25" x14ac:dyDescent="0.35">
      <c r="A40" s="202"/>
      <c r="G40" s="185" t="s">
        <v>233</v>
      </c>
      <c r="I40" s="181">
        <v>2007</v>
      </c>
      <c r="J40" s="181"/>
      <c r="K40" s="181"/>
      <c r="L40" s="181"/>
      <c r="M40" s="181"/>
      <c r="N40" s="194"/>
      <c r="O40" s="181"/>
      <c r="P40" s="194"/>
      <c r="Q40" s="675" t="s">
        <v>239</v>
      </c>
      <c r="R40" s="675" t="s">
        <v>239</v>
      </c>
      <c r="W40" s="168"/>
    </row>
    <row r="41" spans="1:24" ht="15.75" x14ac:dyDescent="0.25">
      <c r="I41" s="609"/>
      <c r="J41" s="609">
        <f>J32</f>
        <v>2014</v>
      </c>
      <c r="K41" s="609">
        <f>J33</f>
        <v>2015</v>
      </c>
      <c r="L41" s="609">
        <f>J34</f>
        <v>2016</v>
      </c>
      <c r="M41" s="609">
        <f>J35</f>
        <v>2017</v>
      </c>
      <c r="N41" s="609">
        <f>J36</f>
        <v>2018</v>
      </c>
      <c r="O41" s="609">
        <f>J37</f>
        <v>2019</v>
      </c>
      <c r="P41" s="609">
        <f>J38</f>
        <v>2020</v>
      </c>
      <c r="Q41" s="676">
        <v>2017</v>
      </c>
      <c r="R41" s="677" t="s">
        <v>229</v>
      </c>
    </row>
    <row r="42" spans="1:24" ht="15.75" x14ac:dyDescent="0.25">
      <c r="F42" s="168"/>
      <c r="G42" s="405" t="s">
        <v>126</v>
      </c>
      <c r="H42" s="388"/>
      <c r="I42" s="586"/>
      <c r="J42" s="255"/>
      <c r="K42" s="255"/>
      <c r="L42" s="255"/>
      <c r="M42" s="255"/>
      <c r="N42" s="255"/>
      <c r="O42" s="255"/>
      <c r="P42" s="255"/>
      <c r="Q42" s="409"/>
      <c r="R42" s="409"/>
    </row>
    <row r="43" spans="1:24" ht="15" outlineLevel="1" x14ac:dyDescent="0.2">
      <c r="G43" s="406" t="s">
        <v>178</v>
      </c>
      <c r="H43" s="579"/>
      <c r="I43" s="590">
        <v>0</v>
      </c>
      <c r="J43" s="580">
        <v>0.01</v>
      </c>
      <c r="K43" s="580">
        <v>0.01</v>
      </c>
      <c r="L43" s="580">
        <v>0.01</v>
      </c>
      <c r="M43" s="580">
        <v>0.01</v>
      </c>
      <c r="N43" s="580">
        <v>0.01</v>
      </c>
      <c r="O43" s="580">
        <v>0.01</v>
      </c>
      <c r="P43" s="580">
        <v>0.01</v>
      </c>
      <c r="Q43" s="555" t="e">
        <f ca="1">T43-INDEX(#REF!,MATCH(Scenarios!G8,#REF!,0),Scenarios!$R$39)</f>
        <v>#REF!</v>
      </c>
      <c r="R43" s="411" t="e">
        <f ca="1">T43-INDEX(#REF!,MATCH(Scenarios!G8,#REF!,0),Scenarios!$R$39)</f>
        <v>#REF!</v>
      </c>
      <c r="S43" s="500" t="e">
        <f>INDEX(#REF!,MATCH(Scenarios!G8,#REF!,0),Scenarios!$R$39)</f>
        <v>#REF!</v>
      </c>
      <c r="T43" s="210">
        <f ca="1">INDEX('1. SRECNA'!$E$13:$X$60,MATCH($G$8,'1. SRECNA'!$E$13:$E$60,0),Scenarios!$O$39)-INDEX('1. SRECNA'!$E$13:$X$60,MATCH($R$28,'1. SRECNA'!$E$13:$E$60,0),Scenarios!$O$39)</f>
        <v>-168984.11412432868</v>
      </c>
    </row>
    <row r="44" spans="1:24" ht="15" outlineLevel="1" x14ac:dyDescent="0.2">
      <c r="G44" s="406" t="s">
        <v>242</v>
      </c>
      <c r="H44" s="579"/>
      <c r="I44" s="590">
        <v>0</v>
      </c>
      <c r="J44" s="580">
        <v>0.01</v>
      </c>
      <c r="K44" s="580">
        <v>0.01</v>
      </c>
      <c r="L44" s="580">
        <v>0.01</v>
      </c>
      <c r="M44" s="580">
        <v>0.01</v>
      </c>
      <c r="N44" s="580">
        <v>0.01</v>
      </c>
      <c r="O44" s="580">
        <v>0.01</v>
      </c>
      <c r="P44" s="580">
        <v>0.01</v>
      </c>
      <c r="Q44" s="410" t="e">
        <f ca="1">T44-INDEX(#REF!,MATCH(Scenarios!R28,#REF!,0),Scenarios!$R$39)</f>
        <v>#REF!</v>
      </c>
      <c r="R44" s="411" t="e">
        <f ca="1">T44-INDEX(#REF!,MATCH(Scenarios!R28,#REF!,0),Scenarios!$R$39)</f>
        <v>#REF!</v>
      </c>
      <c r="S44" s="500" t="e">
        <f>INDEX(#REF!,MATCH(Scenarios!R28,#REF!,0),Scenarios!$R$39)</f>
        <v>#REF!</v>
      </c>
      <c r="T44" s="210">
        <f ca="1">INDEX('1. SRECNA'!$E$13:$X$60,MATCH($R$28,'1. SRECNA'!$E$13:$E$60,0),Scenarios!$O$39)</f>
        <v>14.408960875046219</v>
      </c>
    </row>
    <row r="45" spans="1:24" ht="15" outlineLevel="1" x14ac:dyDescent="0.2">
      <c r="G45" s="406" t="s">
        <v>192</v>
      </c>
      <c r="H45" s="579"/>
      <c r="I45" s="590"/>
      <c r="J45" s="580">
        <v>0.01</v>
      </c>
      <c r="K45" s="580">
        <v>0.01</v>
      </c>
      <c r="L45" s="580">
        <v>0.01</v>
      </c>
      <c r="M45" s="580">
        <v>0.01</v>
      </c>
      <c r="N45" s="580">
        <v>0.01</v>
      </c>
      <c r="O45" s="580">
        <v>0.01</v>
      </c>
      <c r="P45" s="580">
        <v>0.01</v>
      </c>
      <c r="Q45" s="410" t="e">
        <f ca="1">T45-INDEX(#REF!,MATCH(Scenarios!G9,#REF!,0),Scenarios!$R$39)</f>
        <v>#REF!</v>
      </c>
      <c r="R45" s="411" t="e">
        <f ca="1">T45-INDEX(#REF!,MATCH(Scenarios!G9,#REF!,0),Scenarios!$R$39)</f>
        <v>#REF!</v>
      </c>
      <c r="S45" s="500" t="e">
        <f>INDEX(#REF!,MATCH(Scenarios!G9,#REF!,0),Scenarios!$R$39)</f>
        <v>#REF!</v>
      </c>
      <c r="T45" s="210">
        <f ca="1">INDEX('2. MD&amp;A'!E$13:X$35,MATCH(Scenarios!G9,'2. MD&amp;A'!$E$13:$E$35,0),Scenarios!$O$39)</f>
        <v>354938</v>
      </c>
    </row>
    <row r="46" spans="1:24" ht="15" outlineLevel="1" x14ac:dyDescent="0.2">
      <c r="G46" s="406" t="s">
        <v>175</v>
      </c>
      <c r="H46" s="579"/>
      <c r="I46" s="590">
        <v>-0.02</v>
      </c>
      <c r="J46" s="580">
        <v>0.01</v>
      </c>
      <c r="K46" s="580">
        <v>0.01</v>
      </c>
      <c r="L46" s="580">
        <v>0.01</v>
      </c>
      <c r="M46" s="580">
        <v>0.01</v>
      </c>
      <c r="N46" s="580">
        <v>0.01</v>
      </c>
      <c r="O46" s="580">
        <v>0.01</v>
      </c>
      <c r="P46" s="580">
        <v>0.01</v>
      </c>
      <c r="Q46" s="410" t="e">
        <f ca="1">T46-INDEX(#REF!,MATCH(Scenarios!G12,#REF!,0),Scenarios!$R$39)</f>
        <v>#REF!</v>
      </c>
      <c r="R46" s="411" t="e">
        <f ca="1">T46-INDEX(#REF!,MATCH(Scenarios!G12,#REF!,0),Scenarios!$R$39)</f>
        <v>#REF!</v>
      </c>
      <c r="S46" s="500" t="e">
        <f>INDEX(#REF!,MATCH(Scenarios!G12,#REF!,0),Scenarios!$R$39)</f>
        <v>#REF!</v>
      </c>
      <c r="T46" s="210">
        <f ca="1">INDEX('2. MD&amp;A'!E$13:X$35,MATCH(Scenarios!G12,'2. MD&amp;A'!$E$13:$E$35,0),Scenarios!$O$39)</f>
        <v>273162.49999999994</v>
      </c>
    </row>
    <row r="47" spans="1:24" ht="15" outlineLevel="1" x14ac:dyDescent="0.2">
      <c r="G47" s="406" t="s">
        <v>172</v>
      </c>
      <c r="H47" s="579"/>
      <c r="I47" s="590">
        <v>-7.4999999999999997E-2</v>
      </c>
      <c r="J47" s="580">
        <v>0.01</v>
      </c>
      <c r="K47" s="580">
        <v>0.01</v>
      </c>
      <c r="L47" s="580">
        <v>0.01</v>
      </c>
      <c r="M47" s="580">
        <v>0.01</v>
      </c>
      <c r="N47" s="580">
        <v>0.01</v>
      </c>
      <c r="O47" s="580">
        <v>0.01</v>
      </c>
      <c r="P47" s="580">
        <v>0.01</v>
      </c>
      <c r="Q47" s="410" t="e">
        <f ca="1">T47-INDEX(#REF!,MATCH(Scenarios!G11,#REF!,0),Scenarios!$R$39)</f>
        <v>#REF!</v>
      </c>
      <c r="R47" s="411" t="e">
        <f ca="1">T47-INDEX(#REF!,MATCH(Scenarios!G11,#REF!,0),Scenarios!$R$39)</f>
        <v>#REF!</v>
      </c>
      <c r="S47" s="500" t="e">
        <f>INDEX(#REF!,MATCH(Scenarios!G11,#REF!,0),Scenarios!$R$39)</f>
        <v>#REF!</v>
      </c>
      <c r="T47" s="210">
        <f ca="1">INDEX('2. MD&amp;A'!E$13:X$35,MATCH(Scenarios!G11,'2. MD&amp;A'!$E$13:$E$35,0),Scenarios!$O$39)</f>
        <v>231137.49999999994</v>
      </c>
    </row>
    <row r="48" spans="1:24" ht="15" outlineLevel="1" x14ac:dyDescent="0.2">
      <c r="G48" s="406" t="s">
        <v>193</v>
      </c>
      <c r="H48" s="579" t="s">
        <v>231</v>
      </c>
      <c r="I48" s="590">
        <v>0.2</v>
      </c>
      <c r="J48" s="580">
        <v>0.01</v>
      </c>
      <c r="K48" s="580">
        <v>0.01</v>
      </c>
      <c r="L48" s="580">
        <v>0.01</v>
      </c>
      <c r="M48" s="580">
        <v>0.01</v>
      </c>
      <c r="N48" s="580">
        <v>0.01</v>
      </c>
      <c r="O48" s="580">
        <v>0.01</v>
      </c>
      <c r="P48" s="580">
        <v>0.01</v>
      </c>
      <c r="Q48" s="555" t="e">
        <f ca="1">(T48-INDEX(#REF!,MATCH(Scenarios!G48,#REF!,0),Scenarios!$R$39))*(1-fee_NR_discount_factor)</f>
        <v>#REF!</v>
      </c>
      <c r="R48" s="411" t="e">
        <f ca="1">(T48-INDEX(#REF!,MATCH(Scenarios!G48,#REF!,0),Scenarios!$R$39))*(1-fee_NR_discount_factor)</f>
        <v>#REF!</v>
      </c>
      <c r="S48" s="500" t="e">
        <f>INDEX(#REF!,MATCH(Scenarios!G48,#REF!,0),Scenarios!$R$39)</f>
        <v>#REF!</v>
      </c>
      <c r="T48" s="210">
        <f ca="1">INDEX(Tuition!$E$123:$X$126,MATCH("Undergraduate",Tuition!$E$123:$E$126,0),Scenarios!$P$39)</f>
        <v>13.2613</v>
      </c>
    </row>
    <row r="49" spans="7:20" ht="15" outlineLevel="1" x14ac:dyDescent="0.2">
      <c r="G49" s="406" t="s">
        <v>191</v>
      </c>
      <c r="H49" s="579"/>
      <c r="I49" s="590">
        <v>0.03</v>
      </c>
      <c r="J49" s="580">
        <v>0.01</v>
      </c>
      <c r="K49" s="580">
        <v>0.01</v>
      </c>
      <c r="L49" s="580">
        <v>0.01</v>
      </c>
      <c r="M49" s="580">
        <v>0.01</v>
      </c>
      <c r="N49" s="580">
        <v>0.01</v>
      </c>
      <c r="O49" s="580">
        <v>0.01</v>
      </c>
      <c r="P49" s="580">
        <v>0.01</v>
      </c>
      <c r="Q49" s="410" t="e">
        <f ca="1">T49-INDEX(#REF!,MATCH(Scenarios!G14,#REF!,0),Scenarios!$R$39)</f>
        <v>#REF!</v>
      </c>
      <c r="R49" s="411" t="e">
        <f ca="1">T49-INDEX(#REF!,MATCH(Scenarios!G14,#REF!,0),Scenarios!$R$39)</f>
        <v>#REF!</v>
      </c>
      <c r="S49" s="500"/>
      <c r="T49" s="210">
        <f ca="1">INDEX('2. MD&amp;A'!E$13:X$35,MATCH(Scenarios!G14,'2. MD&amp;A'!$E$13:$E$35,0),Scenarios!$O$39)</f>
        <v>107122.49999999997</v>
      </c>
    </row>
    <row r="50" spans="7:20" ht="15" outlineLevel="1" x14ac:dyDescent="0.2">
      <c r="G50" s="406" t="s">
        <v>194</v>
      </c>
      <c r="H50" s="579"/>
      <c r="I50" s="590">
        <v>0.05</v>
      </c>
      <c r="J50" s="580">
        <v>0.01</v>
      </c>
      <c r="K50" s="580">
        <v>0.01</v>
      </c>
      <c r="L50" s="580">
        <v>0.01</v>
      </c>
      <c r="M50" s="580">
        <v>0.01</v>
      </c>
      <c r="N50" s="580">
        <v>0.01</v>
      </c>
      <c r="O50" s="580">
        <v>0.01</v>
      </c>
      <c r="P50" s="580">
        <v>0.01</v>
      </c>
      <c r="Q50" s="410" t="e">
        <f>T50-INDEX(#REF!,MATCH(Scenarios!G50,#REF!,0),Scenarios!$R$39)</f>
        <v>#REF!</v>
      </c>
      <c r="R50" s="411" t="e">
        <f>T50-INDEX(#REF!,MATCH(Scenarios!G50,#REF!,0),Scenarios!$R$39)</f>
        <v>#REF!</v>
      </c>
      <c r="S50" s="500" t="e">
        <f>INDEX(#REF!,MATCH(Scenarios!G15,#REF!,0),Scenarios!$R$39)</f>
        <v>#REF!</v>
      </c>
      <c r="T50" s="210">
        <f>INDEX('1. SRECNA'!$E$13:$X$83,MATCH("Endowment, net",'1. SRECNA'!$E$13:$E$83,0),Scenarios!$O$39)</f>
        <v>15581.4</v>
      </c>
    </row>
    <row r="51" spans="7:20" ht="1.5" customHeight="1" outlineLevel="1" x14ac:dyDescent="0.2">
      <c r="G51" s="588" t="s">
        <v>224</v>
      </c>
      <c r="H51" s="589" t="s">
        <v>153</v>
      </c>
      <c r="I51" s="590"/>
      <c r="J51" s="580">
        <v>0.01</v>
      </c>
      <c r="K51" s="580">
        <v>0.01</v>
      </c>
      <c r="L51" s="580">
        <v>0.01</v>
      </c>
      <c r="M51" s="580">
        <v>0.01</v>
      </c>
      <c r="N51" s="580">
        <v>0.01</v>
      </c>
      <c r="O51" s="580">
        <v>0.01</v>
      </c>
      <c r="P51" s="580">
        <v>0.01</v>
      </c>
      <c r="Q51" s="410">
        <v>0</v>
      </c>
      <c r="R51" s="411">
        <v>0</v>
      </c>
      <c r="S51" s="500">
        <f>IF(AND($H$51="YES",Q41=2014),(250000*0.13),0)</f>
        <v>0</v>
      </c>
      <c r="T51" s="210">
        <f>IF(AND($H$51="YES",Q41=2014),(250000*0.13),0)</f>
        <v>0</v>
      </c>
    </row>
    <row r="52" spans="7:20" ht="15" outlineLevel="1" x14ac:dyDescent="0.2">
      <c r="G52" s="406" t="s">
        <v>236</v>
      </c>
      <c r="H52" s="579"/>
      <c r="I52" s="695">
        <v>0</v>
      </c>
      <c r="J52" s="580">
        <v>0.01</v>
      </c>
      <c r="K52" s="580">
        <v>0.01</v>
      </c>
      <c r="L52" s="580">
        <v>0.01</v>
      </c>
      <c r="M52" s="580">
        <v>0.01</v>
      </c>
      <c r="N52" s="580">
        <v>0.01</v>
      </c>
      <c r="O52" s="580">
        <v>0.01</v>
      </c>
      <c r="P52" s="580">
        <v>0.01</v>
      </c>
      <c r="Q52" s="410" t="e">
        <f ca="1">T52-INDEX(#REF!,MATCH(Scenarios!R29,#REF!,0),Scenarios!$R$39)</f>
        <v>#REF!</v>
      </c>
      <c r="R52" s="411" t="e">
        <f ca="1">T52-INDEX(#REF!,MATCH(Scenarios!R29,#REF!,0),Scenarios!$R$39)</f>
        <v>#REF!</v>
      </c>
      <c r="S52" s="500" t="e">
        <f>INDEX(#REF!,MATCH(Scenarios!R29,#REF!,0),Scenarios!$R$39)</f>
        <v>#REF!</v>
      </c>
      <c r="T52" s="210">
        <f ca="1">INDEX('1. SRECNA'!$E$13:$X$60,MATCH($R$29,'1. SRECNA'!$E$13:$E$60,0),Scenarios!$O$39)</f>
        <v>100172.25</v>
      </c>
    </row>
    <row r="53" spans="7:20" ht="15" outlineLevel="1" x14ac:dyDescent="0.2">
      <c r="G53" s="406" t="s">
        <v>237</v>
      </c>
      <c r="H53" s="579"/>
      <c r="I53" s="695">
        <v>0</v>
      </c>
      <c r="J53" s="580">
        <v>0.01</v>
      </c>
      <c r="K53" s="580">
        <v>0.01</v>
      </c>
      <c r="L53" s="580">
        <v>0.01</v>
      </c>
      <c r="M53" s="580">
        <v>0.01</v>
      </c>
      <c r="N53" s="580">
        <v>0.01</v>
      </c>
      <c r="O53" s="580">
        <v>0.01</v>
      </c>
      <c r="P53" s="580">
        <v>0.01</v>
      </c>
      <c r="Q53" s="410" t="e">
        <f ca="1">T53-INDEX(#REF!,MATCH(Scenarios!R30,#REF!,0),Scenarios!$R$39)</f>
        <v>#REF!</v>
      </c>
      <c r="R53" s="411" t="e">
        <f ca="1">T53-INDEX(#REF!,MATCH(Scenarios!R30,#REF!,0),Scenarios!$R$39)</f>
        <v>#REF!</v>
      </c>
      <c r="S53" s="500" t="e">
        <f>INDEX(#REF!,MATCH(Scenarios!R30,#REF!,0),Scenarios!$R$39)</f>
        <v>#REF!</v>
      </c>
      <c r="T53" s="210">
        <f ca="1">INDEX('1. SRECNA'!$E$13:$X$60,MATCH($R$30,'1. SRECNA'!$E$13:$E$60,0),Scenarios!$O$39)</f>
        <v>105062.49999999997</v>
      </c>
    </row>
    <row r="54" spans="7:20" ht="15" outlineLevel="1" x14ac:dyDescent="0.2">
      <c r="G54" s="406" t="s">
        <v>238</v>
      </c>
      <c r="H54" s="579"/>
      <c r="I54" s="590">
        <v>0</v>
      </c>
      <c r="J54" s="580">
        <v>0.01</v>
      </c>
      <c r="K54" s="580">
        <v>0.01</v>
      </c>
      <c r="L54" s="580">
        <v>0.01</v>
      </c>
      <c r="M54" s="580">
        <v>0.01</v>
      </c>
      <c r="N54" s="580">
        <v>0.01</v>
      </c>
      <c r="O54" s="580">
        <v>0.01</v>
      </c>
      <c r="P54" s="580">
        <v>0.01</v>
      </c>
      <c r="Q54" s="410" t="e">
        <f ca="1">T54-INDEX(#REF!,MATCH(Scenarios!R31,#REF!,0),Scenarios!$R$39)</f>
        <v>#REF!</v>
      </c>
      <c r="R54" s="411" t="e">
        <f ca="1">T54-INDEX(#REF!,MATCH(Scenarios!R31,#REF!,0),Scenarios!$R$39)</f>
        <v>#REF!</v>
      </c>
      <c r="S54" s="500" t="e">
        <f>INDEX(#REF!,MATCH(Scenarios!R31,#REF!,0),Scenarios!$R$39)</f>
        <v>#REF!</v>
      </c>
      <c r="T54" s="210">
        <f ca="1">INDEX('1. SRECNA'!$E$13:$X$60,MATCH($R$31,'1. SRECNA'!$E$13:$E$60,0),Scenarios!$O$39)</f>
        <v>111302.5</v>
      </c>
    </row>
    <row r="55" spans="7:20" ht="15" x14ac:dyDescent="0.2">
      <c r="G55" s="406"/>
      <c r="H55" s="579"/>
      <c r="I55" s="789"/>
      <c r="J55" s="583"/>
      <c r="K55" s="583"/>
      <c r="L55" s="583"/>
      <c r="M55" s="583"/>
      <c r="N55" s="583"/>
      <c r="O55" s="583"/>
      <c r="P55" s="583"/>
      <c r="Q55" s="410"/>
      <c r="R55" s="407"/>
      <c r="T55" s="210"/>
    </row>
    <row r="56" spans="7:20" ht="13.5" customHeight="1" x14ac:dyDescent="0.25">
      <c r="G56" s="405" t="s">
        <v>130</v>
      </c>
      <c r="H56" s="579"/>
      <c r="I56" s="590"/>
      <c r="J56" s="580"/>
      <c r="K56" s="580"/>
      <c r="L56" s="580"/>
      <c r="M56" s="580"/>
      <c r="N56" s="580"/>
      <c r="O56" s="580"/>
      <c r="P56" s="580"/>
      <c r="Q56" s="410"/>
      <c r="R56" s="407"/>
      <c r="T56" s="210"/>
    </row>
    <row r="57" spans="7:20" ht="15" outlineLevel="1" x14ac:dyDescent="0.2">
      <c r="G57" s="406" t="s">
        <v>176</v>
      </c>
      <c r="H57" s="579"/>
      <c r="I57" s="696">
        <v>0.06</v>
      </c>
      <c r="J57" s="584">
        <v>0.01</v>
      </c>
      <c r="K57" s="584">
        <v>0.01</v>
      </c>
      <c r="L57" s="584">
        <v>0.01</v>
      </c>
      <c r="M57" s="584">
        <v>0.01</v>
      </c>
      <c r="N57" s="584">
        <v>0.01</v>
      </c>
      <c r="O57" s="584">
        <v>0.01</v>
      </c>
      <c r="P57" s="584">
        <v>0.01</v>
      </c>
      <c r="Q57" s="410" t="e">
        <f ca="1">INDEX(#REF!,MATCH(Scenarios!G18,#REF!,0),Scenarios!$R$39)-T57</f>
        <v>#REF!</v>
      </c>
      <c r="R57" s="411" t="e">
        <f ca="1">INDEX(#REF!,MATCH(Scenarios!G18,#REF!,0),Scenarios!$R$39)-T57</f>
        <v>#REF!</v>
      </c>
      <c r="S57" s="500" t="e">
        <f>INDEX(#REF!,MATCH(Scenarios!G18,#REF!,0),Scenarios!$R$39)</f>
        <v>#REF!</v>
      </c>
      <c r="T57" s="210">
        <f ca="1">INDEX('2. MD&amp;A'!E$13:X$35,MATCH(Scenarios!G18,'2. MD&amp;A'!$E$13:$E$35,0),Scenarios!$O$39)</f>
        <v>339488</v>
      </c>
    </row>
    <row r="58" spans="7:20" ht="15" outlineLevel="1" x14ac:dyDescent="0.2">
      <c r="G58" s="406" t="s">
        <v>149</v>
      </c>
      <c r="H58" s="585" t="s">
        <v>341</v>
      </c>
      <c r="I58" s="591">
        <f>IF($H$58="UNCAPPED",Benefits!$Q$29,IF($H$58="CAPPED(16%)", Benefits!$Q$30,Benefits!$Q$31 ))</f>
        <v>0.36507936507936506</v>
      </c>
      <c r="J58" s="584">
        <v>0.01</v>
      </c>
      <c r="K58" s="584">
        <v>0.01</v>
      </c>
      <c r="L58" s="584">
        <v>0.01</v>
      </c>
      <c r="M58" s="584">
        <v>0.01</v>
      </c>
      <c r="N58" s="584">
        <v>0.01</v>
      </c>
      <c r="O58" s="584">
        <v>0.01</v>
      </c>
      <c r="P58" s="584">
        <v>0.01</v>
      </c>
      <c r="Q58" s="410" t="e">
        <f ca="1">INDEX(#REF!,MATCH(Scenarios!G19,#REF!,0),Scenarios!$R$39)-T58</f>
        <v>#REF!</v>
      </c>
      <c r="R58" s="411" t="e">
        <f ca="1">INDEX(#REF!,MATCH(Scenarios!G19,#REF!,0),Scenarios!$R$39)-T58</f>
        <v>#REF!</v>
      </c>
      <c r="S58" s="500" t="e">
        <f>INDEX(#REF!,MATCH(Scenarios!G19,#REF!,0),Scenarios!$R$39)</f>
        <v>#REF!</v>
      </c>
      <c r="T58" s="210">
        <f ca="1">INDEX('2. MD&amp;A'!E$13:X$35,MATCH(Scenarios!G19,'2. MD&amp;A'!$E$13:$E$35,0),Scenarios!$O$39)</f>
        <v>311080.00553740497</v>
      </c>
    </row>
    <row r="59" spans="7:20" ht="0.75" customHeight="1" outlineLevel="1" x14ac:dyDescent="0.2">
      <c r="G59" s="406" t="s">
        <v>144</v>
      </c>
      <c r="H59" s="589" t="s">
        <v>153</v>
      </c>
      <c r="I59" s="591">
        <f>IF($H$179="YES",25000,0)</f>
        <v>0</v>
      </c>
      <c r="J59" s="584">
        <v>0.01</v>
      </c>
      <c r="K59" s="584">
        <v>0.01</v>
      </c>
      <c r="L59" s="584">
        <v>0.01</v>
      </c>
      <c r="M59" s="584">
        <v>0.01</v>
      </c>
      <c r="N59" s="584">
        <v>0.01</v>
      </c>
      <c r="O59" s="584">
        <v>0.01</v>
      </c>
      <c r="P59" s="584">
        <v>0.01</v>
      </c>
      <c r="Q59" s="410"/>
      <c r="R59" s="411"/>
      <c r="S59" s="500"/>
      <c r="T59" s="210">
        <f>INDEX($I$43:$P$60,MATCH($G$59,$G$43:$G$60,0),MATCH($Q$41,$I$41:$P$41,0))</f>
        <v>0.01</v>
      </c>
    </row>
    <row r="60" spans="7:20" ht="15" outlineLevel="1" x14ac:dyDescent="0.2">
      <c r="G60" s="406" t="s">
        <v>346</v>
      </c>
      <c r="H60" s="579"/>
      <c r="I60" s="696">
        <v>0</v>
      </c>
      <c r="J60" s="584">
        <v>0.01</v>
      </c>
      <c r="K60" s="584">
        <v>0.01</v>
      </c>
      <c r="L60" s="584">
        <v>0.01</v>
      </c>
      <c r="M60" s="584">
        <v>0.01</v>
      </c>
      <c r="N60" s="584">
        <v>0.01</v>
      </c>
      <c r="O60" s="584">
        <v>0.01</v>
      </c>
      <c r="P60" s="584">
        <v>0.01</v>
      </c>
      <c r="Q60" s="410" t="e">
        <f ca="1">IF(AND($H$59&lt;&gt;'2. MD&amp;A'!$H$58),0,INDEX(#REF!,MATCH(Scenarios!G26,#REF!,0),Scenarios!$R$39)-T60)</f>
        <v>#REF!</v>
      </c>
      <c r="R60" s="411" t="e">
        <f ca="1">IF(AND($H$59&lt;&gt;'2. MD&amp;A'!$H$58),0,INDEX(#REF!,MATCH(Scenarios!G26,#REF!,0),Scenarios!$R$39)-T60)</f>
        <v>#REF!</v>
      </c>
      <c r="S60" s="500" t="e">
        <f>INDEX(#REF!,MATCH(Scenarios!G26,#REF!,0),Scenarios!$R$39)</f>
        <v>#REF!</v>
      </c>
      <c r="T60" s="210">
        <f ca="1">INDEX('2. MD&amp;A'!E$13:X$35,MATCH(Scenarios!G26,'2. MD&amp;A'!$E$13:$E$35,0),Scenarios!$O$39)</f>
        <v>311032.75</v>
      </c>
    </row>
    <row r="61" spans="7:20" ht="15" x14ac:dyDescent="0.2">
      <c r="G61" s="645"/>
      <c r="H61" s="646"/>
      <c r="I61" s="809"/>
      <c r="J61" s="647"/>
      <c r="K61" s="647"/>
      <c r="L61" s="647"/>
      <c r="M61" s="647"/>
      <c r="N61" s="647"/>
      <c r="O61" s="647"/>
      <c r="P61" s="647"/>
      <c r="Q61" s="410"/>
      <c r="R61" s="411"/>
      <c r="S61" s="500"/>
      <c r="T61" s="210"/>
    </row>
    <row r="62" spans="7:20" ht="15.75" x14ac:dyDescent="0.25">
      <c r="G62" s="405" t="s">
        <v>401</v>
      </c>
      <c r="H62" s="579"/>
      <c r="I62" s="696"/>
      <c r="J62" s="584"/>
      <c r="K62" s="584"/>
      <c r="L62" s="584"/>
      <c r="M62" s="584"/>
      <c r="N62" s="584"/>
      <c r="O62" s="584"/>
      <c r="P62" s="584"/>
      <c r="Q62" s="410"/>
      <c r="R62" s="411"/>
      <c r="S62" s="500"/>
      <c r="T62" s="210"/>
    </row>
    <row r="63" spans="7:20" s="168" customFormat="1" ht="15" hidden="1" outlineLevel="1" x14ac:dyDescent="0.2">
      <c r="G63" s="645" t="s">
        <v>405</v>
      </c>
      <c r="H63" s="646" t="s">
        <v>153</v>
      </c>
      <c r="I63" s="811">
        <v>40000000</v>
      </c>
      <c r="J63" s="647"/>
      <c r="K63" s="647"/>
      <c r="L63" s="647"/>
      <c r="M63" s="647"/>
      <c r="N63" s="647"/>
      <c r="O63" s="647"/>
      <c r="P63" s="647"/>
      <c r="Q63" s="410"/>
      <c r="R63" s="411"/>
      <c r="S63" s="810"/>
      <c r="T63" s="810"/>
    </row>
    <row r="64" spans="7:20" s="168" customFormat="1" ht="15" hidden="1" outlineLevel="1" x14ac:dyDescent="0.2">
      <c r="G64" s="645" t="s">
        <v>407</v>
      </c>
      <c r="H64" s="646"/>
      <c r="I64" s="811"/>
      <c r="J64" s="647"/>
      <c r="K64" s="647"/>
      <c r="L64" s="647"/>
      <c r="M64" s="647"/>
      <c r="N64" s="647"/>
      <c r="O64" s="647"/>
      <c r="P64" s="647"/>
      <c r="Q64" s="410"/>
      <c r="R64" s="411"/>
      <c r="S64" s="810"/>
      <c r="T64" s="810"/>
    </row>
    <row r="65" spans="7:24" s="168" customFormat="1" ht="15" hidden="1" outlineLevel="1" x14ac:dyDescent="0.2">
      <c r="G65" s="645" t="s">
        <v>406</v>
      </c>
      <c r="H65" s="646"/>
      <c r="I65" s="647"/>
      <c r="J65" s="647"/>
      <c r="K65" s="647"/>
      <c r="L65" s="647"/>
      <c r="M65" s="647"/>
      <c r="N65" s="647"/>
      <c r="O65" s="647"/>
      <c r="P65" s="647"/>
      <c r="Q65" s="410"/>
      <c r="R65" s="411"/>
      <c r="S65" s="810"/>
      <c r="T65" s="810"/>
    </row>
    <row r="66" spans="7:24" ht="15" collapsed="1" x14ac:dyDescent="0.2">
      <c r="G66" s="645"/>
      <c r="H66" s="646"/>
      <c r="I66" s="647"/>
      <c r="J66" s="647"/>
      <c r="K66" s="647"/>
      <c r="L66" s="647"/>
      <c r="M66" s="647"/>
      <c r="N66" s="647"/>
      <c r="O66" s="647"/>
      <c r="P66" s="647"/>
      <c r="Q66" s="410"/>
      <c r="R66" s="411"/>
      <c r="S66" s="500"/>
      <c r="T66" s="210"/>
    </row>
    <row r="67" spans="7:24" ht="15" x14ac:dyDescent="0.2">
      <c r="G67" s="645"/>
      <c r="H67" s="646"/>
      <c r="I67" s="647"/>
      <c r="J67" s="647"/>
      <c r="K67" s="647"/>
      <c r="L67" s="647"/>
      <c r="M67" s="647"/>
      <c r="N67" s="647"/>
      <c r="O67" s="647"/>
      <c r="P67" s="647"/>
      <c r="Q67" s="410"/>
      <c r="R67" s="411"/>
      <c r="S67" s="500"/>
      <c r="T67" s="210"/>
    </row>
    <row r="68" spans="7:24" ht="15.75" x14ac:dyDescent="0.2">
      <c r="G68" s="674" t="s">
        <v>354</v>
      </c>
      <c r="H68" s="673" t="s">
        <v>391</v>
      </c>
      <c r="I68" s="647"/>
      <c r="J68" s="647"/>
      <c r="K68" s="647"/>
      <c r="L68" s="647"/>
      <c r="M68" s="647"/>
      <c r="N68" s="647"/>
      <c r="O68" s="647"/>
      <c r="P68" s="647"/>
      <c r="Q68" s="410"/>
      <c r="R68" s="411"/>
      <c r="S68" s="500"/>
      <c r="T68" s="210"/>
    </row>
    <row r="69" spans="7:24" ht="15.75" x14ac:dyDescent="0.2">
      <c r="G69" s="682" t="s">
        <v>362</v>
      </c>
      <c r="H69" s="683" t="s">
        <v>195</v>
      </c>
      <c r="I69" s="647"/>
      <c r="J69" s="647"/>
      <c r="K69" s="647"/>
      <c r="L69" s="647"/>
      <c r="M69" s="647"/>
      <c r="N69" s="647"/>
      <c r="O69" s="647"/>
      <c r="P69" s="647"/>
      <c r="Q69" s="410"/>
      <c r="R69" s="411"/>
      <c r="S69" s="500"/>
      <c r="T69" s="210"/>
    </row>
    <row r="70" spans="7:24" ht="15.75" customHeight="1" x14ac:dyDescent="0.2">
      <c r="G70" s="685" t="s">
        <v>366</v>
      </c>
      <c r="H70" s="684">
        <v>0</v>
      </c>
      <c r="I70" s="167"/>
      <c r="K70" s="168"/>
      <c r="L70" s="502"/>
      <c r="M70" s="502"/>
      <c r="N70" s="502"/>
      <c r="O70" s="502"/>
    </row>
    <row r="71" spans="7:24" ht="12.75" customHeight="1" x14ac:dyDescent="0.2">
      <c r="I71" s="167"/>
      <c r="K71" s="168"/>
      <c r="L71" s="649"/>
      <c r="M71" s="649"/>
      <c r="O71" s="649"/>
    </row>
    <row r="72" spans="7:24" ht="12.75" customHeight="1" x14ac:dyDescent="0.2">
      <c r="I72" s="190">
        <f>COUNTA(I74:I137)</f>
        <v>0</v>
      </c>
      <c r="K72" s="649">
        <f>SUM(K74:K134)</f>
        <v>0</v>
      </c>
      <c r="L72" s="649">
        <f>SUM(L74:L134)</f>
        <v>0</v>
      </c>
      <c r="M72" s="649">
        <f>SUM(M74:M134)</f>
        <v>0</v>
      </c>
      <c r="N72" s="649">
        <f>SUM(N74:N134)</f>
        <v>0</v>
      </c>
      <c r="O72" s="649">
        <f>SUM(O74:O134)</f>
        <v>0</v>
      </c>
    </row>
    <row r="73" spans="7:24" ht="15.75" x14ac:dyDescent="0.25">
      <c r="H73" s="671" t="s">
        <v>363</v>
      </c>
      <c r="I73" s="471" t="s">
        <v>355</v>
      </c>
      <c r="J73" s="471" t="s">
        <v>356</v>
      </c>
      <c r="K73" s="404" t="s">
        <v>357</v>
      </c>
      <c r="L73" s="404" t="s">
        <v>358</v>
      </c>
      <c r="M73" s="404" t="s">
        <v>359</v>
      </c>
      <c r="N73" s="404" t="s">
        <v>360</v>
      </c>
      <c r="O73" s="404" t="s">
        <v>361</v>
      </c>
      <c r="P73" s="410"/>
      <c r="Q73" s="410"/>
      <c r="R73" s="411"/>
      <c r="S73" s="500"/>
      <c r="T73" s="210"/>
    </row>
    <row r="74" spans="7:24" ht="14.25" hidden="1" customHeight="1" outlineLevel="1" x14ac:dyDescent="0.2">
      <c r="G74" s="645"/>
      <c r="H74" s="190"/>
      <c r="I74" s="680"/>
      <c r="J74" s="209"/>
      <c r="K74" s="678"/>
      <c r="L74" s="678"/>
      <c r="M74" s="678"/>
      <c r="N74" s="678"/>
      <c r="O74" s="678"/>
      <c r="P74" s="167"/>
      <c r="Q74" s="167"/>
      <c r="S74" s="167"/>
      <c r="T74" s="167"/>
      <c r="U74" s="167"/>
      <c r="V74" s="167"/>
      <c r="X74" s="167"/>
    </row>
    <row r="75" spans="7:24" ht="15" hidden="1" outlineLevel="1" x14ac:dyDescent="0.2">
      <c r="G75" s="645"/>
      <c r="H75" s="190"/>
      <c r="I75" s="680"/>
      <c r="J75" s="209"/>
      <c r="K75" s="679"/>
      <c r="L75" s="678"/>
      <c r="M75" s="678"/>
      <c r="N75" s="678"/>
      <c r="O75" s="678"/>
      <c r="P75" s="167"/>
      <c r="Q75" s="167"/>
      <c r="S75" s="167"/>
      <c r="T75" s="167"/>
      <c r="U75" s="167"/>
      <c r="V75" s="167"/>
      <c r="X75" s="167"/>
    </row>
    <row r="76" spans="7:24" ht="15" hidden="1" outlineLevel="1" x14ac:dyDescent="0.2">
      <c r="G76" s="645"/>
      <c r="H76" s="190"/>
      <c r="I76" s="680"/>
      <c r="J76" s="209"/>
      <c r="K76" s="678"/>
      <c r="L76" s="678"/>
      <c r="M76" s="678"/>
      <c r="N76" s="678"/>
      <c r="O76" s="678"/>
      <c r="P76" s="167"/>
      <c r="Q76" s="167"/>
      <c r="S76" s="167"/>
      <c r="T76" s="167"/>
      <c r="U76" s="167"/>
      <c r="V76" s="167"/>
      <c r="X76" s="167"/>
    </row>
    <row r="77" spans="7:24" ht="15" hidden="1" outlineLevel="1" x14ac:dyDescent="0.2">
      <c r="G77" s="645"/>
      <c r="H77" s="190"/>
      <c r="I77" s="680"/>
      <c r="J77" s="209"/>
      <c r="K77" s="678"/>
      <c r="L77" s="678"/>
      <c r="M77" s="678"/>
      <c r="N77" s="678"/>
      <c r="O77" s="678"/>
      <c r="P77" s="167"/>
      <c r="Q77" s="167"/>
      <c r="S77" s="167"/>
      <c r="T77" s="167"/>
      <c r="U77" s="167"/>
      <c r="V77" s="167"/>
      <c r="X77" s="167"/>
    </row>
    <row r="78" spans="7:24" ht="15" hidden="1" outlineLevel="1" x14ac:dyDescent="0.2">
      <c r="G78" s="645"/>
      <c r="H78" s="190"/>
      <c r="I78" s="680"/>
      <c r="J78" s="209"/>
      <c r="K78" s="678"/>
      <c r="L78" s="678"/>
      <c r="M78" s="678"/>
      <c r="N78" s="678"/>
      <c r="O78" s="678"/>
      <c r="P78" s="167"/>
      <c r="Q78" s="167"/>
      <c r="S78" s="167"/>
      <c r="T78" s="167"/>
      <c r="U78" s="167"/>
      <c r="V78" s="167"/>
      <c r="X78" s="167"/>
    </row>
    <row r="79" spans="7:24" ht="15" hidden="1" outlineLevel="1" x14ac:dyDescent="0.2">
      <c r="G79" s="645"/>
      <c r="H79" s="190"/>
      <c r="I79" s="680"/>
      <c r="J79" s="209"/>
      <c r="K79" s="678"/>
      <c r="L79" s="678"/>
      <c r="M79" s="678"/>
      <c r="N79" s="678"/>
      <c r="O79" s="678"/>
      <c r="P79" s="167"/>
      <c r="Q79" s="167"/>
      <c r="S79" s="167"/>
      <c r="T79" s="167"/>
      <c r="U79" s="167"/>
      <c r="V79" s="167"/>
      <c r="X79" s="167"/>
    </row>
    <row r="80" spans="7:24" ht="15" hidden="1" outlineLevel="1" x14ac:dyDescent="0.2">
      <c r="G80" s="645"/>
      <c r="H80" s="190"/>
      <c r="I80" s="680"/>
      <c r="J80" s="209"/>
      <c r="K80" s="678"/>
      <c r="L80" s="678"/>
      <c r="M80" s="678"/>
      <c r="N80" s="678"/>
      <c r="O80" s="678"/>
      <c r="P80" s="167"/>
      <c r="Q80" s="167"/>
      <c r="S80" s="167"/>
      <c r="T80" s="167"/>
      <c r="U80" s="167"/>
      <c r="V80" s="167"/>
      <c r="X80" s="167"/>
    </row>
    <row r="81" spans="7:24" ht="15" hidden="1" outlineLevel="1" x14ac:dyDescent="0.2">
      <c r="G81" s="645"/>
      <c r="H81" s="190"/>
      <c r="I81" s="680"/>
      <c r="J81" s="209"/>
      <c r="K81" s="678"/>
      <c r="L81" s="678"/>
      <c r="M81" s="678"/>
      <c r="N81" s="678"/>
      <c r="O81" s="678"/>
      <c r="P81" s="167"/>
      <c r="Q81" s="167"/>
      <c r="S81" s="167"/>
      <c r="T81" s="167"/>
      <c r="U81" s="167"/>
      <c r="V81" s="167"/>
      <c r="X81" s="167"/>
    </row>
    <row r="82" spans="7:24" ht="15" hidden="1" outlineLevel="1" x14ac:dyDescent="0.2">
      <c r="G82" s="645"/>
      <c r="H82" s="190"/>
      <c r="I82" s="680"/>
      <c r="J82" s="209"/>
      <c r="K82" s="678"/>
      <c r="L82" s="678"/>
      <c r="M82" s="678"/>
      <c r="N82" s="678"/>
      <c r="O82" s="678"/>
      <c r="P82" s="167"/>
      <c r="Q82" s="167"/>
      <c r="S82" s="167"/>
      <c r="T82" s="167"/>
      <c r="U82" s="167"/>
      <c r="V82" s="167"/>
      <c r="X82" s="167"/>
    </row>
    <row r="83" spans="7:24" ht="15" hidden="1" outlineLevel="1" x14ac:dyDescent="0.2">
      <c r="G83" s="645"/>
      <c r="H83" s="190"/>
      <c r="I83" s="680"/>
      <c r="J83" s="209"/>
      <c r="K83" s="678"/>
      <c r="L83" s="678"/>
      <c r="M83" s="678"/>
      <c r="N83" s="678"/>
      <c r="O83" s="678"/>
      <c r="P83" s="167"/>
      <c r="Q83" s="167"/>
      <c r="S83" s="167"/>
      <c r="T83" s="167"/>
      <c r="U83" s="167"/>
      <c r="V83" s="167"/>
      <c r="X83" s="167"/>
    </row>
    <row r="84" spans="7:24" ht="15" hidden="1" outlineLevel="1" x14ac:dyDescent="0.2">
      <c r="G84" s="645"/>
      <c r="H84" s="190"/>
      <c r="I84" s="680"/>
      <c r="J84" s="209"/>
      <c r="K84" s="678"/>
      <c r="L84" s="678"/>
      <c r="M84" s="678"/>
      <c r="N84" s="678"/>
      <c r="O84" s="678"/>
      <c r="P84" s="167"/>
      <c r="Q84" s="167"/>
      <c r="S84" s="167"/>
      <c r="T84" s="167"/>
      <c r="U84" s="167"/>
      <c r="V84" s="167"/>
      <c r="X84" s="167"/>
    </row>
    <row r="85" spans="7:24" ht="15" hidden="1" outlineLevel="1" x14ac:dyDescent="0.2">
      <c r="G85" s="645"/>
      <c r="H85" s="190"/>
      <c r="I85" s="680"/>
      <c r="J85" s="209"/>
      <c r="K85" s="678"/>
      <c r="L85" s="678"/>
      <c r="M85" s="678"/>
      <c r="N85" s="678"/>
      <c r="O85" s="678"/>
      <c r="P85" s="167"/>
      <c r="Q85" s="167"/>
      <c r="S85" s="167"/>
      <c r="T85" s="167"/>
      <c r="U85" s="167"/>
      <c r="V85" s="167"/>
      <c r="X85" s="167"/>
    </row>
    <row r="86" spans="7:24" ht="15" hidden="1" outlineLevel="1" x14ac:dyDescent="0.2">
      <c r="G86" s="645"/>
      <c r="H86" s="190"/>
      <c r="I86" s="680"/>
      <c r="J86" s="209"/>
      <c r="K86" s="678"/>
      <c r="L86" s="678"/>
      <c r="M86" s="678"/>
      <c r="N86" s="678"/>
      <c r="O86" s="678"/>
      <c r="P86" s="167"/>
      <c r="Q86" s="167"/>
      <c r="S86" s="167"/>
      <c r="T86" s="167"/>
      <c r="U86" s="167"/>
      <c r="V86" s="167"/>
      <c r="X86" s="167"/>
    </row>
    <row r="87" spans="7:24" ht="15" hidden="1" outlineLevel="1" x14ac:dyDescent="0.2">
      <c r="G87" s="645"/>
      <c r="H87" s="190"/>
      <c r="I87" s="680"/>
      <c r="J87" s="209"/>
      <c r="K87" s="678"/>
      <c r="L87" s="678"/>
      <c r="M87" s="678"/>
      <c r="N87" s="678"/>
      <c r="O87" s="678"/>
      <c r="P87" s="167"/>
      <c r="Q87" s="167"/>
      <c r="S87" s="167"/>
      <c r="T87" s="167"/>
      <c r="U87" s="167"/>
      <c r="V87" s="167"/>
      <c r="X87" s="167"/>
    </row>
    <row r="88" spans="7:24" ht="15" hidden="1" outlineLevel="1" x14ac:dyDescent="0.2">
      <c r="G88" s="645"/>
      <c r="H88" s="190"/>
      <c r="I88" s="680"/>
      <c r="J88" s="209"/>
      <c r="K88" s="678"/>
      <c r="L88" s="678"/>
      <c r="M88" s="678"/>
      <c r="N88" s="678"/>
      <c r="O88" s="678"/>
      <c r="P88" s="167"/>
      <c r="Q88" s="167"/>
      <c r="S88" s="167"/>
      <c r="T88" s="167"/>
      <c r="U88" s="167"/>
      <c r="V88" s="167"/>
      <c r="X88" s="167"/>
    </row>
    <row r="89" spans="7:24" ht="15" hidden="1" outlineLevel="1" x14ac:dyDescent="0.2">
      <c r="G89" s="645"/>
      <c r="H89" s="190"/>
      <c r="I89" s="680"/>
      <c r="J89" s="209"/>
      <c r="K89" s="678"/>
      <c r="L89" s="678"/>
      <c r="M89" s="678"/>
      <c r="N89" s="678"/>
      <c r="O89" s="678"/>
      <c r="P89" s="167"/>
      <c r="Q89" s="167"/>
      <c r="S89" s="167"/>
      <c r="T89" s="167"/>
      <c r="U89" s="167"/>
      <c r="V89" s="167"/>
      <c r="X89" s="167"/>
    </row>
    <row r="90" spans="7:24" ht="15" hidden="1" outlineLevel="1" x14ac:dyDescent="0.2">
      <c r="G90" s="645"/>
      <c r="H90" s="190"/>
      <c r="I90" s="680"/>
      <c r="J90" s="209"/>
      <c r="K90" s="678"/>
      <c r="L90" s="678"/>
      <c r="M90" s="678"/>
      <c r="N90" s="678"/>
      <c r="O90" s="678"/>
      <c r="P90" s="167"/>
      <c r="Q90" s="167"/>
      <c r="S90" s="167"/>
      <c r="T90" s="167"/>
      <c r="U90" s="167"/>
      <c r="V90" s="167"/>
      <c r="X90" s="167"/>
    </row>
    <row r="91" spans="7:24" ht="15" hidden="1" outlineLevel="1" x14ac:dyDescent="0.2">
      <c r="G91" s="645"/>
      <c r="H91" s="190"/>
      <c r="I91" s="680"/>
      <c r="J91" s="209"/>
      <c r="K91" s="678"/>
      <c r="L91" s="678"/>
      <c r="M91" s="678"/>
      <c r="N91" s="678"/>
      <c r="O91" s="678"/>
      <c r="P91" s="167"/>
      <c r="Q91" s="167"/>
      <c r="S91" s="167"/>
      <c r="T91" s="167"/>
      <c r="U91" s="167"/>
      <c r="V91" s="167"/>
      <c r="X91" s="167"/>
    </row>
    <row r="92" spans="7:24" ht="15" hidden="1" outlineLevel="1" x14ac:dyDescent="0.2">
      <c r="G92" s="645"/>
      <c r="H92" s="190"/>
      <c r="I92" s="680"/>
      <c r="J92" s="190"/>
      <c r="K92" s="386"/>
      <c r="L92" s="386"/>
      <c r="M92" s="386"/>
      <c r="N92" s="386"/>
      <c r="O92" s="386"/>
      <c r="P92" s="167"/>
      <c r="Q92" s="167"/>
      <c r="S92" s="167"/>
      <c r="T92" s="167"/>
      <c r="U92" s="167"/>
      <c r="V92" s="167"/>
      <c r="X92" s="167"/>
    </row>
    <row r="93" spans="7:24" ht="15" hidden="1" outlineLevel="1" x14ac:dyDescent="0.2">
      <c r="G93" s="645"/>
      <c r="H93" s="190"/>
      <c r="I93" s="680"/>
      <c r="J93" s="190"/>
      <c r="K93" s="386"/>
      <c r="L93" s="386"/>
      <c r="M93" s="386"/>
      <c r="N93" s="386"/>
      <c r="O93" s="386"/>
      <c r="P93" s="167"/>
      <c r="Q93" s="167"/>
      <c r="S93" s="167"/>
      <c r="T93" s="167"/>
      <c r="U93" s="167"/>
      <c r="V93" s="167"/>
      <c r="X93" s="167"/>
    </row>
    <row r="94" spans="7:24" ht="15" hidden="1" outlineLevel="1" x14ac:dyDescent="0.2">
      <c r="G94" s="645"/>
      <c r="H94" s="190"/>
      <c r="I94" s="680"/>
      <c r="J94" s="190"/>
      <c r="K94" s="386"/>
      <c r="L94" s="386"/>
      <c r="M94" s="386"/>
      <c r="N94" s="386"/>
      <c r="O94" s="386"/>
      <c r="P94" s="167"/>
      <c r="Q94" s="167"/>
      <c r="S94" s="167"/>
      <c r="T94" s="167"/>
      <c r="U94" s="167"/>
      <c r="V94" s="167"/>
      <c r="X94" s="167"/>
    </row>
    <row r="95" spans="7:24" ht="15" hidden="1" outlineLevel="1" x14ac:dyDescent="0.2">
      <c r="G95" s="645"/>
      <c r="H95" s="190"/>
      <c r="I95" s="680"/>
      <c r="J95" s="190"/>
      <c r="K95" s="386"/>
      <c r="L95" s="386"/>
      <c r="M95" s="386"/>
      <c r="N95" s="386"/>
      <c r="O95" s="386"/>
      <c r="P95" s="167"/>
      <c r="Q95" s="167"/>
      <c r="S95" s="167"/>
      <c r="T95" s="167"/>
      <c r="U95" s="167"/>
      <c r="V95" s="167"/>
      <c r="X95" s="167"/>
    </row>
    <row r="96" spans="7:24" ht="15" hidden="1" outlineLevel="1" x14ac:dyDescent="0.2">
      <c r="G96" s="645"/>
      <c r="H96" s="190"/>
      <c r="I96" s="680"/>
      <c r="J96" s="190"/>
      <c r="K96" s="386"/>
      <c r="L96" s="386"/>
      <c r="M96" s="386"/>
      <c r="N96" s="386"/>
      <c r="O96" s="386"/>
      <c r="P96" s="167"/>
      <c r="Q96" s="167"/>
      <c r="S96" s="167"/>
      <c r="T96" s="167"/>
      <c r="U96" s="167"/>
      <c r="V96" s="167"/>
      <c r="X96" s="167"/>
    </row>
    <row r="97" spans="7:24" ht="15" hidden="1" outlineLevel="1" x14ac:dyDescent="0.2">
      <c r="G97" s="645"/>
      <c r="H97" s="190"/>
      <c r="I97" s="680"/>
      <c r="J97" s="190"/>
      <c r="K97" s="386"/>
      <c r="L97" s="386"/>
      <c r="M97" s="386"/>
      <c r="N97" s="386"/>
      <c r="O97" s="386"/>
      <c r="P97" s="167"/>
      <c r="Q97" s="167"/>
      <c r="S97" s="167"/>
      <c r="T97" s="167"/>
      <c r="U97" s="167"/>
      <c r="V97" s="167"/>
      <c r="X97" s="167"/>
    </row>
    <row r="98" spans="7:24" ht="15" hidden="1" outlineLevel="1" x14ac:dyDescent="0.2">
      <c r="G98" s="645"/>
      <c r="H98" s="190"/>
      <c r="I98" s="680"/>
      <c r="J98" s="190"/>
      <c r="K98" s="386"/>
      <c r="L98" s="386"/>
      <c r="M98" s="386"/>
      <c r="N98" s="386"/>
      <c r="O98" s="386"/>
      <c r="P98" s="167"/>
      <c r="Q98" s="167"/>
      <c r="S98" s="167"/>
      <c r="T98" s="167"/>
      <c r="U98" s="167"/>
      <c r="V98" s="167"/>
      <c r="X98" s="167"/>
    </row>
    <row r="99" spans="7:24" ht="15" hidden="1" outlineLevel="1" x14ac:dyDescent="0.2">
      <c r="G99" s="645"/>
      <c r="H99" s="190"/>
      <c r="I99" s="794"/>
      <c r="J99" s="190"/>
      <c r="K99" s="386"/>
      <c r="L99" s="386"/>
      <c r="M99" s="386"/>
      <c r="N99" s="386"/>
      <c r="O99" s="386"/>
      <c r="P99" s="167"/>
      <c r="Q99" s="167"/>
      <c r="S99" s="167"/>
      <c r="T99" s="167"/>
      <c r="U99" s="167"/>
      <c r="V99" s="167"/>
      <c r="X99" s="167"/>
    </row>
    <row r="100" spans="7:24" ht="15" hidden="1" outlineLevel="1" x14ac:dyDescent="0.2">
      <c r="G100" s="645"/>
      <c r="H100" s="190"/>
      <c r="I100" s="680"/>
      <c r="J100" s="190"/>
      <c r="K100" s="386"/>
      <c r="L100" s="386"/>
      <c r="M100" s="386"/>
      <c r="N100" s="386"/>
      <c r="O100" s="386"/>
      <c r="P100" s="167"/>
      <c r="Q100" s="167"/>
      <c r="S100" s="167"/>
      <c r="T100" s="167"/>
      <c r="U100" s="167"/>
      <c r="V100" s="167"/>
      <c r="X100" s="167"/>
    </row>
    <row r="101" spans="7:24" ht="15" hidden="1" outlineLevel="1" x14ac:dyDescent="0.2">
      <c r="G101" s="645"/>
      <c r="H101" s="190"/>
      <c r="I101" s="680"/>
      <c r="J101" s="190"/>
      <c r="K101" s="386"/>
      <c r="L101" s="386"/>
      <c r="M101" s="386"/>
      <c r="N101" s="386"/>
      <c r="O101" s="386"/>
      <c r="P101" s="167"/>
      <c r="Q101" s="167"/>
      <c r="S101" s="167"/>
      <c r="T101" s="167"/>
      <c r="U101" s="167"/>
      <c r="V101" s="167"/>
      <c r="X101" s="167"/>
    </row>
    <row r="102" spans="7:24" ht="15" hidden="1" outlineLevel="1" x14ac:dyDescent="0.2">
      <c r="G102" s="645"/>
      <c r="H102" s="190"/>
      <c r="I102" s="680"/>
      <c r="J102" s="190"/>
      <c r="K102" s="386"/>
      <c r="L102" s="386"/>
      <c r="M102" s="386"/>
      <c r="N102" s="386"/>
      <c r="O102" s="386"/>
      <c r="P102" s="167"/>
      <c r="Q102" s="167"/>
      <c r="S102" s="167"/>
      <c r="T102" s="167"/>
      <c r="U102" s="167"/>
      <c r="V102" s="167"/>
      <c r="X102" s="167"/>
    </row>
    <row r="103" spans="7:24" ht="15" hidden="1" outlineLevel="1" x14ac:dyDescent="0.2">
      <c r="G103" s="645"/>
      <c r="H103" s="190"/>
      <c r="I103" s="680"/>
      <c r="J103" s="190"/>
      <c r="K103" s="386"/>
      <c r="L103" s="386"/>
      <c r="M103" s="386"/>
      <c r="N103" s="386"/>
      <c r="O103" s="386"/>
      <c r="P103" s="167"/>
      <c r="Q103" s="167"/>
      <c r="S103" s="167"/>
      <c r="T103" s="167"/>
      <c r="U103" s="167"/>
      <c r="V103" s="167"/>
      <c r="X103" s="167"/>
    </row>
    <row r="104" spans="7:24" ht="15" hidden="1" outlineLevel="1" x14ac:dyDescent="0.2">
      <c r="G104" s="645"/>
      <c r="H104" s="190"/>
      <c r="I104" s="680"/>
      <c r="J104" s="190"/>
      <c r="K104" s="386"/>
      <c r="L104" s="386"/>
      <c r="M104" s="386"/>
      <c r="N104" s="386"/>
      <c r="O104" s="386"/>
      <c r="P104" s="167"/>
      <c r="Q104" s="167"/>
      <c r="S104" s="167"/>
      <c r="T104" s="167"/>
      <c r="U104" s="167"/>
      <c r="V104" s="167"/>
      <c r="X104" s="167"/>
    </row>
    <row r="105" spans="7:24" ht="15" hidden="1" outlineLevel="1" x14ac:dyDescent="0.2">
      <c r="G105" s="645"/>
      <c r="H105" s="190"/>
      <c r="I105" s="680"/>
      <c r="J105" s="190"/>
      <c r="K105" s="386"/>
      <c r="L105" s="386"/>
      <c r="M105" s="386"/>
      <c r="N105" s="386"/>
      <c r="O105" s="386"/>
      <c r="P105" s="167"/>
      <c r="Q105" s="167"/>
      <c r="S105" s="167"/>
      <c r="T105" s="167"/>
      <c r="U105" s="167"/>
      <c r="V105" s="167"/>
      <c r="X105" s="167"/>
    </row>
    <row r="106" spans="7:24" ht="15" hidden="1" outlineLevel="1" x14ac:dyDescent="0.2">
      <c r="G106" s="645"/>
      <c r="H106" s="190"/>
      <c r="I106" s="680"/>
      <c r="J106" s="190"/>
      <c r="K106" s="386"/>
      <c r="L106" s="386"/>
      <c r="M106" s="386"/>
      <c r="N106" s="386"/>
      <c r="O106" s="386"/>
      <c r="P106" s="167"/>
      <c r="Q106" s="167"/>
      <c r="S106" s="167"/>
      <c r="T106" s="167"/>
      <c r="U106" s="167"/>
      <c r="V106" s="167"/>
      <c r="X106" s="167"/>
    </row>
    <row r="107" spans="7:24" ht="15" hidden="1" outlineLevel="1" x14ac:dyDescent="0.2">
      <c r="G107" s="645"/>
      <c r="H107" s="190"/>
      <c r="I107" s="680"/>
      <c r="J107" s="190"/>
      <c r="K107" s="386"/>
      <c r="L107" s="386"/>
      <c r="M107" s="386"/>
      <c r="N107" s="386"/>
      <c r="O107" s="386"/>
      <c r="P107" s="167"/>
      <c r="Q107" s="167"/>
      <c r="S107" s="167"/>
      <c r="T107" s="167"/>
      <c r="U107" s="167"/>
      <c r="V107" s="167"/>
      <c r="X107" s="167"/>
    </row>
    <row r="108" spans="7:24" ht="15" hidden="1" outlineLevel="1" x14ac:dyDescent="0.2">
      <c r="G108" s="645"/>
      <c r="H108" s="190"/>
      <c r="I108" s="680"/>
      <c r="J108" s="190"/>
      <c r="K108" s="386"/>
      <c r="L108" s="386"/>
      <c r="M108" s="386"/>
      <c r="N108" s="386"/>
      <c r="O108" s="386"/>
      <c r="P108" s="167"/>
      <c r="Q108" s="167"/>
      <c r="S108" s="167"/>
      <c r="T108" s="167"/>
      <c r="U108" s="167"/>
      <c r="V108" s="167"/>
      <c r="X108" s="167"/>
    </row>
    <row r="109" spans="7:24" ht="15" hidden="1" outlineLevel="1" x14ac:dyDescent="0.2">
      <c r="G109" s="645"/>
      <c r="H109" s="190"/>
      <c r="I109" s="680"/>
      <c r="J109" s="190"/>
      <c r="K109" s="386"/>
      <c r="L109" s="386"/>
      <c r="M109" s="386"/>
      <c r="N109" s="386"/>
      <c r="O109" s="386"/>
      <c r="P109" s="167"/>
      <c r="Q109" s="167"/>
      <c r="S109" s="167"/>
      <c r="T109" s="167"/>
      <c r="U109" s="167"/>
      <c r="V109" s="167"/>
      <c r="X109" s="167"/>
    </row>
    <row r="110" spans="7:24" ht="15" hidden="1" outlineLevel="1" x14ac:dyDescent="0.2">
      <c r="G110" s="645"/>
      <c r="H110" s="190"/>
      <c r="I110" s="680"/>
      <c r="J110" s="190"/>
      <c r="K110" s="386"/>
      <c r="L110" s="386"/>
      <c r="M110" s="386"/>
      <c r="N110" s="386"/>
      <c r="O110" s="386"/>
      <c r="P110" s="167"/>
      <c r="Q110" s="167"/>
      <c r="S110" s="167"/>
      <c r="T110" s="167"/>
      <c r="U110" s="167"/>
      <c r="V110" s="167"/>
      <c r="X110" s="167"/>
    </row>
    <row r="111" spans="7:24" ht="15" hidden="1" outlineLevel="1" x14ac:dyDescent="0.2">
      <c r="G111" s="645"/>
      <c r="H111" s="190"/>
      <c r="I111" s="680"/>
      <c r="J111" s="190"/>
      <c r="K111" s="386"/>
      <c r="L111" s="386"/>
      <c r="M111" s="386"/>
      <c r="N111" s="386"/>
      <c r="O111" s="386"/>
      <c r="P111" s="167"/>
      <c r="Q111" s="167"/>
      <c r="S111" s="167"/>
      <c r="T111" s="167"/>
      <c r="U111" s="167"/>
      <c r="V111" s="167"/>
      <c r="X111" s="167"/>
    </row>
    <row r="112" spans="7:24" ht="15" hidden="1" outlineLevel="1" x14ac:dyDescent="0.2">
      <c r="G112" s="645"/>
      <c r="H112" s="190"/>
      <c r="I112" s="680"/>
      <c r="J112" s="190"/>
      <c r="K112" s="386"/>
      <c r="L112" s="386"/>
      <c r="M112" s="386"/>
      <c r="N112" s="386"/>
      <c r="O112" s="386"/>
      <c r="P112" s="167"/>
      <c r="Q112" s="167"/>
      <c r="S112" s="167"/>
      <c r="T112" s="167"/>
      <c r="U112" s="167"/>
      <c r="V112" s="167"/>
      <c r="X112" s="167"/>
    </row>
    <row r="113" spans="7:24" ht="15" hidden="1" outlineLevel="1" x14ac:dyDescent="0.2">
      <c r="G113" s="645"/>
      <c r="H113" s="190"/>
      <c r="I113" s="680"/>
      <c r="J113" s="190"/>
      <c r="K113" s="386"/>
      <c r="L113" s="386"/>
      <c r="M113" s="386"/>
      <c r="N113" s="386"/>
      <c r="O113" s="386"/>
      <c r="P113" s="167"/>
      <c r="Q113" s="167"/>
      <c r="S113" s="167"/>
      <c r="T113" s="167"/>
      <c r="U113" s="167"/>
      <c r="V113" s="167"/>
      <c r="X113" s="167"/>
    </row>
    <row r="114" spans="7:24" ht="15" hidden="1" outlineLevel="1" x14ac:dyDescent="0.2">
      <c r="G114" s="645"/>
      <c r="H114" s="190"/>
      <c r="I114" s="680"/>
      <c r="J114" s="190"/>
      <c r="K114" s="386"/>
      <c r="L114" s="386"/>
      <c r="M114" s="386"/>
      <c r="N114" s="386"/>
      <c r="O114" s="386"/>
      <c r="P114" s="167"/>
      <c r="Q114" s="167"/>
      <c r="S114" s="167"/>
      <c r="T114" s="167"/>
      <c r="U114" s="167"/>
      <c r="V114" s="167"/>
      <c r="X114" s="167"/>
    </row>
    <row r="115" spans="7:24" ht="15" hidden="1" outlineLevel="1" x14ac:dyDescent="0.2">
      <c r="G115" s="645"/>
      <c r="H115" s="190"/>
      <c r="I115" s="680"/>
      <c r="J115" s="190"/>
      <c r="K115" s="386"/>
      <c r="L115" s="386"/>
      <c r="M115" s="386"/>
      <c r="N115" s="386"/>
      <c r="O115" s="386"/>
      <c r="P115" s="167"/>
      <c r="Q115" s="167"/>
      <c r="S115" s="167"/>
      <c r="T115" s="167"/>
      <c r="U115" s="167"/>
      <c r="V115" s="167"/>
      <c r="X115" s="167"/>
    </row>
    <row r="116" spans="7:24" ht="15" hidden="1" outlineLevel="1" x14ac:dyDescent="0.2">
      <c r="G116" s="645"/>
      <c r="H116" s="190"/>
      <c r="I116" s="680"/>
      <c r="J116" s="190"/>
      <c r="K116" s="386"/>
      <c r="L116" s="386"/>
      <c r="M116" s="386"/>
      <c r="N116" s="386"/>
      <c r="O116" s="386"/>
      <c r="P116" s="167"/>
      <c r="Q116" s="167"/>
      <c r="S116" s="167"/>
      <c r="T116" s="167"/>
      <c r="U116" s="167"/>
      <c r="V116" s="167"/>
      <c r="X116" s="167"/>
    </row>
    <row r="117" spans="7:24" ht="15" hidden="1" outlineLevel="1" x14ac:dyDescent="0.2">
      <c r="G117" s="645"/>
      <c r="H117" s="190"/>
      <c r="I117" s="680"/>
      <c r="J117" s="190"/>
      <c r="K117" s="386"/>
      <c r="L117" s="386"/>
      <c r="M117" s="386"/>
      <c r="N117" s="386"/>
      <c r="O117" s="386"/>
      <c r="P117" s="167"/>
      <c r="Q117" s="167"/>
      <c r="S117" s="167"/>
      <c r="T117" s="167"/>
      <c r="U117" s="167"/>
      <c r="V117" s="167"/>
      <c r="X117" s="167"/>
    </row>
    <row r="118" spans="7:24" ht="15" hidden="1" outlineLevel="1" x14ac:dyDescent="0.2">
      <c r="G118" s="645"/>
      <c r="H118" s="190"/>
      <c r="I118" s="680"/>
      <c r="J118" s="190"/>
      <c r="K118" s="386"/>
      <c r="L118" s="386"/>
      <c r="M118" s="386"/>
      <c r="N118" s="386"/>
      <c r="O118" s="386"/>
      <c r="P118" s="167"/>
      <c r="Q118" s="167"/>
      <c r="S118" s="167"/>
      <c r="T118" s="167"/>
      <c r="U118" s="167"/>
      <c r="V118" s="167"/>
      <c r="X118" s="167"/>
    </row>
    <row r="119" spans="7:24" ht="15" hidden="1" outlineLevel="1" x14ac:dyDescent="0.2">
      <c r="G119" s="645"/>
      <c r="H119" s="190"/>
      <c r="I119" s="680"/>
      <c r="J119" s="190"/>
      <c r="K119" s="386"/>
      <c r="L119" s="386"/>
      <c r="M119" s="386"/>
      <c r="N119" s="386"/>
      <c r="O119" s="386"/>
      <c r="P119" s="167"/>
      <c r="Q119" s="167"/>
      <c r="S119" s="167"/>
      <c r="T119" s="167"/>
      <c r="U119" s="167"/>
      <c r="V119" s="167"/>
      <c r="X119" s="167"/>
    </row>
    <row r="120" spans="7:24" ht="15" hidden="1" outlineLevel="1" x14ac:dyDescent="0.2">
      <c r="G120" s="645"/>
      <c r="H120" s="190"/>
      <c r="I120" s="680"/>
      <c r="J120" s="190"/>
      <c r="K120" s="386"/>
      <c r="L120" s="386"/>
      <c r="M120" s="386"/>
      <c r="N120" s="386"/>
      <c r="O120" s="386"/>
      <c r="P120" s="167"/>
      <c r="Q120" s="167"/>
      <c r="S120" s="167"/>
      <c r="T120" s="167"/>
      <c r="U120" s="167"/>
      <c r="V120" s="167"/>
      <c r="X120" s="167"/>
    </row>
    <row r="121" spans="7:24" ht="15" hidden="1" outlineLevel="1" x14ac:dyDescent="0.2">
      <c r="G121" s="645"/>
      <c r="H121" s="190"/>
      <c r="I121" s="680"/>
      <c r="J121" s="190"/>
      <c r="K121" s="386"/>
      <c r="L121" s="386"/>
      <c r="M121" s="386"/>
      <c r="N121" s="386"/>
      <c r="O121" s="386"/>
      <c r="P121" s="167"/>
      <c r="Q121" s="167"/>
      <c r="S121" s="167"/>
      <c r="T121" s="167"/>
      <c r="U121" s="167"/>
      <c r="V121" s="167"/>
      <c r="X121" s="167"/>
    </row>
    <row r="122" spans="7:24" ht="15" hidden="1" outlineLevel="1" x14ac:dyDescent="0.2">
      <c r="G122" s="645"/>
      <c r="H122" s="190"/>
      <c r="I122" s="680"/>
      <c r="J122" s="190"/>
      <c r="K122" s="386"/>
      <c r="L122" s="386"/>
      <c r="M122" s="386"/>
      <c r="N122" s="386"/>
      <c r="O122" s="386"/>
      <c r="P122" s="167"/>
      <c r="Q122" s="167"/>
      <c r="S122" s="167"/>
      <c r="T122" s="167"/>
      <c r="U122" s="167"/>
      <c r="V122" s="167"/>
      <c r="X122" s="167"/>
    </row>
    <row r="123" spans="7:24" ht="15" hidden="1" outlineLevel="1" x14ac:dyDescent="0.2">
      <c r="G123" s="645"/>
      <c r="H123" s="190"/>
      <c r="I123" s="680"/>
      <c r="J123" s="190"/>
      <c r="K123" s="386"/>
      <c r="L123" s="386"/>
      <c r="M123" s="386"/>
      <c r="N123" s="386"/>
      <c r="O123" s="386"/>
      <c r="P123" s="167"/>
      <c r="Q123" s="167"/>
      <c r="S123" s="167"/>
      <c r="T123" s="167"/>
      <c r="U123" s="167"/>
      <c r="V123" s="167"/>
      <c r="X123" s="167"/>
    </row>
    <row r="124" spans="7:24" ht="15" hidden="1" outlineLevel="1" x14ac:dyDescent="0.2">
      <c r="G124" s="645"/>
      <c r="H124" s="190"/>
      <c r="I124" s="680"/>
      <c r="J124" s="190"/>
      <c r="K124" s="386"/>
      <c r="L124" s="386"/>
      <c r="M124" s="386"/>
      <c r="N124" s="386"/>
      <c r="O124" s="386"/>
      <c r="P124" s="167"/>
      <c r="Q124" s="167"/>
      <c r="S124" s="167"/>
      <c r="T124" s="167"/>
      <c r="U124" s="167"/>
      <c r="V124" s="167"/>
      <c r="X124" s="167"/>
    </row>
    <row r="125" spans="7:24" ht="15" hidden="1" outlineLevel="1" x14ac:dyDescent="0.2">
      <c r="G125" s="645"/>
      <c r="H125" s="190"/>
      <c r="I125" s="680"/>
      <c r="J125" s="190"/>
      <c r="K125" s="386"/>
      <c r="L125" s="386"/>
      <c r="M125" s="386"/>
      <c r="N125" s="386"/>
      <c r="O125" s="386"/>
      <c r="P125" s="167"/>
      <c r="Q125" s="167"/>
      <c r="S125" s="167"/>
      <c r="T125" s="167"/>
      <c r="U125" s="167"/>
      <c r="V125" s="167"/>
      <c r="X125" s="167"/>
    </row>
    <row r="126" spans="7:24" ht="15" hidden="1" outlineLevel="1" x14ac:dyDescent="0.2">
      <c r="G126" s="645"/>
      <c r="H126" s="190"/>
      <c r="I126" s="680"/>
      <c r="J126" s="190"/>
      <c r="K126" s="386"/>
      <c r="L126" s="386"/>
      <c r="M126" s="386"/>
      <c r="N126" s="386"/>
      <c r="O126" s="386"/>
      <c r="P126" s="167"/>
      <c r="Q126" s="167"/>
      <c r="S126" s="167"/>
      <c r="T126" s="167"/>
      <c r="U126" s="167"/>
      <c r="V126" s="167"/>
      <c r="X126" s="167"/>
    </row>
    <row r="127" spans="7:24" ht="15" hidden="1" outlineLevel="1" x14ac:dyDescent="0.2">
      <c r="G127" s="645"/>
      <c r="H127" s="190"/>
      <c r="I127" s="680"/>
      <c r="J127" s="190"/>
      <c r="K127" s="386"/>
      <c r="L127" s="386"/>
      <c r="M127" s="386"/>
      <c r="N127" s="386"/>
      <c r="O127" s="386"/>
      <c r="P127" s="167"/>
      <c r="Q127" s="167"/>
      <c r="S127" s="167"/>
      <c r="T127" s="167"/>
      <c r="U127" s="167"/>
      <c r="V127" s="167"/>
      <c r="X127" s="167"/>
    </row>
    <row r="128" spans="7:24" ht="15" hidden="1" outlineLevel="1" x14ac:dyDescent="0.2">
      <c r="G128" s="645"/>
      <c r="H128" s="190"/>
      <c r="I128" s="680"/>
      <c r="J128" s="190"/>
      <c r="K128" s="386"/>
      <c r="L128" s="386"/>
      <c r="M128" s="386"/>
      <c r="N128" s="386"/>
      <c r="O128" s="386"/>
      <c r="P128" s="167"/>
      <c r="Q128" s="167"/>
      <c r="S128" s="167"/>
      <c r="T128" s="167"/>
      <c r="U128" s="167"/>
      <c r="V128" s="167"/>
      <c r="X128" s="167"/>
    </row>
    <row r="129" spans="7:24" ht="15" hidden="1" outlineLevel="1" x14ac:dyDescent="0.2">
      <c r="G129" s="645"/>
      <c r="H129" s="190"/>
      <c r="I129" s="680"/>
      <c r="J129" s="190"/>
      <c r="K129" s="386"/>
      <c r="L129" s="386"/>
      <c r="M129" s="386"/>
      <c r="N129" s="386"/>
      <c r="O129" s="386"/>
      <c r="P129" s="167"/>
      <c r="Q129" s="167"/>
      <c r="S129" s="167"/>
      <c r="T129" s="167"/>
      <c r="U129" s="167"/>
      <c r="V129" s="167"/>
      <c r="X129" s="167"/>
    </row>
    <row r="130" spans="7:24" ht="15" hidden="1" outlineLevel="1" x14ac:dyDescent="0.2">
      <c r="G130" s="645"/>
      <c r="H130" s="190"/>
      <c r="I130" s="680"/>
      <c r="J130" s="190"/>
      <c r="K130" s="386"/>
      <c r="L130" s="386"/>
      <c r="M130" s="386"/>
      <c r="N130" s="386"/>
      <c r="O130" s="386"/>
      <c r="P130" s="167"/>
      <c r="Q130" s="167"/>
      <c r="S130" s="167"/>
      <c r="T130" s="167"/>
      <c r="U130" s="167"/>
      <c r="V130" s="167"/>
      <c r="X130" s="167"/>
    </row>
    <row r="131" spans="7:24" ht="15" hidden="1" outlineLevel="1" x14ac:dyDescent="0.2">
      <c r="G131" s="645"/>
      <c r="H131" s="190"/>
      <c r="I131" s="680"/>
      <c r="J131" s="190"/>
      <c r="K131" s="386"/>
      <c r="L131" s="386"/>
      <c r="M131" s="386"/>
      <c r="N131" s="386"/>
      <c r="O131" s="386"/>
      <c r="P131" s="167"/>
      <c r="Q131" s="167"/>
      <c r="S131" s="167"/>
      <c r="T131" s="167"/>
      <c r="U131" s="167"/>
      <c r="V131" s="167"/>
      <c r="X131" s="167"/>
    </row>
    <row r="132" spans="7:24" ht="15" hidden="1" outlineLevel="1" x14ac:dyDescent="0.2">
      <c r="G132" s="645"/>
      <c r="H132" s="190"/>
      <c r="I132" s="680"/>
      <c r="J132" s="190"/>
      <c r="K132" s="386"/>
      <c r="L132" s="386"/>
      <c r="M132" s="386"/>
      <c r="N132" s="386"/>
      <c r="O132" s="386"/>
      <c r="P132" s="167"/>
      <c r="Q132" s="167"/>
      <c r="S132" s="167"/>
      <c r="T132" s="167"/>
      <c r="U132" s="167"/>
      <c r="V132" s="167"/>
      <c r="X132" s="167"/>
    </row>
    <row r="133" spans="7:24" ht="15" hidden="1" outlineLevel="1" x14ac:dyDescent="0.2">
      <c r="G133" s="645"/>
      <c r="H133" s="190"/>
      <c r="I133" s="680"/>
      <c r="J133" s="190"/>
      <c r="K133" s="386"/>
      <c r="L133" s="386"/>
      <c r="M133" s="386"/>
      <c r="N133" s="386"/>
      <c r="O133" s="386"/>
      <c r="P133" s="167"/>
      <c r="Q133" s="167"/>
      <c r="S133" s="167"/>
      <c r="T133" s="167"/>
      <c r="U133" s="167"/>
      <c r="V133" s="167"/>
      <c r="X133" s="167"/>
    </row>
    <row r="134" spans="7:24" s="608" customFormat="1" ht="15" hidden="1" outlineLevel="1" x14ac:dyDescent="0.2">
      <c r="G134" s="645"/>
      <c r="H134" s="190"/>
      <c r="I134" s="680"/>
      <c r="J134" s="190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</row>
    <row r="135" spans="7:24" s="608" customFormat="1" ht="15" collapsed="1" x14ac:dyDescent="0.2">
      <c r="G135" s="645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</row>
    <row r="136" spans="7:24" s="191" customFormat="1" ht="15" x14ac:dyDescent="0.2">
      <c r="G136" s="645"/>
      <c r="H136"/>
      <c r="I136"/>
      <c r="J136"/>
      <c r="K136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</row>
    <row r="137" spans="7:24" s="191" customFormat="1" x14ac:dyDescent="0.2">
      <c r="H137"/>
      <c r="I137"/>
      <c r="J137"/>
      <c r="K13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</row>
    <row r="138" spans="7:24" s="191" customFormat="1" x14ac:dyDescent="0.2">
      <c r="H138"/>
      <c r="I138"/>
      <c r="J138"/>
      <c r="K138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</row>
    <row r="139" spans="7:24" s="191" customFormat="1" x14ac:dyDescent="0.2">
      <c r="H139"/>
      <c r="I139"/>
      <c r="J139"/>
      <c r="K139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</row>
    <row r="140" spans="7:24" s="191" customFormat="1" x14ac:dyDescent="0.2">
      <c r="H140"/>
      <c r="I140"/>
      <c r="J140"/>
      <c r="K140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</row>
    <row r="141" spans="7:24" s="191" customFormat="1" x14ac:dyDescent="0.2">
      <c r="H141"/>
      <c r="I141"/>
      <c r="J141"/>
      <c r="K141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</row>
    <row r="142" spans="7:24" s="191" customFormat="1" x14ac:dyDescent="0.2">
      <c r="G142" s="606"/>
      <c r="H142"/>
      <c r="I142"/>
      <c r="J142"/>
      <c r="K142"/>
      <c r="L142" s="167"/>
      <c r="M142" s="167"/>
      <c r="N142" s="167"/>
      <c r="O142" s="167"/>
      <c r="P142" s="167"/>
      <c r="Q142" s="167"/>
      <c r="R142" s="167"/>
      <c r="S142" s="167"/>
      <c r="T142" s="167"/>
      <c r="U142" s="167"/>
      <c r="V142" s="167"/>
      <c r="W142" s="167"/>
      <c r="X142" s="167"/>
    </row>
    <row r="143" spans="7:24" s="191" customFormat="1" x14ac:dyDescent="0.2">
      <c r="G143" s="606"/>
      <c r="H143"/>
      <c r="I143"/>
      <c r="J143"/>
      <c r="K143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</row>
    <row r="144" spans="7:24" s="191" customFormat="1" x14ac:dyDescent="0.2">
      <c r="H144"/>
      <c r="I144"/>
      <c r="J144"/>
      <c r="K144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</row>
    <row r="145" spans="8:24" s="191" customFormat="1" x14ac:dyDescent="0.2">
      <c r="H145"/>
      <c r="I145"/>
      <c r="J145"/>
      <c r="K145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</row>
    <row r="146" spans="8:24" s="191" customFormat="1" x14ac:dyDescent="0.2">
      <c r="H146"/>
      <c r="I146"/>
      <c r="J146"/>
      <c r="K146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</row>
    <row r="147" spans="8:24" s="191" customFormat="1" x14ac:dyDescent="0.2">
      <c r="H147"/>
      <c r="I147"/>
      <c r="J147"/>
      <c r="K147"/>
      <c r="L147" s="167"/>
      <c r="M147" s="167"/>
      <c r="N147" s="167"/>
      <c r="O147" s="167"/>
      <c r="P147" s="167"/>
      <c r="Q147" s="167"/>
      <c r="R147" s="167"/>
      <c r="S147" s="167"/>
      <c r="T147" s="167"/>
      <c r="U147" s="167"/>
      <c r="V147" s="167"/>
      <c r="W147" s="167"/>
      <c r="X147" s="167"/>
    </row>
    <row r="148" spans="8:24" s="191" customFormat="1" x14ac:dyDescent="0.2">
      <c r="H148"/>
      <c r="I148"/>
      <c r="J148"/>
      <c r="K148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</row>
    <row r="149" spans="8:24" s="191" customFormat="1" x14ac:dyDescent="0.2">
      <c r="H149"/>
      <c r="I149"/>
      <c r="J149"/>
      <c r="K149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</row>
    <row r="150" spans="8:24" s="191" customFormat="1" x14ac:dyDescent="0.2">
      <c r="H150"/>
      <c r="I150"/>
      <c r="J150"/>
      <c r="K150"/>
      <c r="L150" s="167"/>
      <c r="M150" s="167"/>
      <c r="N150" s="167"/>
      <c r="O150" s="167"/>
      <c r="P150" s="167"/>
      <c r="Q150" s="167"/>
      <c r="R150" s="167"/>
      <c r="S150" s="167"/>
      <c r="T150" s="167"/>
      <c r="U150" s="167"/>
      <c r="V150" s="167"/>
      <c r="W150" s="167"/>
      <c r="X150" s="167"/>
    </row>
    <row r="151" spans="8:24" s="191" customFormat="1" x14ac:dyDescent="0.2">
      <c r="H151"/>
      <c r="I151"/>
      <c r="J151"/>
      <c r="K151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</row>
    <row r="152" spans="8:24" s="191" customFormat="1" x14ac:dyDescent="0.2">
      <c r="H152"/>
      <c r="I152"/>
      <c r="J152"/>
      <c r="K152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</row>
    <row r="153" spans="8:24" s="191" customFormat="1" x14ac:dyDescent="0.2">
      <c r="H153"/>
      <c r="I153"/>
      <c r="J153"/>
      <c r="K153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</row>
    <row r="154" spans="8:24" s="191" customFormat="1" x14ac:dyDescent="0.2">
      <c r="H154"/>
      <c r="I154"/>
      <c r="J154"/>
      <c r="K154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</row>
    <row r="155" spans="8:24" s="191" customFormat="1" x14ac:dyDescent="0.2">
      <c r="H155"/>
      <c r="I155"/>
      <c r="J155"/>
      <c r="K155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</row>
    <row r="156" spans="8:24" s="191" customFormat="1" x14ac:dyDescent="0.2">
      <c r="H156"/>
      <c r="I156"/>
      <c r="J156"/>
      <c r="K156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</row>
    <row r="157" spans="8:24" s="191" customFormat="1" x14ac:dyDescent="0.2">
      <c r="H157"/>
      <c r="I157"/>
      <c r="J157"/>
      <c r="K15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</row>
    <row r="158" spans="8:24" s="191" customFormat="1" x14ac:dyDescent="0.2">
      <c r="H158" s="167"/>
      <c r="I158" s="167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</row>
    <row r="159" spans="8:24" s="191" customFormat="1" x14ac:dyDescent="0.2">
      <c r="H159" s="167"/>
      <c r="I159" s="167"/>
      <c r="J159" s="167"/>
      <c r="K159" s="167"/>
      <c r="L159" s="167"/>
      <c r="M159" s="167"/>
      <c r="N159" s="167"/>
      <c r="O159" s="167"/>
      <c r="P159" s="167"/>
      <c r="Q159" s="167"/>
      <c r="R159" s="167"/>
      <c r="S159" s="167"/>
      <c r="T159" s="167"/>
      <c r="U159" s="167"/>
      <c r="V159" s="167"/>
      <c r="W159" s="167"/>
      <c r="X159" s="167"/>
    </row>
    <row r="160" spans="8:24" s="191" customFormat="1" x14ac:dyDescent="0.2">
      <c r="H160" s="167"/>
      <c r="I160" s="167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</row>
    <row r="161" spans="8:24" s="191" customFormat="1" x14ac:dyDescent="0.2">
      <c r="H161" s="167"/>
      <c r="I161" s="167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</row>
    <row r="162" spans="8:24" s="191" customFormat="1" x14ac:dyDescent="0.2">
      <c r="H162" s="167"/>
      <c r="I162" s="167"/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V162" s="167"/>
      <c r="W162" s="167"/>
      <c r="X162" s="167"/>
    </row>
    <row r="163" spans="8:24" s="191" customFormat="1" x14ac:dyDescent="0.2">
      <c r="H163" s="167"/>
      <c r="I163" s="167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  <c r="V163" s="167"/>
      <c r="W163" s="167"/>
      <c r="X163" s="167"/>
    </row>
    <row r="164" spans="8:24" s="191" customFormat="1" x14ac:dyDescent="0.2">
      <c r="H164" s="167"/>
      <c r="I164" s="167"/>
      <c r="J164" s="167"/>
      <c r="K164" s="167"/>
      <c r="L164" s="167"/>
      <c r="M164" s="167"/>
      <c r="N164" s="167"/>
      <c r="O164" s="167"/>
      <c r="P164" s="167"/>
      <c r="Q164" s="167"/>
      <c r="R164" s="167"/>
      <c r="S164" s="167"/>
      <c r="T164" s="167"/>
      <c r="U164" s="167"/>
      <c r="V164" s="167"/>
      <c r="W164" s="167"/>
      <c r="X164" s="167"/>
    </row>
    <row r="165" spans="8:24" s="191" customFormat="1" x14ac:dyDescent="0.2">
      <c r="H165" s="167"/>
      <c r="I165" s="167"/>
      <c r="J165" s="167"/>
      <c r="K165" s="167"/>
      <c r="L165" s="167"/>
      <c r="M165" s="167"/>
      <c r="N165" s="167"/>
      <c r="O165" s="167"/>
      <c r="P165" s="167"/>
      <c r="Q165" s="167"/>
      <c r="R165" s="167"/>
      <c r="S165" s="167"/>
      <c r="T165" s="167"/>
      <c r="U165" s="167"/>
      <c r="V165" s="167"/>
      <c r="W165" s="167"/>
      <c r="X165" s="167"/>
    </row>
    <row r="166" spans="8:24" s="191" customFormat="1" x14ac:dyDescent="0.2">
      <c r="H166" s="167"/>
      <c r="I166" s="167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</row>
    <row r="167" spans="8:24" s="191" customFormat="1" ht="12.75" customHeight="1" x14ac:dyDescent="0.2"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</row>
    <row r="168" spans="8:24" s="191" customFormat="1" ht="12.75" customHeight="1" x14ac:dyDescent="0.2">
      <c r="H168" s="167"/>
      <c r="I168" s="167"/>
      <c r="J168" s="167"/>
      <c r="K168" s="167"/>
      <c r="L168" s="167"/>
      <c r="M168" s="167"/>
      <c r="N168" s="167"/>
      <c r="O168" s="167"/>
      <c r="P168" s="167"/>
      <c r="Q168" s="167"/>
      <c r="R168" s="167"/>
      <c r="S168" s="167"/>
      <c r="T168" s="167"/>
      <c r="U168" s="167"/>
      <c r="V168" s="167"/>
      <c r="W168" s="167"/>
      <c r="X168" s="167"/>
    </row>
    <row r="169" spans="8:24" s="191" customFormat="1" ht="12.75" customHeight="1" x14ac:dyDescent="0.2">
      <c r="H169" s="167"/>
      <c r="I169" s="167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</row>
    <row r="170" spans="8:24" ht="12.75" customHeight="1" x14ac:dyDescent="0.2">
      <c r="I170" s="167"/>
      <c r="K170" s="167"/>
      <c r="L170" s="167"/>
      <c r="M170" s="167"/>
      <c r="N170" s="167"/>
      <c r="O170" s="167"/>
      <c r="P170" s="167"/>
      <c r="Q170" s="167"/>
      <c r="S170" s="167"/>
      <c r="T170" s="167"/>
      <c r="U170" s="167"/>
      <c r="V170" s="167"/>
      <c r="X170" s="167"/>
    </row>
    <row r="171" spans="8:24" ht="12.75" customHeight="1" x14ac:dyDescent="0.2">
      <c r="I171" s="167"/>
      <c r="K171" s="167"/>
      <c r="L171" s="167"/>
      <c r="M171" s="167"/>
      <c r="N171" s="167"/>
      <c r="O171" s="167"/>
      <c r="P171" s="167"/>
      <c r="Q171" s="167"/>
      <c r="S171" s="167"/>
      <c r="T171" s="167"/>
      <c r="U171" s="167"/>
      <c r="V171" s="167"/>
      <c r="X171" s="167"/>
    </row>
    <row r="172" spans="8:24" ht="12.75" customHeight="1" x14ac:dyDescent="0.2">
      <c r="I172" s="167"/>
      <c r="K172" s="167"/>
      <c r="L172" s="167"/>
      <c r="M172" s="167"/>
      <c r="N172" s="167"/>
      <c r="O172" s="167"/>
      <c r="P172" s="167"/>
      <c r="Q172" s="167"/>
      <c r="S172" s="167"/>
      <c r="T172" s="167"/>
      <c r="U172" s="167"/>
      <c r="V172" s="167"/>
      <c r="X172" s="167"/>
    </row>
    <row r="173" spans="8:24" ht="12.75" customHeight="1" x14ac:dyDescent="0.2">
      <c r="I173" s="167"/>
      <c r="K173" s="167"/>
      <c r="L173" s="167"/>
      <c r="M173" s="167"/>
      <c r="N173" s="167"/>
      <c r="O173" s="167"/>
      <c r="P173" s="167"/>
      <c r="Q173" s="167"/>
      <c r="S173" s="167"/>
      <c r="T173" s="167"/>
      <c r="U173" s="167"/>
      <c r="V173" s="167"/>
      <c r="X173" s="167"/>
    </row>
    <row r="174" spans="8:24" ht="12.75" customHeight="1" x14ac:dyDescent="0.2">
      <c r="I174" s="167"/>
      <c r="K174" s="167"/>
      <c r="L174" s="167"/>
      <c r="M174" s="167"/>
      <c r="N174" s="167"/>
      <c r="O174" s="167"/>
      <c r="P174" s="167"/>
      <c r="Q174" s="167"/>
      <c r="S174" s="167"/>
      <c r="T174" s="167"/>
      <c r="U174" s="167"/>
      <c r="V174" s="167"/>
      <c r="X174" s="167"/>
    </row>
    <row r="175" spans="8:24" ht="12.75" customHeight="1" x14ac:dyDescent="0.2">
      <c r="I175" s="167"/>
      <c r="K175" s="167"/>
      <c r="L175" s="167"/>
      <c r="M175" s="167"/>
      <c r="N175" s="167"/>
      <c r="O175" s="167"/>
      <c r="P175" s="167"/>
      <c r="Q175" s="167"/>
      <c r="S175" s="167"/>
      <c r="T175" s="167"/>
      <c r="U175" s="167"/>
      <c r="V175" s="167"/>
      <c r="X175" s="167"/>
    </row>
    <row r="176" spans="8:24" ht="12.75" customHeight="1" x14ac:dyDescent="0.2">
      <c r="I176" s="167"/>
      <c r="K176" s="167"/>
      <c r="L176" s="167"/>
      <c r="M176" s="167"/>
      <c r="N176" s="167"/>
      <c r="O176" s="167"/>
      <c r="P176" s="167"/>
      <c r="Q176" s="167"/>
      <c r="S176" s="167"/>
      <c r="T176" s="167"/>
      <c r="U176" s="167"/>
      <c r="V176" s="167"/>
      <c r="X176" s="167"/>
    </row>
    <row r="177" spans="7:24" ht="12.75" customHeight="1" x14ac:dyDescent="0.2">
      <c r="I177" s="167"/>
      <c r="K177" s="167"/>
      <c r="L177" s="167"/>
      <c r="M177" s="167"/>
      <c r="N177" s="167"/>
      <c r="O177" s="167"/>
      <c r="P177" s="167"/>
      <c r="Q177" s="167"/>
      <c r="S177" s="167"/>
      <c r="T177" s="167"/>
      <c r="U177" s="167"/>
      <c r="V177" s="167"/>
      <c r="X177" s="167"/>
    </row>
    <row r="178" spans="7:24" ht="12.75" customHeight="1" x14ac:dyDescent="0.2">
      <c r="I178" s="167"/>
      <c r="K178" s="167"/>
      <c r="L178" s="167"/>
      <c r="M178" s="167"/>
      <c r="N178" s="167"/>
      <c r="O178" s="167"/>
      <c r="P178" s="167"/>
      <c r="Q178" s="167"/>
      <c r="S178" s="167"/>
      <c r="T178" s="167"/>
      <c r="U178" s="167"/>
      <c r="V178" s="167"/>
      <c r="X178" s="167"/>
    </row>
    <row r="179" spans="7:24" ht="12.75" customHeight="1" x14ac:dyDescent="0.2">
      <c r="I179" s="167"/>
      <c r="K179" s="167"/>
      <c r="L179" s="167"/>
      <c r="M179" s="167"/>
      <c r="N179" s="167"/>
      <c r="O179" s="167"/>
      <c r="P179" s="167"/>
      <c r="Q179" s="167"/>
      <c r="S179" s="167"/>
      <c r="T179" s="167"/>
      <c r="U179" s="167"/>
      <c r="V179" s="167"/>
      <c r="X179" s="167"/>
    </row>
    <row r="180" spans="7:24" ht="12.75" customHeight="1" x14ac:dyDescent="0.2">
      <c r="I180" s="167"/>
      <c r="K180" s="167"/>
      <c r="L180" s="167"/>
      <c r="M180" s="167"/>
      <c r="N180" s="167"/>
      <c r="O180" s="167"/>
      <c r="P180" s="167"/>
      <c r="Q180" s="167"/>
      <c r="S180" s="167"/>
      <c r="T180" s="167"/>
      <c r="U180" s="167"/>
      <c r="V180" s="167"/>
      <c r="X180" s="167"/>
    </row>
    <row r="181" spans="7:24" ht="12.75" customHeight="1" x14ac:dyDescent="0.2">
      <c r="I181" s="167"/>
      <c r="K181" s="167"/>
      <c r="L181" s="167"/>
      <c r="M181" s="167"/>
      <c r="N181" s="167"/>
      <c r="O181" s="167"/>
      <c r="P181" s="167"/>
      <c r="Q181" s="167"/>
      <c r="S181" s="167"/>
      <c r="T181" s="167"/>
      <c r="U181" s="167"/>
      <c r="V181" s="167"/>
      <c r="X181" s="167"/>
    </row>
    <row r="182" spans="7:24" x14ac:dyDescent="0.2">
      <c r="G182" s="181"/>
      <c r="I182" s="167"/>
      <c r="K182" s="167"/>
      <c r="L182" s="167"/>
      <c r="M182" s="167"/>
      <c r="N182" s="167"/>
      <c r="O182" s="167"/>
      <c r="P182" s="167"/>
      <c r="Q182" s="167"/>
      <c r="S182" s="167"/>
      <c r="T182" s="167"/>
      <c r="U182" s="167"/>
      <c r="V182" s="167"/>
      <c r="X182" s="167"/>
    </row>
    <row r="183" spans="7:24" x14ac:dyDescent="0.2">
      <c r="G183" s="181"/>
      <c r="I183" s="167"/>
      <c r="K183" s="167"/>
      <c r="L183" s="167"/>
      <c r="M183" s="167"/>
      <c r="N183" s="167"/>
      <c r="O183" s="167"/>
      <c r="P183" s="167"/>
      <c r="Q183" s="167"/>
      <c r="S183" s="167"/>
      <c r="T183" s="167"/>
      <c r="U183" s="167"/>
      <c r="V183" s="167"/>
      <c r="X183" s="167"/>
    </row>
    <row r="184" spans="7:24" x14ac:dyDescent="0.2">
      <c r="G184" s="181"/>
      <c r="I184" s="167"/>
      <c r="K184" s="167"/>
      <c r="L184" s="167"/>
      <c r="M184" s="167"/>
      <c r="N184" s="167"/>
      <c r="O184" s="167"/>
      <c r="P184" s="167"/>
      <c r="Q184" s="167"/>
      <c r="S184" s="167"/>
      <c r="T184" s="167"/>
      <c r="U184" s="167"/>
      <c r="V184" s="167"/>
      <c r="X184" s="167"/>
    </row>
    <row r="185" spans="7:24" x14ac:dyDescent="0.2">
      <c r="G185" s="181" t="s">
        <v>235</v>
      </c>
      <c r="I185" s="167"/>
      <c r="K185" s="167"/>
      <c r="L185" s="167"/>
      <c r="M185" s="167"/>
      <c r="N185" s="167"/>
      <c r="O185" s="167"/>
      <c r="P185" s="167"/>
      <c r="Q185" s="167"/>
      <c r="S185" s="167"/>
      <c r="T185" s="167"/>
      <c r="U185" s="167"/>
      <c r="V185" s="167"/>
      <c r="X185" s="167"/>
    </row>
    <row r="186" spans="7:24" x14ac:dyDescent="0.2">
      <c r="G186" s="181"/>
      <c r="I186" s="167"/>
      <c r="K186" s="167"/>
      <c r="L186" s="167"/>
      <c r="M186" s="167"/>
      <c r="N186" s="167"/>
      <c r="O186" s="167"/>
      <c r="P186" s="167"/>
      <c r="Q186" s="167"/>
      <c r="S186" s="167"/>
      <c r="T186" s="167"/>
      <c r="U186" s="167"/>
      <c r="V186" s="167"/>
      <c r="X186" s="167"/>
    </row>
    <row r="187" spans="7:24" x14ac:dyDescent="0.2">
      <c r="G187" s="248">
        <v>0.01</v>
      </c>
      <c r="I187" s="167"/>
      <c r="K187" s="167"/>
      <c r="L187" s="167"/>
      <c r="M187" s="167"/>
      <c r="N187" s="167"/>
      <c r="O187" s="167"/>
      <c r="P187" s="167"/>
      <c r="Q187" s="167"/>
      <c r="S187" s="167"/>
      <c r="T187" s="167"/>
      <c r="U187" s="167"/>
      <c r="V187" s="167"/>
      <c r="X187" s="167"/>
    </row>
    <row r="188" spans="7:24" x14ac:dyDescent="0.2">
      <c r="G188" s="248">
        <v>0.02</v>
      </c>
      <c r="I188" s="167"/>
      <c r="K188" s="167"/>
      <c r="L188" s="167"/>
      <c r="M188" s="167"/>
      <c r="N188" s="167"/>
      <c r="O188" s="167"/>
      <c r="P188" s="167"/>
      <c r="Q188" s="167"/>
      <c r="S188" s="167"/>
      <c r="T188" s="167"/>
      <c r="U188" s="167"/>
      <c r="V188" s="167"/>
      <c r="X188" s="167"/>
    </row>
    <row r="189" spans="7:24" x14ac:dyDescent="0.2">
      <c r="G189" s="248">
        <v>0.03</v>
      </c>
      <c r="I189" s="167"/>
      <c r="K189" s="167"/>
      <c r="L189" s="167"/>
      <c r="M189" s="167"/>
      <c r="N189" s="167"/>
      <c r="O189" s="167"/>
      <c r="P189" s="167"/>
      <c r="Q189" s="167"/>
      <c r="S189" s="167"/>
      <c r="T189" s="167"/>
      <c r="U189" s="167"/>
      <c r="V189" s="167"/>
      <c r="X189" s="167"/>
    </row>
    <row r="190" spans="7:24" x14ac:dyDescent="0.2">
      <c r="G190" s="248">
        <v>0.04</v>
      </c>
      <c r="I190" s="167"/>
      <c r="K190" s="167"/>
      <c r="L190" s="167"/>
      <c r="M190" s="167"/>
      <c r="N190" s="167"/>
      <c r="O190" s="167"/>
      <c r="P190" s="167"/>
      <c r="Q190" s="167"/>
      <c r="S190" s="167"/>
      <c r="T190" s="167"/>
      <c r="U190" s="167"/>
      <c r="V190" s="167"/>
      <c r="X190" s="167"/>
    </row>
    <row r="191" spans="7:24" x14ac:dyDescent="0.2">
      <c r="G191" s="248">
        <v>0.05</v>
      </c>
      <c r="I191" s="167"/>
      <c r="K191" s="167"/>
      <c r="L191" s="167"/>
      <c r="M191" s="167"/>
      <c r="N191" s="167"/>
      <c r="O191" s="167"/>
      <c r="P191" s="167"/>
      <c r="Q191" s="167"/>
      <c r="S191" s="167"/>
      <c r="T191" s="167"/>
      <c r="U191" s="167"/>
      <c r="V191" s="167"/>
      <c r="X191" s="167"/>
    </row>
  </sheetData>
  <conditionalFormatting sqref="K8:K16 J29 K18:K26">
    <cfRule type="dataBar" priority="125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{9B5340BD-2923-4B75-89B4-7EA5AC6C8921}</x14:id>
        </ext>
      </extLst>
    </cfRule>
  </conditionalFormatting>
  <conditionalFormatting sqref="S57:S69 S73:T73 T43:T69">
    <cfRule type="cellIs" dxfId="8" priority="83" operator="lessThan">
      <formula>0</formula>
    </cfRule>
  </conditionalFormatting>
  <conditionalFormatting sqref="M31">
    <cfRule type="cellIs" dxfId="7" priority="81" operator="lessThan">
      <formula>0</formula>
    </cfRule>
    <cfRule type="cellIs" dxfId="6" priority="82" operator="greaterThan">
      <formula>0</formula>
    </cfRule>
  </conditionalFormatting>
  <conditionalFormatting sqref="M32:M38">
    <cfRule type="cellIs" dxfId="5" priority="79" operator="lessThan">
      <formula>0</formula>
    </cfRule>
    <cfRule type="cellIs" dxfId="4" priority="80" operator="greaterThan">
      <formula>0</formula>
    </cfRule>
  </conditionalFormatting>
  <conditionalFormatting sqref="M39">
    <cfRule type="cellIs" dxfId="3" priority="77" operator="lessThan">
      <formula>0</formula>
    </cfRule>
    <cfRule type="cellIs" dxfId="2" priority="78" operator="greaterThan">
      <formula>0</formula>
    </cfRule>
  </conditionalFormatting>
  <conditionalFormatting sqref="S44:S54">
    <cfRule type="cellIs" dxfId="1" priority="42" operator="lessThan">
      <formula>0</formula>
    </cfRule>
  </conditionalFormatting>
  <conditionalFormatting sqref="S43">
    <cfRule type="cellIs" dxfId="0" priority="41" operator="lessThan">
      <formula>0</formula>
    </cfRule>
  </conditionalFormatting>
  <conditionalFormatting sqref="T7:T27">
    <cfRule type="dataBar" priority="35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{67478A03-25C9-4655-B390-BF52E9D82DE1}</x14:id>
        </ext>
      </extLst>
    </cfRule>
  </conditionalFormatting>
  <conditionalFormatting sqref="Q43:Q69 Q73">
    <cfRule type="dataBar" priority="126">
      <dataBar showValue="0">
        <cfvo type="min"/>
        <cfvo type="max"/>
        <color rgb="FF00B050"/>
      </dataBar>
      <extLst>
        <ext xmlns:x14="http://schemas.microsoft.com/office/spreadsheetml/2009/9/main" uri="{B025F937-C7B1-47D3-B67F-A62EFF666E3E}">
          <x14:id>{0D97FB10-3FA7-4FE3-A664-2283FDE1E054}</x14:id>
        </ext>
      </extLst>
    </cfRule>
  </conditionalFormatting>
  <conditionalFormatting sqref="P73">
    <cfRule type="dataBar" priority="1">
      <dataBar showValue="0">
        <cfvo type="min"/>
        <cfvo type="max"/>
        <color rgb="FF00B050"/>
      </dataBar>
      <extLst>
        <ext xmlns:x14="http://schemas.microsoft.com/office/spreadsheetml/2009/9/main" uri="{B025F937-C7B1-47D3-B67F-A62EFF666E3E}">
          <x14:id>{82C797E6-C8B4-41FD-AA7E-D34D391E6B50}</x14:id>
        </ext>
      </extLst>
    </cfRule>
  </conditionalFormatting>
  <dataValidations count="8">
    <dataValidation type="list" allowBlank="1" showInputMessage="1" showErrorMessage="1" sqref="K6:K7 T6">
      <formula1>$I$3:$I$4</formula1>
    </dataValidation>
    <dataValidation type="list" allowBlank="1" showInputMessage="1" showErrorMessage="1" sqref="H3:H4 P3:P4">
      <formula1>$X$5:$X$19</formula1>
    </dataValidation>
    <dataValidation type="list" allowBlank="1" showInputMessage="1" showErrorMessage="1" sqref="Q41">
      <formula1>$X$12:$X$19</formula1>
    </dataValidation>
    <dataValidation type="list" allowBlank="1" showInputMessage="1" showErrorMessage="1" sqref="J28">
      <formula1>$G$32:$G$34</formula1>
    </dataValidation>
    <dataValidation type="list" allowBlank="1" showInputMessage="1" showErrorMessage="1" sqref="H48">
      <formula1>"BASE, To 30%"</formula1>
    </dataValidation>
    <dataValidation type="list" allowBlank="1" showInputMessage="1" showErrorMessage="1" sqref="H58">
      <formula1>"UNCAPPED, CAPPED(14%),CAPPED(16%)"</formula1>
    </dataValidation>
    <dataValidation type="list" allowBlank="1" showInputMessage="1" showErrorMessage="1" sqref="H59 H51">
      <formula1>"YES,NO"</formula1>
    </dataValidation>
    <dataValidation type="list" allowBlank="1" showInputMessage="1" showErrorMessage="1" sqref="I28">
      <formula1>$G$36:$G$37</formula1>
    </dataValidation>
  </dataValidations>
  <printOptions horizontalCentered="1"/>
  <pageMargins left="0.7" right="0.7" top="0.75" bottom="0.7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Portfolio">
                <anchor moveWithCells="1" sizeWithCells="1">
                  <from>
                    <xdr:col>8</xdr:col>
                    <xdr:colOff>171450</xdr:colOff>
                    <xdr:row>66</xdr:row>
                    <xdr:rowOff>180975</xdr:rowOff>
                  </from>
                  <to>
                    <xdr:col>8</xdr:col>
                    <xdr:colOff>1190625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set_Porfolio">
                <anchor moveWithCells="1" sizeWithCells="1">
                  <from>
                    <xdr:col>8</xdr:col>
                    <xdr:colOff>1381125</xdr:colOff>
                    <xdr:row>66</xdr:row>
                    <xdr:rowOff>180975</xdr:rowOff>
                  </from>
                  <to>
                    <xdr:col>8</xdr:col>
                    <xdr:colOff>2400300</xdr:colOff>
                    <xdr:row>68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5340BD-2923-4B75-89B4-7EA5AC6C89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K8:K16 J29 K18:K26</xm:sqref>
        </x14:conditionalFormatting>
        <x14:conditionalFormatting xmlns:xm="http://schemas.microsoft.com/office/excel/2006/main">
          <x14:cfRule type="dataBar" id="{67478A03-25C9-4655-B390-BF52E9D82D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T7:T27</xm:sqref>
        </x14:conditionalFormatting>
        <x14:conditionalFormatting xmlns:xm="http://schemas.microsoft.com/office/excel/2006/main">
          <x14:cfRule type="dataBar" id="{0D97FB10-3FA7-4FE3-A664-2283FDE1E054}">
            <x14:dataBar minLength="0" maxLength="100" border="1" negativeBarBorderColorSameAsPositive="0">
              <x14:cfvo type="autoMin"/>
              <x14:cfvo type="autoMax"/>
              <x14:borderColor rgb="FF00B050"/>
              <x14:negativeFillColor rgb="FFFF0000"/>
              <x14:negativeBorderColor rgb="FFFF0000"/>
              <x14:axisColor rgb="FF000000"/>
            </x14:dataBar>
          </x14:cfRule>
          <xm:sqref>Q43:Q69 Q73</xm:sqref>
        </x14:conditionalFormatting>
        <x14:conditionalFormatting xmlns:xm="http://schemas.microsoft.com/office/excel/2006/main">
          <x14:cfRule type="dataBar" id="{82C797E6-C8B4-41FD-AA7E-D34D391E6B50}">
            <x14:dataBar minLength="0" maxLength="100" border="1" negativeBarBorderColorSameAsPositive="0">
              <x14:cfvo type="autoMin"/>
              <x14:cfvo type="autoMax"/>
              <x14:borderColor rgb="FF00B050"/>
              <x14:negativeFillColor rgb="FFFF0000"/>
              <x14:negativeBorderColor rgb="FFFF0000"/>
              <x14:axisColor rgb="FF000000"/>
            </x14:dataBar>
          </x14:cfRule>
          <xm:sqref>P73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#REF!</xm:f>
          </x14:formula1>
          <xm:sqref>H135:H139</xm:sqref>
        </x14:dataValidation>
        <x14:dataValidation type="list" allowBlank="1" showInputMessage="1" showErrorMessage="1">
          <x14:formula1>
            <xm:f>#REF!</xm:f>
          </x14:formula1>
          <xm:sqref>H69</xm:sqref>
        </x14:dataValidation>
        <x14:dataValidation type="list" allowBlank="1" showInputMessage="1" showErrorMessage="1">
          <x14:formula1>
            <xm:f>#REF!</xm:f>
          </x14:formula1>
          <xm:sqref>H68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H177"/>
  <sheetViews>
    <sheetView showGridLines="0" zoomScaleSheetLayoutView="70" workbookViewId="0">
      <pane xSplit="7" ySplit="9" topLeftCell="W98" activePane="bottomRight" state="frozen"/>
      <selection activeCell="E1" sqref="E1"/>
      <selection pane="topRight" activeCell="H1" sqref="H1"/>
      <selection pane="bottomLeft" activeCell="E14" sqref="E14"/>
      <selection pane="bottomRight" activeCell="A98" sqref="A98:AI98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3" hidden="1" customWidth="1" outlineLevel="1"/>
    <col min="5" max="5" width="8.7109375" style="5" customWidth="1" collapsed="1"/>
    <col min="6" max="6" width="8.7109375" style="5" customWidth="1"/>
    <col min="7" max="7" width="14.42578125" style="5" customWidth="1"/>
    <col min="8" max="9" width="8.7109375" style="5" customWidth="1" outlineLevel="1"/>
    <col min="10" max="15" width="12.7109375" style="5" customWidth="1" outlineLevel="1"/>
    <col min="16" max="16" width="12.28515625" style="42" customWidth="1" outlineLevel="1"/>
    <col min="17" max="17" width="9" style="5" customWidth="1" outlineLevel="1"/>
    <col min="18" max="18" width="10.42578125" style="5" customWidth="1"/>
    <col min="19" max="24" width="11.85546875" style="5" customWidth="1"/>
    <col min="25" max="25" width="9.28515625" style="5" bestFit="1" customWidth="1"/>
    <col min="26" max="34" width="10.5703125" style="5" bestFit="1" customWidth="1"/>
    <col min="35" max="16384" width="18.7109375" style="5"/>
  </cols>
  <sheetData>
    <row r="1" spans="1:34" s="1" customFormat="1" ht="11.25" outlineLevel="1" x14ac:dyDescent="0.2"/>
    <row r="2" spans="1:34" s="2" customFormat="1" ht="11.25" outlineLevel="1" x14ac:dyDescent="0.2">
      <c r="A2" s="1"/>
      <c r="B2" s="1"/>
      <c r="C2" s="1"/>
      <c r="V2" s="226"/>
      <c r="W2" s="226"/>
    </row>
    <row r="3" spans="1:34" ht="18" x14ac:dyDescent="0.25">
      <c r="E3" s="4" t="s">
        <v>63</v>
      </c>
      <c r="N3" s="33"/>
    </row>
    <row r="4" spans="1:34" ht="11.25" x14ac:dyDescent="0.2">
      <c r="E4" s="6" t="s">
        <v>0</v>
      </c>
      <c r="J4" s="34"/>
    </row>
    <row r="5" spans="1:34" ht="2.4500000000000002" customHeight="1" x14ac:dyDescent="0.2">
      <c r="E5" s="6"/>
      <c r="J5" s="34"/>
    </row>
    <row r="6" spans="1:34" ht="2.4500000000000002" customHeight="1" x14ac:dyDescent="0.2">
      <c r="E6" s="6"/>
      <c r="J6" s="34"/>
    </row>
    <row r="7" spans="1:34" ht="2.4500000000000002" customHeight="1" x14ac:dyDescent="0.2">
      <c r="J7" s="8" t="s">
        <v>1</v>
      </c>
      <c r="K7" s="8"/>
      <c r="L7" s="8"/>
      <c r="M7" s="8" t="s">
        <v>2</v>
      </c>
      <c r="N7" s="9"/>
      <c r="O7" s="9"/>
      <c r="P7" s="83"/>
      <c r="Q7" s="9"/>
      <c r="R7" s="9"/>
      <c r="S7" s="9"/>
      <c r="T7" s="9"/>
      <c r="U7" s="9"/>
      <c r="V7" s="227"/>
      <c r="W7" s="227"/>
      <c r="X7" s="9"/>
    </row>
    <row r="8" spans="1:34" ht="11.25" x14ac:dyDescent="0.2">
      <c r="J8" s="60">
        <f t="shared" ref="J8:AH8" si="0">J9-CurrentFiscalYear</f>
        <v>-10</v>
      </c>
      <c r="K8" s="60">
        <f t="shared" si="0"/>
        <v>-9</v>
      </c>
      <c r="L8" s="60">
        <f t="shared" si="0"/>
        <v>-8</v>
      </c>
      <c r="M8" s="60">
        <f t="shared" si="0"/>
        <v>-7</v>
      </c>
      <c r="N8" s="60">
        <f t="shared" si="0"/>
        <v>-6</v>
      </c>
      <c r="O8" s="60">
        <f t="shared" si="0"/>
        <v>-5</v>
      </c>
      <c r="P8" s="84">
        <f t="shared" si="0"/>
        <v>-4</v>
      </c>
      <c r="Q8" s="60">
        <f t="shared" si="0"/>
        <v>-3</v>
      </c>
      <c r="R8" s="60">
        <f t="shared" si="0"/>
        <v>-2</v>
      </c>
      <c r="S8" s="60">
        <f t="shared" si="0"/>
        <v>-1</v>
      </c>
      <c r="T8" s="60">
        <f t="shared" si="0"/>
        <v>0</v>
      </c>
      <c r="U8" s="60">
        <f t="shared" si="0"/>
        <v>1</v>
      </c>
      <c r="V8" s="60">
        <f t="shared" si="0"/>
        <v>2</v>
      </c>
      <c r="W8" s="60">
        <f t="shared" si="0"/>
        <v>3</v>
      </c>
      <c r="X8" s="60">
        <f t="shared" si="0"/>
        <v>4</v>
      </c>
      <c r="Y8" s="60">
        <f t="shared" si="0"/>
        <v>5</v>
      </c>
      <c r="Z8" s="60">
        <f t="shared" si="0"/>
        <v>6</v>
      </c>
      <c r="AA8" s="60">
        <f t="shared" si="0"/>
        <v>7</v>
      </c>
      <c r="AB8" s="60">
        <f t="shared" si="0"/>
        <v>8</v>
      </c>
      <c r="AC8" s="60">
        <f t="shared" si="0"/>
        <v>9</v>
      </c>
      <c r="AD8" s="60">
        <f t="shared" si="0"/>
        <v>10</v>
      </c>
      <c r="AE8" s="60">
        <f t="shared" si="0"/>
        <v>11</v>
      </c>
      <c r="AF8" s="60">
        <f t="shared" si="0"/>
        <v>12</v>
      </c>
      <c r="AG8" s="60">
        <f t="shared" si="0"/>
        <v>13</v>
      </c>
      <c r="AH8" s="60">
        <f t="shared" si="0"/>
        <v>14</v>
      </c>
    </row>
    <row r="9" spans="1:34" ht="11.25" x14ac:dyDescent="0.2">
      <c r="J9" s="10">
        <v>2006</v>
      </c>
      <c r="K9" s="10">
        <f t="shared" ref="K9:S9" si="1">J9+1</f>
        <v>2007</v>
      </c>
      <c r="L9" s="10">
        <f t="shared" si="1"/>
        <v>2008</v>
      </c>
      <c r="M9" s="10">
        <f t="shared" si="1"/>
        <v>2009</v>
      </c>
      <c r="N9" s="10">
        <f t="shared" si="1"/>
        <v>2010</v>
      </c>
      <c r="O9" s="11">
        <f t="shared" si="1"/>
        <v>2011</v>
      </c>
      <c r="P9" s="139">
        <f>O9+1</f>
        <v>2012</v>
      </c>
      <c r="Q9" s="139">
        <f t="shared" si="1"/>
        <v>2013</v>
      </c>
      <c r="R9" s="139">
        <f t="shared" si="1"/>
        <v>2014</v>
      </c>
      <c r="S9" s="139">
        <f t="shared" si="1"/>
        <v>2015</v>
      </c>
      <c r="T9" s="139">
        <f>S9+1</f>
        <v>2016</v>
      </c>
      <c r="U9" s="139">
        <f>T9+1</f>
        <v>2017</v>
      </c>
      <c r="V9" s="139">
        <f>U9+1</f>
        <v>2018</v>
      </c>
      <c r="W9" s="139">
        <f>V9+1</f>
        <v>2019</v>
      </c>
      <c r="X9" s="139">
        <f>W9+1</f>
        <v>2020</v>
      </c>
      <c r="Y9" s="139">
        <f t="shared" ref="Y9:AF9" si="2">X9+1</f>
        <v>2021</v>
      </c>
      <c r="Z9" s="139">
        <f t="shared" si="2"/>
        <v>2022</v>
      </c>
      <c r="AA9" s="139">
        <f t="shared" si="2"/>
        <v>2023</v>
      </c>
      <c r="AB9" s="139">
        <f t="shared" si="2"/>
        <v>2024</v>
      </c>
      <c r="AC9" s="139">
        <f t="shared" si="2"/>
        <v>2025</v>
      </c>
      <c r="AD9" s="139">
        <f t="shared" si="2"/>
        <v>2026</v>
      </c>
      <c r="AE9" s="139">
        <f t="shared" si="2"/>
        <v>2027</v>
      </c>
      <c r="AF9" s="139">
        <f t="shared" si="2"/>
        <v>2028</v>
      </c>
      <c r="AG9" s="139">
        <f>AF9+1</f>
        <v>2029</v>
      </c>
      <c r="AH9" s="139">
        <f>AG9+1</f>
        <v>2030</v>
      </c>
    </row>
    <row r="10" spans="1:34" ht="11.25" x14ac:dyDescent="0.2">
      <c r="E10" s="15" t="s">
        <v>34</v>
      </c>
      <c r="R10" s="42"/>
    </row>
    <row r="11" spans="1:34" ht="3" customHeight="1" x14ac:dyDescent="0.2">
      <c r="E11" s="13"/>
      <c r="R11" s="536"/>
      <c r="S11" s="537"/>
      <c r="T11" s="537"/>
      <c r="U11" s="537"/>
      <c r="V11" s="537"/>
      <c r="W11" s="537"/>
      <c r="X11" s="537"/>
    </row>
    <row r="12" spans="1:34" ht="11.25" outlineLevel="1" x14ac:dyDescent="0.2">
      <c r="E12" s="512" t="s">
        <v>152</v>
      </c>
      <c r="F12" s="42"/>
      <c r="G12" s="42"/>
      <c r="H12" s="42"/>
      <c r="I12" s="42"/>
      <c r="J12" s="536">
        <v>10</v>
      </c>
      <c r="K12" s="536">
        <v>10</v>
      </c>
      <c r="L12" s="536">
        <v>10</v>
      </c>
      <c r="M12" s="536">
        <v>10</v>
      </c>
      <c r="N12" s="536">
        <v>10</v>
      </c>
      <c r="O12" s="536">
        <v>10</v>
      </c>
      <c r="P12" s="536">
        <v>10</v>
      </c>
      <c r="Q12" s="536">
        <v>10</v>
      </c>
      <c r="R12" s="536">
        <v>10</v>
      </c>
      <c r="S12" s="536">
        <v>10</v>
      </c>
      <c r="T12" s="536">
        <f t="shared" ref="T12:AH12" ca="1" si="3">Prior_Year*(1+gr_Tuition)</f>
        <v>10.1</v>
      </c>
      <c r="U12" s="536">
        <f t="shared" ca="1" si="3"/>
        <v>10.201000000000001</v>
      </c>
      <c r="V12" s="536">
        <f t="shared" ca="1" si="3"/>
        <v>10.30301</v>
      </c>
      <c r="W12" s="536">
        <f t="shared" ca="1" si="3"/>
        <v>10.4060401</v>
      </c>
      <c r="X12" s="536">
        <f t="shared" ca="1" si="3"/>
        <v>10.510100501</v>
      </c>
      <c r="Y12" s="536">
        <f t="shared" ca="1" si="3"/>
        <v>10.615201506010001</v>
      </c>
      <c r="Z12" s="536">
        <f t="shared" ca="1" si="3"/>
        <v>10.721353521070101</v>
      </c>
      <c r="AA12" s="536">
        <f t="shared" ca="1" si="3"/>
        <v>10.828567056280802</v>
      </c>
      <c r="AB12" s="536">
        <f t="shared" ca="1" si="3"/>
        <v>10.936852726843609</v>
      </c>
      <c r="AC12" s="536">
        <f t="shared" ca="1" si="3"/>
        <v>11.046221254112046</v>
      </c>
      <c r="AD12" s="536">
        <f t="shared" ca="1" si="3"/>
        <v>11.156683466653167</v>
      </c>
      <c r="AE12" s="536">
        <f t="shared" ca="1" si="3"/>
        <v>11.268250301319698</v>
      </c>
      <c r="AF12" s="536">
        <f t="shared" ca="1" si="3"/>
        <v>11.380932804332895</v>
      </c>
      <c r="AG12" s="536">
        <f t="shared" ca="1" si="3"/>
        <v>11.494742132376224</v>
      </c>
      <c r="AH12" s="536">
        <f t="shared" ca="1" si="3"/>
        <v>11.609689553699987</v>
      </c>
    </row>
    <row r="13" spans="1:34" ht="3" customHeight="1" outlineLevel="1" x14ac:dyDescent="0.2">
      <c r="E13" s="513"/>
      <c r="F13" s="42"/>
      <c r="G13" s="42"/>
      <c r="H13" s="42"/>
      <c r="I13" s="42"/>
      <c r="J13" s="536"/>
      <c r="K13" s="536"/>
      <c r="L13" s="536"/>
      <c r="M13" s="536"/>
      <c r="N13" s="536"/>
      <c r="O13" s="536"/>
      <c r="P13" s="536"/>
      <c r="Q13" s="536"/>
      <c r="R13" s="536"/>
      <c r="S13" s="536"/>
      <c r="T13" s="536"/>
      <c r="U13" s="536"/>
      <c r="V13" s="536"/>
      <c r="W13" s="536"/>
      <c r="X13" s="536"/>
      <c r="Y13" s="536"/>
      <c r="Z13" s="536"/>
      <c r="AA13" s="536"/>
      <c r="AB13" s="536"/>
      <c r="AC13" s="536"/>
      <c r="AD13" s="536"/>
      <c r="AE13" s="536"/>
      <c r="AF13" s="536"/>
      <c r="AG13" s="536"/>
      <c r="AH13" s="536"/>
    </row>
    <row r="14" spans="1:34" ht="11.25" outlineLevel="1" x14ac:dyDescent="0.2">
      <c r="E14" s="512" t="s">
        <v>112</v>
      </c>
      <c r="F14" s="42"/>
      <c r="G14" s="42"/>
      <c r="H14" s="42"/>
      <c r="I14" s="42"/>
      <c r="J14" s="536">
        <v>10</v>
      </c>
      <c r="K14" s="536">
        <v>10</v>
      </c>
      <c r="L14" s="536">
        <v>10</v>
      </c>
      <c r="M14" s="536">
        <v>10</v>
      </c>
      <c r="N14" s="536">
        <v>10</v>
      </c>
      <c r="O14" s="536">
        <v>10</v>
      </c>
      <c r="P14" s="536">
        <v>10</v>
      </c>
      <c r="Q14" s="536">
        <v>10</v>
      </c>
      <c r="R14" s="536">
        <v>10</v>
      </c>
      <c r="S14" s="536">
        <v>10</v>
      </c>
      <c r="T14" s="536">
        <v>10</v>
      </c>
      <c r="U14" s="536">
        <f t="shared" ref="U14:AH14" ca="1" si="4">Prior_Year*(1+gr_Reg_Fee)</f>
        <v>10.25</v>
      </c>
      <c r="V14" s="536">
        <f t="shared" ca="1" si="4"/>
        <v>10.50625</v>
      </c>
      <c r="W14" s="536">
        <f t="shared" ca="1" si="4"/>
        <v>10.768906249999999</v>
      </c>
      <c r="X14" s="536">
        <f t="shared" ca="1" si="4"/>
        <v>11.038128906249998</v>
      </c>
      <c r="Y14" s="536">
        <f t="shared" ca="1" si="4"/>
        <v>11.038128906249998</v>
      </c>
      <c r="Z14" s="536">
        <f t="shared" ca="1" si="4"/>
        <v>11.038128906249998</v>
      </c>
      <c r="AA14" s="536">
        <f t="shared" ca="1" si="4"/>
        <v>11.432347795758925</v>
      </c>
      <c r="AB14" s="536">
        <f t="shared" ca="1" si="4"/>
        <v>11.891683198267096</v>
      </c>
      <c r="AC14" s="536">
        <f t="shared" ca="1" si="4"/>
        <v>12.422561912475448</v>
      </c>
      <c r="AD14" s="536">
        <f t="shared" ca="1" si="4"/>
        <v>13.032598434963081</v>
      </c>
      <c r="AE14" s="536">
        <f t="shared" ca="1" si="4"/>
        <v>13.730773351121817</v>
      </c>
      <c r="AF14" s="536">
        <f t="shared" ca="1" si="4"/>
        <v>14.527648590249424</v>
      </c>
      <c r="AG14" s="536">
        <f t="shared" ca="1" si="4"/>
        <v>15.435626627140012</v>
      </c>
      <c r="AH14" s="536">
        <f t="shared" ca="1" si="4"/>
        <v>16.469262338778851</v>
      </c>
    </row>
    <row r="15" spans="1:34" ht="3" customHeight="1" outlineLevel="1" x14ac:dyDescent="0.2">
      <c r="E15" s="512"/>
      <c r="F15" s="42"/>
      <c r="G15" s="42"/>
      <c r="H15" s="42"/>
      <c r="I15" s="42"/>
      <c r="J15" s="536"/>
      <c r="K15" s="536"/>
      <c r="L15" s="536"/>
      <c r="M15" s="536"/>
      <c r="N15" s="536"/>
      <c r="O15" s="536"/>
      <c r="P15" s="536"/>
      <c r="Q15" s="536"/>
      <c r="R15" s="536"/>
      <c r="S15" s="536"/>
      <c r="T15" s="536"/>
      <c r="U15" s="536"/>
      <c r="V15" s="536"/>
      <c r="W15" s="536"/>
      <c r="X15" s="536"/>
      <c r="Y15" s="536"/>
      <c r="Z15" s="536"/>
      <c r="AA15" s="536"/>
      <c r="AB15" s="536"/>
      <c r="AC15" s="536"/>
      <c r="AD15" s="536"/>
      <c r="AE15" s="536"/>
      <c r="AF15" s="536"/>
      <c r="AG15" s="536"/>
      <c r="AH15" s="536"/>
    </row>
    <row r="16" spans="1:34" ht="11.25" outlineLevel="1" x14ac:dyDescent="0.2">
      <c r="E16" s="512" t="s">
        <v>335</v>
      </c>
      <c r="F16" s="42"/>
      <c r="G16" s="42"/>
      <c r="H16" s="42"/>
      <c r="I16" s="42"/>
      <c r="J16" s="536"/>
      <c r="K16" s="536"/>
      <c r="L16" s="536"/>
      <c r="M16" s="536"/>
      <c r="N16" s="536"/>
      <c r="O16" s="536"/>
      <c r="P16" s="536"/>
      <c r="Q16" s="536"/>
      <c r="R16" s="536"/>
      <c r="S16" s="536"/>
      <c r="T16" s="536"/>
      <c r="U16" s="536"/>
      <c r="V16" s="536"/>
      <c r="W16" s="536"/>
      <c r="X16" s="536"/>
      <c r="Y16" s="536"/>
      <c r="Z16" s="536"/>
      <c r="AA16" s="536"/>
      <c r="AB16" s="536"/>
      <c r="AC16" s="536"/>
      <c r="AD16" s="536"/>
      <c r="AE16" s="536"/>
      <c r="AF16" s="536"/>
      <c r="AG16" s="536"/>
      <c r="AH16" s="536"/>
    </row>
    <row r="17" spans="1:34" ht="11.25" outlineLevel="1" x14ac:dyDescent="0.2">
      <c r="E17" s="44" t="s">
        <v>35</v>
      </c>
      <c r="F17" s="42"/>
      <c r="G17" s="42"/>
      <c r="H17" s="42"/>
      <c r="I17" s="42"/>
      <c r="J17" s="536">
        <v>10</v>
      </c>
      <c r="K17" s="536">
        <v>10</v>
      </c>
      <c r="L17" s="536">
        <v>10</v>
      </c>
      <c r="M17" s="536">
        <v>10</v>
      </c>
      <c r="N17" s="536">
        <v>10</v>
      </c>
      <c r="O17" s="536">
        <v>10</v>
      </c>
      <c r="P17" s="536">
        <v>10</v>
      </c>
      <c r="Q17" s="536">
        <v>10</v>
      </c>
      <c r="R17" s="536">
        <v>10</v>
      </c>
      <c r="S17" s="536">
        <v>10</v>
      </c>
      <c r="T17" s="536">
        <f t="shared" ref="T17:AH17" ca="1" si="5">Prior_Year*(1+gr_NRT)</f>
        <v>10.1</v>
      </c>
      <c r="U17" s="536">
        <f t="shared" ca="1" si="5"/>
        <v>10.201000000000001</v>
      </c>
      <c r="V17" s="536">
        <f t="shared" ca="1" si="5"/>
        <v>10.30301</v>
      </c>
      <c r="W17" s="536">
        <f t="shared" ca="1" si="5"/>
        <v>10.4060401</v>
      </c>
      <c r="X17" s="536">
        <f t="shared" ca="1" si="5"/>
        <v>10.510100501</v>
      </c>
      <c r="Y17" s="536">
        <f t="shared" ca="1" si="5"/>
        <v>10.615201506010001</v>
      </c>
      <c r="Z17" s="536">
        <f t="shared" ca="1" si="5"/>
        <v>10.721353521070101</v>
      </c>
      <c r="AA17" s="536">
        <f t="shared" ca="1" si="5"/>
        <v>10.828567056280802</v>
      </c>
      <c r="AB17" s="536">
        <f t="shared" ca="1" si="5"/>
        <v>10.936852726843609</v>
      </c>
      <c r="AC17" s="536">
        <f t="shared" ca="1" si="5"/>
        <v>11.046221254112046</v>
      </c>
      <c r="AD17" s="536">
        <f t="shared" ca="1" si="5"/>
        <v>11.156683466653167</v>
      </c>
      <c r="AE17" s="536">
        <f t="shared" ca="1" si="5"/>
        <v>11.268250301319698</v>
      </c>
      <c r="AF17" s="536">
        <f t="shared" ca="1" si="5"/>
        <v>11.380932804332895</v>
      </c>
      <c r="AG17" s="536">
        <f t="shared" ca="1" si="5"/>
        <v>11.494742132376224</v>
      </c>
      <c r="AH17" s="536">
        <f t="shared" ca="1" si="5"/>
        <v>11.609689553699987</v>
      </c>
    </row>
    <row r="18" spans="1:34" ht="11.25" outlineLevel="1" x14ac:dyDescent="0.2">
      <c r="E18" s="44" t="s">
        <v>44</v>
      </c>
      <c r="F18" s="42"/>
      <c r="G18" s="42"/>
      <c r="H18" s="42"/>
      <c r="I18" s="42"/>
      <c r="J18" s="536">
        <v>10</v>
      </c>
      <c r="K18" s="536">
        <v>10</v>
      </c>
      <c r="L18" s="536">
        <v>10</v>
      </c>
      <c r="M18" s="536">
        <v>10</v>
      </c>
      <c r="N18" s="536">
        <v>10</v>
      </c>
      <c r="O18" s="536">
        <v>10</v>
      </c>
      <c r="P18" s="536">
        <v>10</v>
      </c>
      <c r="Q18" s="536">
        <v>10</v>
      </c>
      <c r="R18" s="536">
        <v>10</v>
      </c>
      <c r="S18" s="536">
        <v>10</v>
      </c>
      <c r="T18" s="536">
        <f t="shared" ref="T18:AH19" ca="1" si="6">Prior_Year*(1+gr_NRST_Grad)</f>
        <v>10</v>
      </c>
      <c r="U18" s="536">
        <f t="shared" ca="1" si="6"/>
        <v>10</v>
      </c>
      <c r="V18" s="536">
        <f t="shared" ca="1" si="6"/>
        <v>10</v>
      </c>
      <c r="W18" s="536">
        <f t="shared" ca="1" si="6"/>
        <v>10</v>
      </c>
      <c r="X18" s="536">
        <f t="shared" ca="1" si="6"/>
        <v>10</v>
      </c>
      <c r="Y18" s="536">
        <f t="shared" ca="1" si="6"/>
        <v>10</v>
      </c>
      <c r="Z18" s="536">
        <f t="shared" ca="1" si="6"/>
        <v>10</v>
      </c>
      <c r="AA18" s="536">
        <f t="shared" ca="1" si="6"/>
        <v>10</v>
      </c>
      <c r="AB18" s="536">
        <f t="shared" ca="1" si="6"/>
        <v>10</v>
      </c>
      <c r="AC18" s="536">
        <f t="shared" ca="1" si="6"/>
        <v>10</v>
      </c>
      <c r="AD18" s="536">
        <f t="shared" ca="1" si="6"/>
        <v>10</v>
      </c>
      <c r="AE18" s="536">
        <f t="shared" ca="1" si="6"/>
        <v>10</v>
      </c>
      <c r="AF18" s="536">
        <f t="shared" ca="1" si="6"/>
        <v>10</v>
      </c>
      <c r="AG18" s="536">
        <f t="shared" ca="1" si="6"/>
        <v>10</v>
      </c>
      <c r="AH18" s="536">
        <f t="shared" ca="1" si="6"/>
        <v>10</v>
      </c>
    </row>
    <row r="19" spans="1:34" ht="11.25" outlineLevel="1" x14ac:dyDescent="0.2">
      <c r="E19" s="44" t="s">
        <v>36</v>
      </c>
      <c r="F19" s="42"/>
      <c r="G19" s="42"/>
      <c r="H19" s="42"/>
      <c r="I19" s="42"/>
      <c r="J19" s="536">
        <v>10</v>
      </c>
      <c r="K19" s="536">
        <v>10</v>
      </c>
      <c r="L19" s="536">
        <v>10</v>
      </c>
      <c r="M19" s="536">
        <v>10</v>
      </c>
      <c r="N19" s="536">
        <v>10</v>
      </c>
      <c r="O19" s="536">
        <v>10</v>
      </c>
      <c r="P19" s="536">
        <v>10</v>
      </c>
      <c r="Q19" s="536">
        <v>10</v>
      </c>
      <c r="R19" s="536">
        <v>10</v>
      </c>
      <c r="S19" s="536">
        <v>10</v>
      </c>
      <c r="T19" s="536">
        <f t="shared" ca="1" si="6"/>
        <v>10</v>
      </c>
      <c r="U19" s="536">
        <f t="shared" ca="1" si="6"/>
        <v>10</v>
      </c>
      <c r="V19" s="536">
        <f t="shared" ca="1" si="6"/>
        <v>10</v>
      </c>
      <c r="W19" s="536">
        <f t="shared" ca="1" si="6"/>
        <v>10</v>
      </c>
      <c r="X19" s="536">
        <f t="shared" ca="1" si="6"/>
        <v>10</v>
      </c>
      <c r="Y19" s="536">
        <f t="shared" ca="1" si="6"/>
        <v>10</v>
      </c>
      <c r="Z19" s="536">
        <f t="shared" ca="1" si="6"/>
        <v>10</v>
      </c>
      <c r="AA19" s="536">
        <f t="shared" ca="1" si="6"/>
        <v>10</v>
      </c>
      <c r="AB19" s="536">
        <f t="shared" ca="1" si="6"/>
        <v>10</v>
      </c>
      <c r="AC19" s="536">
        <f t="shared" ca="1" si="6"/>
        <v>10</v>
      </c>
      <c r="AD19" s="536">
        <f t="shared" ca="1" si="6"/>
        <v>10</v>
      </c>
      <c r="AE19" s="536">
        <f t="shared" ca="1" si="6"/>
        <v>10</v>
      </c>
      <c r="AF19" s="536">
        <f t="shared" ca="1" si="6"/>
        <v>10</v>
      </c>
      <c r="AG19" s="536">
        <f t="shared" ca="1" si="6"/>
        <v>10</v>
      </c>
      <c r="AH19" s="536">
        <f t="shared" ca="1" si="6"/>
        <v>10</v>
      </c>
    </row>
    <row r="20" spans="1:34" ht="3" customHeight="1" outlineLevel="1" x14ac:dyDescent="0.2">
      <c r="E20" s="44"/>
      <c r="F20" s="42"/>
      <c r="G20" s="42"/>
      <c r="H20" s="42"/>
      <c r="I20" s="42"/>
      <c r="J20" s="536"/>
      <c r="K20" s="536"/>
      <c r="L20" s="536"/>
      <c r="M20" s="536"/>
      <c r="N20" s="536"/>
      <c r="O20" s="536"/>
      <c r="P20" s="536"/>
      <c r="Q20" s="536"/>
      <c r="R20" s="536"/>
      <c r="S20" s="536"/>
      <c r="T20" s="536"/>
      <c r="U20" s="536"/>
      <c r="V20" s="536"/>
      <c r="W20" s="536"/>
      <c r="X20" s="536"/>
      <c r="Y20" s="536"/>
      <c r="Z20" s="536"/>
      <c r="AA20" s="536"/>
      <c r="AB20" s="536"/>
      <c r="AC20" s="536"/>
      <c r="AD20" s="536"/>
      <c r="AE20" s="536"/>
      <c r="AF20" s="536"/>
      <c r="AG20" s="536"/>
      <c r="AH20" s="536"/>
    </row>
    <row r="21" spans="1:34" ht="11.25" outlineLevel="1" x14ac:dyDescent="0.2">
      <c r="E21" s="512" t="s">
        <v>36</v>
      </c>
      <c r="F21" s="42"/>
      <c r="G21" s="42"/>
      <c r="H21" s="42"/>
      <c r="I21" s="42"/>
      <c r="J21" s="536"/>
      <c r="K21" s="536"/>
      <c r="L21" s="536"/>
      <c r="M21" s="536"/>
      <c r="N21" s="536"/>
      <c r="O21" s="536"/>
      <c r="P21" s="536"/>
      <c r="Q21" s="536"/>
      <c r="R21" s="536"/>
      <c r="S21" s="536"/>
      <c r="T21" s="536"/>
      <c r="U21" s="536"/>
      <c r="V21" s="536"/>
      <c r="W21" s="536"/>
      <c r="X21" s="536"/>
      <c r="Y21" s="536"/>
      <c r="Z21" s="536"/>
      <c r="AA21" s="536"/>
      <c r="AB21" s="536"/>
      <c r="AC21" s="536"/>
      <c r="AD21" s="536"/>
      <c r="AE21" s="536"/>
      <c r="AF21" s="536"/>
      <c r="AG21" s="536"/>
      <c r="AH21" s="536"/>
    </row>
    <row r="22" spans="1:34" ht="11.25" outlineLevel="1" x14ac:dyDescent="0.2">
      <c r="E22" s="44" t="s">
        <v>104</v>
      </c>
      <c r="F22" s="42"/>
      <c r="G22" s="42"/>
      <c r="H22" s="42"/>
      <c r="I22" s="42"/>
      <c r="J22" s="536">
        <v>10</v>
      </c>
      <c r="K22" s="536">
        <v>10</v>
      </c>
      <c r="L22" s="536">
        <v>10</v>
      </c>
      <c r="M22" s="536">
        <v>10</v>
      </c>
      <c r="N22" s="536">
        <v>10</v>
      </c>
      <c r="O22" s="536">
        <v>10</v>
      </c>
      <c r="P22" s="536">
        <v>10</v>
      </c>
      <c r="Q22" s="536">
        <v>10</v>
      </c>
      <c r="R22" s="536">
        <v>10</v>
      </c>
      <c r="S22" s="536">
        <v>10</v>
      </c>
      <c r="T22" s="536">
        <f t="shared" ref="T22:AH30" ca="1" si="7">Prior_Year*(1+PDST_Fee_Growth)</f>
        <v>10.5</v>
      </c>
      <c r="U22" s="536">
        <f t="shared" ca="1" si="7"/>
        <v>11.025</v>
      </c>
      <c r="V22" s="536">
        <f t="shared" ca="1" si="7"/>
        <v>11.300625</v>
      </c>
      <c r="W22" s="536">
        <f t="shared" ca="1" si="7"/>
        <v>11.583140624999999</v>
      </c>
      <c r="X22" s="536">
        <f t="shared" ca="1" si="7"/>
        <v>11.872719140624998</v>
      </c>
      <c r="Y22" s="536">
        <f t="shared" ca="1" si="7"/>
        <v>12.169537119140621</v>
      </c>
      <c r="Z22" s="536">
        <f t="shared" ca="1" si="7"/>
        <v>12.473775547119136</v>
      </c>
      <c r="AA22" s="536">
        <f t="shared" ca="1" si="7"/>
        <v>12.785619935797113</v>
      </c>
      <c r="AB22" s="536">
        <f t="shared" ca="1" si="7"/>
        <v>13.10526043419204</v>
      </c>
      <c r="AC22" s="536">
        <f t="shared" ca="1" si="7"/>
        <v>13.43289194504684</v>
      </c>
      <c r="AD22" s="536">
        <f t="shared" ca="1" si="7"/>
        <v>13.76871424367301</v>
      </c>
      <c r="AE22" s="536">
        <f t="shared" ca="1" si="7"/>
        <v>14.112932099764834</v>
      </c>
      <c r="AF22" s="536">
        <f t="shared" ca="1" si="7"/>
        <v>14.465755402258953</v>
      </c>
      <c r="AG22" s="536">
        <f t="shared" ca="1" si="7"/>
        <v>14.827399287315426</v>
      </c>
      <c r="AH22" s="536">
        <f t="shared" ca="1" si="7"/>
        <v>15.198084269498311</v>
      </c>
    </row>
    <row r="23" spans="1:34" ht="11.25" outlineLevel="1" x14ac:dyDescent="0.2">
      <c r="E23" s="44" t="s">
        <v>268</v>
      </c>
      <c r="F23" s="42"/>
      <c r="G23" s="42"/>
      <c r="H23" s="42"/>
      <c r="I23" s="42"/>
      <c r="J23" s="536">
        <v>10</v>
      </c>
      <c r="K23" s="536">
        <v>10</v>
      </c>
      <c r="L23" s="536">
        <v>10</v>
      </c>
      <c r="M23" s="536">
        <v>10</v>
      </c>
      <c r="N23" s="536">
        <v>10</v>
      </c>
      <c r="O23" s="536">
        <v>10</v>
      </c>
      <c r="P23" s="536">
        <v>10</v>
      </c>
      <c r="Q23" s="536">
        <v>10</v>
      </c>
      <c r="R23" s="536">
        <v>10</v>
      </c>
      <c r="S23" s="536">
        <v>10</v>
      </c>
      <c r="T23" s="536">
        <f t="shared" ca="1" si="7"/>
        <v>10.5</v>
      </c>
      <c r="U23" s="536">
        <f t="shared" ca="1" si="7"/>
        <v>11.025</v>
      </c>
      <c r="V23" s="536">
        <f t="shared" ca="1" si="7"/>
        <v>11.300625</v>
      </c>
      <c r="W23" s="536">
        <f t="shared" ca="1" si="7"/>
        <v>11.583140624999999</v>
      </c>
      <c r="X23" s="536">
        <f t="shared" ca="1" si="7"/>
        <v>11.872719140624998</v>
      </c>
      <c r="Y23" s="536">
        <f t="shared" ca="1" si="7"/>
        <v>12.169537119140621</v>
      </c>
      <c r="Z23" s="536">
        <f t="shared" ca="1" si="7"/>
        <v>12.473775547119136</v>
      </c>
      <c r="AA23" s="536">
        <f t="shared" ca="1" si="7"/>
        <v>12.785619935797113</v>
      </c>
      <c r="AB23" s="536">
        <f t="shared" ca="1" si="7"/>
        <v>13.10526043419204</v>
      </c>
      <c r="AC23" s="536">
        <f t="shared" ca="1" si="7"/>
        <v>13.43289194504684</v>
      </c>
      <c r="AD23" s="536">
        <f t="shared" ca="1" si="7"/>
        <v>13.76871424367301</v>
      </c>
      <c r="AE23" s="536">
        <f t="shared" ca="1" si="7"/>
        <v>14.112932099764834</v>
      </c>
      <c r="AF23" s="536">
        <f t="shared" ca="1" si="7"/>
        <v>14.465755402258953</v>
      </c>
      <c r="AG23" s="536">
        <f t="shared" ca="1" si="7"/>
        <v>14.827399287315426</v>
      </c>
      <c r="AH23" s="536">
        <f t="shared" ca="1" si="7"/>
        <v>15.198084269498311</v>
      </c>
    </row>
    <row r="24" spans="1:34" ht="11.25" outlineLevel="1" x14ac:dyDescent="0.2">
      <c r="E24" s="44" t="s">
        <v>275</v>
      </c>
      <c r="F24" s="42"/>
      <c r="G24" s="42"/>
      <c r="H24" s="42"/>
      <c r="I24" s="42"/>
      <c r="J24" s="536">
        <v>10</v>
      </c>
      <c r="K24" s="536">
        <v>10</v>
      </c>
      <c r="L24" s="536">
        <v>10</v>
      </c>
      <c r="M24" s="536">
        <v>10</v>
      </c>
      <c r="N24" s="536">
        <v>10</v>
      </c>
      <c r="O24" s="536">
        <v>10</v>
      </c>
      <c r="P24" s="536">
        <v>10</v>
      </c>
      <c r="Q24" s="536">
        <v>10</v>
      </c>
      <c r="R24" s="536">
        <v>10</v>
      </c>
      <c r="S24" s="536">
        <v>10</v>
      </c>
      <c r="T24" s="536">
        <f t="shared" ca="1" si="7"/>
        <v>10.5</v>
      </c>
      <c r="U24" s="536">
        <f t="shared" ca="1" si="7"/>
        <v>11.025</v>
      </c>
      <c r="V24" s="536">
        <f t="shared" ca="1" si="7"/>
        <v>11.300625</v>
      </c>
      <c r="W24" s="536">
        <f t="shared" ca="1" si="7"/>
        <v>11.583140624999999</v>
      </c>
      <c r="X24" s="536">
        <f t="shared" ca="1" si="7"/>
        <v>11.872719140624998</v>
      </c>
      <c r="Y24" s="536">
        <f t="shared" ca="1" si="7"/>
        <v>12.169537119140621</v>
      </c>
      <c r="Z24" s="536">
        <f t="shared" ca="1" si="7"/>
        <v>12.473775547119136</v>
      </c>
      <c r="AA24" s="536">
        <f t="shared" ca="1" si="7"/>
        <v>12.785619935797113</v>
      </c>
      <c r="AB24" s="536">
        <f t="shared" ca="1" si="7"/>
        <v>13.10526043419204</v>
      </c>
      <c r="AC24" s="536">
        <f t="shared" ca="1" si="7"/>
        <v>13.43289194504684</v>
      </c>
      <c r="AD24" s="536">
        <f t="shared" ca="1" si="7"/>
        <v>13.76871424367301</v>
      </c>
      <c r="AE24" s="536">
        <f t="shared" ca="1" si="7"/>
        <v>14.112932099764834</v>
      </c>
      <c r="AF24" s="536">
        <f t="shared" ca="1" si="7"/>
        <v>14.465755402258953</v>
      </c>
      <c r="AG24" s="536">
        <f t="shared" ca="1" si="7"/>
        <v>14.827399287315426</v>
      </c>
      <c r="AH24" s="536">
        <f t="shared" ca="1" si="7"/>
        <v>15.198084269498311</v>
      </c>
    </row>
    <row r="25" spans="1:34" ht="11.25" outlineLevel="1" x14ac:dyDescent="0.2">
      <c r="E25" s="44" t="s">
        <v>271</v>
      </c>
      <c r="F25" s="42"/>
      <c r="G25" s="42"/>
      <c r="H25" s="42"/>
      <c r="I25" s="42"/>
      <c r="J25" s="536">
        <v>10</v>
      </c>
      <c r="K25" s="536">
        <v>10</v>
      </c>
      <c r="L25" s="536">
        <v>10</v>
      </c>
      <c r="M25" s="536">
        <v>10</v>
      </c>
      <c r="N25" s="536">
        <v>10</v>
      </c>
      <c r="O25" s="536">
        <v>10</v>
      </c>
      <c r="P25" s="536">
        <v>10</v>
      </c>
      <c r="Q25" s="536">
        <v>10</v>
      </c>
      <c r="R25" s="536">
        <v>10</v>
      </c>
      <c r="S25" s="536">
        <v>10</v>
      </c>
      <c r="T25" s="536">
        <f t="shared" ca="1" si="7"/>
        <v>10.5</v>
      </c>
      <c r="U25" s="536">
        <f t="shared" ca="1" si="7"/>
        <v>11.025</v>
      </c>
      <c r="V25" s="536">
        <f t="shared" ca="1" si="7"/>
        <v>11.300625</v>
      </c>
      <c r="W25" s="536">
        <f t="shared" ca="1" si="7"/>
        <v>11.583140624999999</v>
      </c>
      <c r="X25" s="536">
        <f t="shared" ca="1" si="7"/>
        <v>11.872719140624998</v>
      </c>
      <c r="Y25" s="536">
        <f t="shared" ca="1" si="7"/>
        <v>12.169537119140621</v>
      </c>
      <c r="Z25" s="536">
        <f t="shared" ca="1" si="7"/>
        <v>12.473775547119136</v>
      </c>
      <c r="AA25" s="536">
        <f t="shared" ca="1" si="7"/>
        <v>12.785619935797113</v>
      </c>
      <c r="AB25" s="536">
        <f t="shared" ca="1" si="7"/>
        <v>13.10526043419204</v>
      </c>
      <c r="AC25" s="536">
        <f t="shared" ca="1" si="7"/>
        <v>13.43289194504684</v>
      </c>
      <c r="AD25" s="536">
        <f t="shared" ca="1" si="7"/>
        <v>13.76871424367301</v>
      </c>
      <c r="AE25" s="536">
        <f t="shared" ca="1" si="7"/>
        <v>14.112932099764834</v>
      </c>
      <c r="AF25" s="536">
        <f t="shared" ca="1" si="7"/>
        <v>14.465755402258953</v>
      </c>
      <c r="AG25" s="536">
        <f t="shared" ca="1" si="7"/>
        <v>14.827399287315426</v>
      </c>
      <c r="AH25" s="536">
        <f t="shared" ca="1" si="7"/>
        <v>15.198084269498311</v>
      </c>
    </row>
    <row r="26" spans="1:34" ht="11.25" outlineLevel="1" x14ac:dyDescent="0.2">
      <c r="B26" s="35"/>
      <c r="E26" s="44" t="s">
        <v>273</v>
      </c>
      <c r="F26" s="42"/>
      <c r="G26" s="42"/>
      <c r="H26" s="42"/>
      <c r="I26" s="42"/>
      <c r="J26" s="536">
        <v>10</v>
      </c>
      <c r="K26" s="536">
        <v>10</v>
      </c>
      <c r="L26" s="536">
        <v>10</v>
      </c>
      <c r="M26" s="536">
        <v>10</v>
      </c>
      <c r="N26" s="536">
        <v>10</v>
      </c>
      <c r="O26" s="536">
        <v>10</v>
      </c>
      <c r="P26" s="536">
        <v>10</v>
      </c>
      <c r="Q26" s="536">
        <v>10</v>
      </c>
      <c r="R26" s="536">
        <v>10</v>
      </c>
      <c r="S26" s="536">
        <v>10</v>
      </c>
      <c r="T26" s="536">
        <f t="shared" ca="1" si="7"/>
        <v>10.5</v>
      </c>
      <c r="U26" s="536">
        <f t="shared" ca="1" si="7"/>
        <v>11.025</v>
      </c>
      <c r="V26" s="536">
        <f t="shared" ca="1" si="7"/>
        <v>11.300625</v>
      </c>
      <c r="W26" s="536">
        <f t="shared" ca="1" si="7"/>
        <v>11.583140624999999</v>
      </c>
      <c r="X26" s="536">
        <f t="shared" ca="1" si="7"/>
        <v>11.872719140624998</v>
      </c>
      <c r="Y26" s="536">
        <f t="shared" ca="1" si="7"/>
        <v>12.169537119140621</v>
      </c>
      <c r="Z26" s="536">
        <f t="shared" ca="1" si="7"/>
        <v>12.473775547119136</v>
      </c>
      <c r="AA26" s="536">
        <f t="shared" ca="1" si="7"/>
        <v>12.785619935797113</v>
      </c>
      <c r="AB26" s="536">
        <f t="shared" ca="1" si="7"/>
        <v>13.10526043419204</v>
      </c>
      <c r="AC26" s="536">
        <f t="shared" ca="1" si="7"/>
        <v>13.43289194504684</v>
      </c>
      <c r="AD26" s="536">
        <f t="shared" ca="1" si="7"/>
        <v>13.76871424367301</v>
      </c>
      <c r="AE26" s="536">
        <f t="shared" ca="1" si="7"/>
        <v>14.112932099764834</v>
      </c>
      <c r="AF26" s="536">
        <f t="shared" ca="1" si="7"/>
        <v>14.465755402258953</v>
      </c>
      <c r="AG26" s="536">
        <f t="shared" ca="1" si="7"/>
        <v>14.827399287315426</v>
      </c>
      <c r="AH26" s="536">
        <f t="shared" ca="1" si="7"/>
        <v>15.198084269498311</v>
      </c>
    </row>
    <row r="27" spans="1:34" ht="11.25" outlineLevel="1" x14ac:dyDescent="0.2">
      <c r="E27" s="44" t="s">
        <v>270</v>
      </c>
      <c r="F27" s="42"/>
      <c r="G27" s="42"/>
      <c r="H27" s="42"/>
      <c r="I27" s="42"/>
      <c r="J27" s="536">
        <v>10</v>
      </c>
      <c r="K27" s="536">
        <v>10</v>
      </c>
      <c r="L27" s="536">
        <v>10</v>
      </c>
      <c r="M27" s="536">
        <v>10</v>
      </c>
      <c r="N27" s="536">
        <v>10</v>
      </c>
      <c r="O27" s="536">
        <v>10</v>
      </c>
      <c r="P27" s="536">
        <v>10</v>
      </c>
      <c r="Q27" s="536">
        <v>10</v>
      </c>
      <c r="R27" s="536">
        <v>10</v>
      </c>
      <c r="S27" s="536">
        <v>10</v>
      </c>
      <c r="T27" s="536">
        <f t="shared" ca="1" si="7"/>
        <v>10.5</v>
      </c>
      <c r="U27" s="536">
        <f t="shared" ca="1" si="7"/>
        <v>11.025</v>
      </c>
      <c r="V27" s="536">
        <f t="shared" ca="1" si="7"/>
        <v>11.300625</v>
      </c>
      <c r="W27" s="536">
        <f t="shared" ca="1" si="7"/>
        <v>11.583140624999999</v>
      </c>
      <c r="X27" s="536">
        <f t="shared" ca="1" si="7"/>
        <v>11.872719140624998</v>
      </c>
      <c r="Y27" s="536">
        <f t="shared" ca="1" si="7"/>
        <v>12.169537119140621</v>
      </c>
      <c r="Z27" s="536">
        <f t="shared" ca="1" si="7"/>
        <v>12.473775547119136</v>
      </c>
      <c r="AA27" s="536">
        <f t="shared" ca="1" si="7"/>
        <v>12.785619935797113</v>
      </c>
      <c r="AB27" s="536">
        <f t="shared" ca="1" si="7"/>
        <v>13.10526043419204</v>
      </c>
      <c r="AC27" s="536">
        <f t="shared" ca="1" si="7"/>
        <v>13.43289194504684</v>
      </c>
      <c r="AD27" s="536">
        <f t="shared" ca="1" si="7"/>
        <v>13.76871424367301</v>
      </c>
      <c r="AE27" s="536">
        <f t="shared" ca="1" si="7"/>
        <v>14.112932099764834</v>
      </c>
      <c r="AF27" s="536">
        <f t="shared" ca="1" si="7"/>
        <v>14.465755402258953</v>
      </c>
      <c r="AG27" s="536">
        <f t="shared" ca="1" si="7"/>
        <v>14.827399287315426</v>
      </c>
      <c r="AH27" s="536">
        <f t="shared" ca="1" si="7"/>
        <v>15.198084269498311</v>
      </c>
    </row>
    <row r="28" spans="1:34" ht="11.25" outlineLevel="1" x14ac:dyDescent="0.2">
      <c r="E28" s="44" t="s">
        <v>272</v>
      </c>
      <c r="F28" s="42"/>
      <c r="G28" s="42"/>
      <c r="H28" s="42"/>
      <c r="I28" s="42"/>
      <c r="J28" s="536">
        <v>10</v>
      </c>
      <c r="K28" s="536">
        <v>10</v>
      </c>
      <c r="L28" s="536">
        <v>10</v>
      </c>
      <c r="M28" s="536">
        <v>10</v>
      </c>
      <c r="N28" s="536">
        <v>10</v>
      </c>
      <c r="O28" s="536">
        <v>10</v>
      </c>
      <c r="P28" s="536">
        <v>10</v>
      </c>
      <c r="Q28" s="536">
        <v>10</v>
      </c>
      <c r="R28" s="536">
        <v>10</v>
      </c>
      <c r="S28" s="536">
        <v>10</v>
      </c>
      <c r="T28" s="536">
        <f t="shared" ca="1" si="7"/>
        <v>10.5</v>
      </c>
      <c r="U28" s="536">
        <f t="shared" ca="1" si="7"/>
        <v>11.025</v>
      </c>
      <c r="V28" s="536">
        <f t="shared" ca="1" si="7"/>
        <v>11.300625</v>
      </c>
      <c r="W28" s="536">
        <f t="shared" ca="1" si="7"/>
        <v>11.583140624999999</v>
      </c>
      <c r="X28" s="536">
        <f t="shared" ca="1" si="7"/>
        <v>11.872719140624998</v>
      </c>
      <c r="Y28" s="536">
        <f t="shared" ca="1" si="7"/>
        <v>12.169537119140621</v>
      </c>
      <c r="Z28" s="536">
        <f t="shared" ca="1" si="7"/>
        <v>12.473775547119136</v>
      </c>
      <c r="AA28" s="536">
        <f t="shared" ca="1" si="7"/>
        <v>12.785619935797113</v>
      </c>
      <c r="AB28" s="536">
        <f t="shared" ca="1" si="7"/>
        <v>13.10526043419204</v>
      </c>
      <c r="AC28" s="536">
        <f t="shared" ca="1" si="7"/>
        <v>13.43289194504684</v>
      </c>
      <c r="AD28" s="536">
        <f t="shared" ca="1" si="7"/>
        <v>13.76871424367301</v>
      </c>
      <c r="AE28" s="536">
        <f t="shared" ca="1" si="7"/>
        <v>14.112932099764834</v>
      </c>
      <c r="AF28" s="536">
        <f t="shared" ca="1" si="7"/>
        <v>14.465755402258953</v>
      </c>
      <c r="AG28" s="536">
        <f t="shared" ca="1" si="7"/>
        <v>14.827399287315426</v>
      </c>
      <c r="AH28" s="536">
        <f t="shared" ca="1" si="7"/>
        <v>15.198084269498311</v>
      </c>
    </row>
    <row r="29" spans="1:34" ht="11.25" outlineLevel="1" x14ac:dyDescent="0.2">
      <c r="E29" s="44" t="s">
        <v>66</v>
      </c>
      <c r="F29" s="42"/>
      <c r="G29" s="42"/>
      <c r="H29" s="42"/>
      <c r="I29" s="42"/>
      <c r="J29" s="536">
        <v>10</v>
      </c>
      <c r="K29" s="536">
        <v>10</v>
      </c>
      <c r="L29" s="536">
        <v>10</v>
      </c>
      <c r="M29" s="536">
        <v>10</v>
      </c>
      <c r="N29" s="536">
        <v>10</v>
      </c>
      <c r="O29" s="536">
        <v>10</v>
      </c>
      <c r="P29" s="536">
        <v>10</v>
      </c>
      <c r="Q29" s="536">
        <v>10</v>
      </c>
      <c r="R29" s="536">
        <v>10</v>
      </c>
      <c r="S29" s="536">
        <v>10</v>
      </c>
      <c r="T29" s="536">
        <f t="shared" ca="1" si="7"/>
        <v>10.5</v>
      </c>
      <c r="U29" s="536">
        <f t="shared" ca="1" si="7"/>
        <v>11.025</v>
      </c>
      <c r="V29" s="536">
        <f t="shared" ca="1" si="7"/>
        <v>11.300625</v>
      </c>
      <c r="W29" s="536">
        <f t="shared" ca="1" si="7"/>
        <v>11.583140624999999</v>
      </c>
      <c r="X29" s="536">
        <f t="shared" ca="1" si="7"/>
        <v>11.872719140624998</v>
      </c>
      <c r="Y29" s="536">
        <f t="shared" ca="1" si="7"/>
        <v>12.169537119140621</v>
      </c>
      <c r="Z29" s="536">
        <f t="shared" ca="1" si="7"/>
        <v>12.473775547119136</v>
      </c>
      <c r="AA29" s="536">
        <f t="shared" ca="1" si="7"/>
        <v>12.785619935797113</v>
      </c>
      <c r="AB29" s="536">
        <f t="shared" ca="1" si="7"/>
        <v>13.10526043419204</v>
      </c>
      <c r="AC29" s="536">
        <f t="shared" ca="1" si="7"/>
        <v>13.43289194504684</v>
      </c>
      <c r="AD29" s="536">
        <f t="shared" ca="1" si="7"/>
        <v>13.76871424367301</v>
      </c>
      <c r="AE29" s="536">
        <f t="shared" ca="1" si="7"/>
        <v>14.112932099764834</v>
      </c>
      <c r="AF29" s="536">
        <f t="shared" ca="1" si="7"/>
        <v>14.465755402258953</v>
      </c>
      <c r="AG29" s="536">
        <f t="shared" ca="1" si="7"/>
        <v>14.827399287315426</v>
      </c>
      <c r="AH29" s="536">
        <f t="shared" ca="1" si="7"/>
        <v>15.198084269498311</v>
      </c>
    </row>
    <row r="30" spans="1:34" ht="11.25" outlineLevel="1" x14ac:dyDescent="0.2">
      <c r="E30" s="44" t="s">
        <v>105</v>
      </c>
      <c r="F30" s="42"/>
      <c r="G30" s="42"/>
      <c r="H30" s="42"/>
      <c r="I30" s="42"/>
      <c r="J30" s="536">
        <v>10</v>
      </c>
      <c r="K30" s="536">
        <v>10</v>
      </c>
      <c r="L30" s="536">
        <v>10</v>
      </c>
      <c r="M30" s="536">
        <v>10</v>
      </c>
      <c r="N30" s="536">
        <v>10</v>
      </c>
      <c r="O30" s="536">
        <v>10</v>
      </c>
      <c r="P30" s="536">
        <v>10</v>
      </c>
      <c r="Q30" s="536">
        <v>10</v>
      </c>
      <c r="R30" s="536">
        <v>10</v>
      </c>
      <c r="S30" s="536">
        <v>10</v>
      </c>
      <c r="T30" s="536">
        <f t="shared" ca="1" si="7"/>
        <v>10.5</v>
      </c>
      <c r="U30" s="536">
        <f t="shared" ca="1" si="7"/>
        <v>11.025</v>
      </c>
      <c r="V30" s="536">
        <f t="shared" ca="1" si="7"/>
        <v>11.300625</v>
      </c>
      <c r="W30" s="536">
        <f t="shared" ca="1" si="7"/>
        <v>11.583140624999999</v>
      </c>
      <c r="X30" s="536">
        <f t="shared" ca="1" si="7"/>
        <v>11.872719140624998</v>
      </c>
      <c r="Y30" s="536">
        <f t="shared" ca="1" si="7"/>
        <v>12.169537119140621</v>
      </c>
      <c r="Z30" s="536">
        <f t="shared" ca="1" si="7"/>
        <v>12.473775547119136</v>
      </c>
      <c r="AA30" s="536">
        <f t="shared" ca="1" si="7"/>
        <v>12.785619935797113</v>
      </c>
      <c r="AB30" s="536">
        <f t="shared" ca="1" si="7"/>
        <v>13.10526043419204</v>
      </c>
      <c r="AC30" s="536">
        <f t="shared" ca="1" si="7"/>
        <v>13.43289194504684</v>
      </c>
      <c r="AD30" s="536">
        <f t="shared" ca="1" si="7"/>
        <v>13.76871424367301</v>
      </c>
      <c r="AE30" s="536">
        <f t="shared" ca="1" si="7"/>
        <v>14.112932099764834</v>
      </c>
      <c r="AF30" s="536">
        <f t="shared" ca="1" si="7"/>
        <v>14.465755402258953</v>
      </c>
      <c r="AG30" s="536">
        <f t="shared" ca="1" si="7"/>
        <v>14.827399287315426</v>
      </c>
      <c r="AH30" s="536">
        <f t="shared" ca="1" si="7"/>
        <v>15.198084269498311</v>
      </c>
    </row>
    <row r="31" spans="1:34" ht="11.25" outlineLevel="1" x14ac:dyDescent="0.2">
      <c r="B31" s="35"/>
      <c r="E31" s="44" t="s">
        <v>325</v>
      </c>
      <c r="F31" s="42"/>
      <c r="G31" s="42"/>
      <c r="H31" s="42"/>
      <c r="I31" s="42"/>
      <c r="J31" s="536">
        <v>10</v>
      </c>
      <c r="K31" s="536">
        <v>10</v>
      </c>
      <c r="L31" s="536">
        <v>10</v>
      </c>
      <c r="M31" s="536">
        <v>10</v>
      </c>
      <c r="N31" s="536">
        <v>10</v>
      </c>
      <c r="O31" s="536">
        <v>10</v>
      </c>
      <c r="P31" s="536">
        <v>10</v>
      </c>
      <c r="Q31" s="536">
        <v>10</v>
      </c>
      <c r="R31" s="536">
        <v>10</v>
      </c>
      <c r="S31" s="536">
        <v>10</v>
      </c>
      <c r="T31" s="536">
        <f t="shared" ref="T31:AH39" ca="1" si="8">Prior_Year*(1+PDST_Fee_Growth)</f>
        <v>10.5</v>
      </c>
      <c r="U31" s="536">
        <f t="shared" ca="1" si="8"/>
        <v>11.025</v>
      </c>
      <c r="V31" s="536">
        <f t="shared" ca="1" si="8"/>
        <v>11.300625</v>
      </c>
      <c r="W31" s="536">
        <f t="shared" ca="1" si="8"/>
        <v>11.583140624999999</v>
      </c>
      <c r="X31" s="536">
        <f t="shared" ca="1" si="8"/>
        <v>11.872719140624998</v>
      </c>
      <c r="Y31" s="536">
        <f t="shared" ca="1" si="8"/>
        <v>12.169537119140621</v>
      </c>
      <c r="Z31" s="536">
        <f t="shared" ca="1" si="8"/>
        <v>12.473775547119136</v>
      </c>
      <c r="AA31" s="536">
        <f t="shared" ca="1" si="8"/>
        <v>12.785619935797113</v>
      </c>
      <c r="AB31" s="536">
        <f t="shared" ca="1" si="8"/>
        <v>13.10526043419204</v>
      </c>
      <c r="AC31" s="536">
        <f t="shared" ca="1" si="8"/>
        <v>13.43289194504684</v>
      </c>
      <c r="AD31" s="536">
        <f t="shared" ca="1" si="8"/>
        <v>13.76871424367301</v>
      </c>
      <c r="AE31" s="536">
        <f t="shared" ca="1" si="8"/>
        <v>14.112932099764834</v>
      </c>
      <c r="AF31" s="536">
        <f t="shared" ca="1" si="8"/>
        <v>14.465755402258953</v>
      </c>
      <c r="AG31" s="536">
        <f t="shared" ca="1" si="8"/>
        <v>14.827399287315426</v>
      </c>
      <c r="AH31" s="536">
        <f t="shared" ca="1" si="8"/>
        <v>15.198084269498311</v>
      </c>
    </row>
    <row r="32" spans="1:34" s="14" customFormat="1" ht="11.25" outlineLevel="1" x14ac:dyDescent="0.2">
      <c r="A32" s="86"/>
      <c r="B32" s="86"/>
      <c r="C32" s="86"/>
      <c r="D32" s="87"/>
      <c r="E32" s="44" t="s">
        <v>330</v>
      </c>
      <c r="F32" s="44"/>
      <c r="G32" s="44"/>
      <c r="H32" s="44"/>
      <c r="I32" s="44"/>
      <c r="J32" s="536">
        <v>10</v>
      </c>
      <c r="K32" s="536">
        <v>10</v>
      </c>
      <c r="L32" s="536">
        <v>10</v>
      </c>
      <c r="M32" s="536">
        <v>10</v>
      </c>
      <c r="N32" s="536">
        <v>10</v>
      </c>
      <c r="O32" s="536">
        <v>10</v>
      </c>
      <c r="P32" s="536">
        <v>10</v>
      </c>
      <c r="Q32" s="536">
        <v>10</v>
      </c>
      <c r="R32" s="536">
        <v>10</v>
      </c>
      <c r="S32" s="536">
        <v>10</v>
      </c>
      <c r="T32" s="536">
        <f t="shared" ref="T32:AH40" ca="1" si="9">Prior_Year*(1+PDST_Fee_Growth)</f>
        <v>10.5</v>
      </c>
      <c r="U32" s="536">
        <f t="shared" ca="1" si="9"/>
        <v>11.025</v>
      </c>
      <c r="V32" s="536">
        <f t="shared" ca="1" si="9"/>
        <v>11.300625</v>
      </c>
      <c r="W32" s="536">
        <f t="shared" ca="1" si="9"/>
        <v>11.583140624999999</v>
      </c>
      <c r="X32" s="536">
        <f t="shared" ca="1" si="9"/>
        <v>11.872719140624998</v>
      </c>
      <c r="Y32" s="536">
        <f t="shared" ca="1" si="9"/>
        <v>12.169537119140621</v>
      </c>
      <c r="Z32" s="536">
        <f t="shared" ca="1" si="9"/>
        <v>12.473775547119136</v>
      </c>
      <c r="AA32" s="536">
        <f t="shared" ca="1" si="9"/>
        <v>12.785619935797113</v>
      </c>
      <c r="AB32" s="536">
        <f t="shared" ca="1" si="9"/>
        <v>13.10526043419204</v>
      </c>
      <c r="AC32" s="536">
        <f t="shared" ca="1" si="9"/>
        <v>13.43289194504684</v>
      </c>
      <c r="AD32" s="536">
        <f t="shared" ca="1" si="9"/>
        <v>13.76871424367301</v>
      </c>
      <c r="AE32" s="536">
        <f t="shared" ca="1" si="9"/>
        <v>14.112932099764834</v>
      </c>
      <c r="AF32" s="536">
        <f t="shared" ca="1" si="9"/>
        <v>14.465755402258953</v>
      </c>
      <c r="AG32" s="536">
        <f t="shared" ca="1" si="9"/>
        <v>14.827399287315426</v>
      </c>
      <c r="AH32" s="536">
        <f t="shared" ca="1" si="9"/>
        <v>15.198084269498311</v>
      </c>
    </row>
    <row r="33" spans="1:34" ht="11.25" outlineLevel="1" x14ac:dyDescent="0.2">
      <c r="E33" s="44" t="s">
        <v>326</v>
      </c>
      <c r="F33" s="42"/>
      <c r="G33" s="42"/>
      <c r="H33" s="42"/>
      <c r="I33" s="42"/>
      <c r="J33" s="536">
        <v>10</v>
      </c>
      <c r="K33" s="536">
        <v>10</v>
      </c>
      <c r="L33" s="536">
        <v>10</v>
      </c>
      <c r="M33" s="536">
        <v>10</v>
      </c>
      <c r="N33" s="536">
        <v>10</v>
      </c>
      <c r="O33" s="536">
        <v>10</v>
      </c>
      <c r="P33" s="536">
        <v>10</v>
      </c>
      <c r="Q33" s="536">
        <v>10</v>
      </c>
      <c r="R33" s="536">
        <v>10</v>
      </c>
      <c r="S33" s="536">
        <v>10</v>
      </c>
      <c r="T33" s="536">
        <f t="shared" ca="1" si="8"/>
        <v>10.5</v>
      </c>
      <c r="U33" s="536">
        <f t="shared" ca="1" si="8"/>
        <v>11.025</v>
      </c>
      <c r="V33" s="536">
        <f t="shared" ca="1" si="8"/>
        <v>11.300625</v>
      </c>
      <c r="W33" s="536">
        <f t="shared" ca="1" si="8"/>
        <v>11.583140624999999</v>
      </c>
      <c r="X33" s="536">
        <f t="shared" ca="1" si="8"/>
        <v>11.872719140624998</v>
      </c>
      <c r="Y33" s="536">
        <f t="shared" ca="1" si="8"/>
        <v>12.169537119140621</v>
      </c>
      <c r="Z33" s="536">
        <f t="shared" ca="1" si="8"/>
        <v>12.473775547119136</v>
      </c>
      <c r="AA33" s="536">
        <f t="shared" ca="1" si="8"/>
        <v>12.785619935797113</v>
      </c>
      <c r="AB33" s="536">
        <f t="shared" ca="1" si="8"/>
        <v>13.10526043419204</v>
      </c>
      <c r="AC33" s="536">
        <f t="shared" ca="1" si="8"/>
        <v>13.43289194504684</v>
      </c>
      <c r="AD33" s="536">
        <f t="shared" ca="1" si="8"/>
        <v>13.76871424367301</v>
      </c>
      <c r="AE33" s="536">
        <f t="shared" ca="1" si="8"/>
        <v>14.112932099764834</v>
      </c>
      <c r="AF33" s="536">
        <f t="shared" ca="1" si="8"/>
        <v>14.465755402258953</v>
      </c>
      <c r="AG33" s="536">
        <f t="shared" ca="1" si="8"/>
        <v>14.827399287315426</v>
      </c>
      <c r="AH33" s="536">
        <f t="shared" ca="1" si="8"/>
        <v>15.198084269498311</v>
      </c>
    </row>
    <row r="34" spans="1:34" s="14" customFormat="1" ht="11.25" outlineLevel="1" x14ac:dyDescent="0.2">
      <c r="A34" s="86"/>
      <c r="B34" s="86"/>
      <c r="C34" s="86"/>
      <c r="D34" s="87"/>
      <c r="E34" s="44" t="s">
        <v>331</v>
      </c>
      <c r="F34" s="44"/>
      <c r="G34" s="44"/>
      <c r="H34" s="44"/>
      <c r="I34" s="44"/>
      <c r="J34" s="536">
        <v>10</v>
      </c>
      <c r="K34" s="536">
        <v>10</v>
      </c>
      <c r="L34" s="536">
        <v>10</v>
      </c>
      <c r="M34" s="536">
        <v>10</v>
      </c>
      <c r="N34" s="536">
        <v>10</v>
      </c>
      <c r="O34" s="536">
        <v>10</v>
      </c>
      <c r="P34" s="536">
        <v>10</v>
      </c>
      <c r="Q34" s="536">
        <v>10</v>
      </c>
      <c r="R34" s="536">
        <v>10</v>
      </c>
      <c r="S34" s="536">
        <v>10</v>
      </c>
      <c r="T34" s="536">
        <f t="shared" ca="1" si="9"/>
        <v>10.5</v>
      </c>
      <c r="U34" s="536">
        <f t="shared" ca="1" si="9"/>
        <v>11.025</v>
      </c>
      <c r="V34" s="536">
        <f t="shared" ca="1" si="9"/>
        <v>11.300625</v>
      </c>
      <c r="W34" s="536">
        <f t="shared" ca="1" si="9"/>
        <v>11.583140624999999</v>
      </c>
      <c r="X34" s="536">
        <f t="shared" ca="1" si="9"/>
        <v>11.872719140624998</v>
      </c>
      <c r="Y34" s="536">
        <f t="shared" ca="1" si="9"/>
        <v>12.169537119140621</v>
      </c>
      <c r="Z34" s="536">
        <f t="shared" ca="1" si="9"/>
        <v>12.473775547119136</v>
      </c>
      <c r="AA34" s="536">
        <f t="shared" ca="1" si="9"/>
        <v>12.785619935797113</v>
      </c>
      <c r="AB34" s="536">
        <f t="shared" ca="1" si="9"/>
        <v>13.10526043419204</v>
      </c>
      <c r="AC34" s="536">
        <f t="shared" ca="1" si="9"/>
        <v>13.43289194504684</v>
      </c>
      <c r="AD34" s="536">
        <f t="shared" ca="1" si="9"/>
        <v>13.76871424367301</v>
      </c>
      <c r="AE34" s="536">
        <f t="shared" ca="1" si="9"/>
        <v>14.112932099764834</v>
      </c>
      <c r="AF34" s="536">
        <f t="shared" ca="1" si="9"/>
        <v>14.465755402258953</v>
      </c>
      <c r="AG34" s="536">
        <f t="shared" ca="1" si="9"/>
        <v>14.827399287315426</v>
      </c>
      <c r="AH34" s="536">
        <f t="shared" ca="1" si="9"/>
        <v>15.198084269498311</v>
      </c>
    </row>
    <row r="35" spans="1:34" ht="11.25" outlineLevel="1" x14ac:dyDescent="0.2">
      <c r="E35" s="44" t="s">
        <v>327</v>
      </c>
      <c r="F35" s="42"/>
      <c r="G35" s="42"/>
      <c r="H35" s="42"/>
      <c r="I35" s="42"/>
      <c r="J35" s="536">
        <v>10</v>
      </c>
      <c r="K35" s="536">
        <v>10</v>
      </c>
      <c r="L35" s="536">
        <v>10</v>
      </c>
      <c r="M35" s="536">
        <v>10</v>
      </c>
      <c r="N35" s="536">
        <v>10</v>
      </c>
      <c r="O35" s="536">
        <v>10</v>
      </c>
      <c r="P35" s="536">
        <v>10</v>
      </c>
      <c r="Q35" s="536">
        <v>10</v>
      </c>
      <c r="R35" s="536">
        <v>10</v>
      </c>
      <c r="S35" s="536">
        <v>10</v>
      </c>
      <c r="T35" s="536">
        <f t="shared" ca="1" si="8"/>
        <v>10.5</v>
      </c>
      <c r="U35" s="536">
        <f t="shared" ca="1" si="8"/>
        <v>11.025</v>
      </c>
      <c r="V35" s="536">
        <f t="shared" ca="1" si="8"/>
        <v>11.300625</v>
      </c>
      <c r="W35" s="536">
        <f t="shared" ca="1" si="8"/>
        <v>11.583140624999999</v>
      </c>
      <c r="X35" s="536">
        <f t="shared" ca="1" si="8"/>
        <v>11.872719140624998</v>
      </c>
      <c r="Y35" s="536">
        <f t="shared" ca="1" si="8"/>
        <v>12.169537119140621</v>
      </c>
      <c r="Z35" s="536">
        <f t="shared" ca="1" si="8"/>
        <v>12.473775547119136</v>
      </c>
      <c r="AA35" s="536">
        <f t="shared" ca="1" si="8"/>
        <v>12.785619935797113</v>
      </c>
      <c r="AB35" s="536">
        <f t="shared" ca="1" si="8"/>
        <v>13.10526043419204</v>
      </c>
      <c r="AC35" s="536">
        <f t="shared" ca="1" si="8"/>
        <v>13.43289194504684</v>
      </c>
      <c r="AD35" s="536">
        <f t="shared" ca="1" si="8"/>
        <v>13.76871424367301</v>
      </c>
      <c r="AE35" s="536">
        <f t="shared" ca="1" si="8"/>
        <v>14.112932099764834</v>
      </c>
      <c r="AF35" s="536">
        <f t="shared" ca="1" si="8"/>
        <v>14.465755402258953</v>
      </c>
      <c r="AG35" s="536">
        <f t="shared" ca="1" si="8"/>
        <v>14.827399287315426</v>
      </c>
      <c r="AH35" s="536">
        <f t="shared" ca="1" si="8"/>
        <v>15.198084269498311</v>
      </c>
    </row>
    <row r="36" spans="1:34" s="14" customFormat="1" ht="11.25" outlineLevel="1" x14ac:dyDescent="0.2">
      <c r="A36" s="86"/>
      <c r="B36" s="86"/>
      <c r="C36" s="86"/>
      <c r="D36" s="87"/>
      <c r="E36" s="44" t="s">
        <v>332</v>
      </c>
      <c r="F36" s="44"/>
      <c r="G36" s="44"/>
      <c r="H36" s="44"/>
      <c r="I36" s="44"/>
      <c r="J36" s="536">
        <v>10</v>
      </c>
      <c r="K36" s="536">
        <v>10</v>
      </c>
      <c r="L36" s="536">
        <v>10</v>
      </c>
      <c r="M36" s="536">
        <v>10</v>
      </c>
      <c r="N36" s="536">
        <v>10</v>
      </c>
      <c r="O36" s="536">
        <v>10</v>
      </c>
      <c r="P36" s="536">
        <v>10</v>
      </c>
      <c r="Q36" s="536">
        <v>10</v>
      </c>
      <c r="R36" s="536">
        <v>10</v>
      </c>
      <c r="S36" s="536">
        <v>10</v>
      </c>
      <c r="T36" s="536">
        <f t="shared" ca="1" si="9"/>
        <v>10.5</v>
      </c>
      <c r="U36" s="536">
        <f t="shared" ca="1" si="9"/>
        <v>11.025</v>
      </c>
      <c r="V36" s="536">
        <f t="shared" ca="1" si="9"/>
        <v>11.300625</v>
      </c>
      <c r="W36" s="536">
        <f t="shared" ca="1" si="9"/>
        <v>11.583140624999999</v>
      </c>
      <c r="X36" s="536">
        <f t="shared" ca="1" si="9"/>
        <v>11.872719140624998</v>
      </c>
      <c r="Y36" s="536">
        <f t="shared" ca="1" si="9"/>
        <v>12.169537119140621</v>
      </c>
      <c r="Z36" s="536">
        <f t="shared" ca="1" si="9"/>
        <v>12.473775547119136</v>
      </c>
      <c r="AA36" s="536">
        <f t="shared" ca="1" si="9"/>
        <v>12.785619935797113</v>
      </c>
      <c r="AB36" s="536">
        <f t="shared" ca="1" si="9"/>
        <v>13.10526043419204</v>
      </c>
      <c r="AC36" s="536">
        <f t="shared" ca="1" si="9"/>
        <v>13.43289194504684</v>
      </c>
      <c r="AD36" s="536">
        <f t="shared" ca="1" si="9"/>
        <v>13.76871424367301</v>
      </c>
      <c r="AE36" s="536">
        <f t="shared" ca="1" si="9"/>
        <v>14.112932099764834</v>
      </c>
      <c r="AF36" s="536">
        <f t="shared" ca="1" si="9"/>
        <v>14.465755402258953</v>
      </c>
      <c r="AG36" s="536">
        <f t="shared" ca="1" si="9"/>
        <v>14.827399287315426</v>
      </c>
      <c r="AH36" s="536">
        <f t="shared" ca="1" si="9"/>
        <v>15.198084269498311</v>
      </c>
    </row>
    <row r="37" spans="1:34" ht="11.25" outlineLevel="1" x14ac:dyDescent="0.2">
      <c r="E37" s="44" t="s">
        <v>328</v>
      </c>
      <c r="F37" s="42"/>
      <c r="G37" s="42"/>
      <c r="H37" s="42"/>
      <c r="I37" s="42"/>
      <c r="J37" s="536">
        <v>10</v>
      </c>
      <c r="K37" s="536">
        <v>10</v>
      </c>
      <c r="L37" s="536">
        <v>10</v>
      </c>
      <c r="M37" s="536">
        <v>10</v>
      </c>
      <c r="N37" s="536">
        <v>10</v>
      </c>
      <c r="O37" s="536">
        <v>10</v>
      </c>
      <c r="P37" s="536">
        <v>10</v>
      </c>
      <c r="Q37" s="536">
        <v>10</v>
      </c>
      <c r="R37" s="536">
        <v>10</v>
      </c>
      <c r="S37" s="536">
        <v>10</v>
      </c>
      <c r="T37" s="536">
        <f t="shared" ca="1" si="8"/>
        <v>10.5</v>
      </c>
      <c r="U37" s="536">
        <f t="shared" ca="1" si="8"/>
        <v>11.025</v>
      </c>
      <c r="V37" s="536">
        <f t="shared" ca="1" si="8"/>
        <v>11.300625</v>
      </c>
      <c r="W37" s="536">
        <f t="shared" ca="1" si="8"/>
        <v>11.583140624999999</v>
      </c>
      <c r="X37" s="536">
        <f t="shared" ca="1" si="8"/>
        <v>11.872719140624998</v>
      </c>
      <c r="Y37" s="536">
        <f t="shared" ca="1" si="8"/>
        <v>12.169537119140621</v>
      </c>
      <c r="Z37" s="536">
        <f t="shared" ca="1" si="8"/>
        <v>12.473775547119136</v>
      </c>
      <c r="AA37" s="536">
        <f t="shared" ca="1" si="8"/>
        <v>12.785619935797113</v>
      </c>
      <c r="AB37" s="536">
        <f t="shared" ca="1" si="8"/>
        <v>13.10526043419204</v>
      </c>
      <c r="AC37" s="536">
        <f t="shared" ca="1" si="8"/>
        <v>13.43289194504684</v>
      </c>
      <c r="AD37" s="536">
        <f t="shared" ca="1" si="8"/>
        <v>13.76871424367301</v>
      </c>
      <c r="AE37" s="536">
        <f t="shared" ca="1" si="8"/>
        <v>14.112932099764834</v>
      </c>
      <c r="AF37" s="536">
        <f t="shared" ca="1" si="8"/>
        <v>14.465755402258953</v>
      </c>
      <c r="AG37" s="536">
        <f t="shared" ca="1" si="8"/>
        <v>14.827399287315426</v>
      </c>
      <c r="AH37" s="536">
        <f t="shared" ca="1" si="8"/>
        <v>15.198084269498311</v>
      </c>
    </row>
    <row r="38" spans="1:34" ht="11.25" outlineLevel="1" x14ac:dyDescent="0.2">
      <c r="E38" s="44" t="s">
        <v>333</v>
      </c>
      <c r="F38" s="42"/>
      <c r="G38" s="42"/>
      <c r="H38" s="42"/>
      <c r="I38" s="42"/>
      <c r="J38" s="536">
        <v>10</v>
      </c>
      <c r="K38" s="536">
        <v>10</v>
      </c>
      <c r="L38" s="536">
        <v>10</v>
      </c>
      <c r="M38" s="536">
        <v>10</v>
      </c>
      <c r="N38" s="536">
        <v>10</v>
      </c>
      <c r="O38" s="536">
        <v>10</v>
      </c>
      <c r="P38" s="536">
        <v>10</v>
      </c>
      <c r="Q38" s="536">
        <v>10</v>
      </c>
      <c r="R38" s="536">
        <v>10</v>
      </c>
      <c r="S38" s="536">
        <v>10</v>
      </c>
      <c r="T38" s="536">
        <f t="shared" ca="1" si="9"/>
        <v>10.5</v>
      </c>
      <c r="U38" s="536">
        <f t="shared" ca="1" si="9"/>
        <v>11.025</v>
      </c>
      <c r="V38" s="536">
        <f t="shared" ca="1" si="9"/>
        <v>11.300625</v>
      </c>
      <c r="W38" s="536">
        <f t="shared" ca="1" si="9"/>
        <v>11.583140624999999</v>
      </c>
      <c r="X38" s="536">
        <f t="shared" ca="1" si="9"/>
        <v>11.872719140624998</v>
      </c>
      <c r="Y38" s="536">
        <f t="shared" ca="1" si="9"/>
        <v>12.169537119140621</v>
      </c>
      <c r="Z38" s="536">
        <f t="shared" ca="1" si="9"/>
        <v>12.473775547119136</v>
      </c>
      <c r="AA38" s="536">
        <f t="shared" ca="1" si="9"/>
        <v>12.785619935797113</v>
      </c>
      <c r="AB38" s="536">
        <f t="shared" ca="1" si="9"/>
        <v>13.10526043419204</v>
      </c>
      <c r="AC38" s="536">
        <f t="shared" ca="1" si="9"/>
        <v>13.43289194504684</v>
      </c>
      <c r="AD38" s="536">
        <f t="shared" ca="1" si="9"/>
        <v>13.76871424367301</v>
      </c>
      <c r="AE38" s="536">
        <f t="shared" ca="1" si="9"/>
        <v>14.112932099764834</v>
      </c>
      <c r="AF38" s="536">
        <f t="shared" ca="1" si="9"/>
        <v>14.465755402258953</v>
      </c>
      <c r="AG38" s="536">
        <f t="shared" ca="1" si="9"/>
        <v>14.827399287315426</v>
      </c>
      <c r="AH38" s="536">
        <f t="shared" ca="1" si="9"/>
        <v>15.198084269498311</v>
      </c>
    </row>
    <row r="39" spans="1:34" ht="11.25" outlineLevel="1" x14ac:dyDescent="0.2">
      <c r="E39" s="44" t="s">
        <v>329</v>
      </c>
      <c r="F39" s="42"/>
      <c r="G39" s="42"/>
      <c r="H39" s="42"/>
      <c r="I39" s="42"/>
      <c r="J39" s="536">
        <v>10</v>
      </c>
      <c r="K39" s="536">
        <v>10</v>
      </c>
      <c r="L39" s="536">
        <v>10</v>
      </c>
      <c r="M39" s="536">
        <v>10</v>
      </c>
      <c r="N39" s="536">
        <v>10</v>
      </c>
      <c r="O39" s="536">
        <v>10</v>
      </c>
      <c r="P39" s="536">
        <v>10</v>
      </c>
      <c r="Q39" s="536">
        <v>10</v>
      </c>
      <c r="R39" s="536">
        <v>10</v>
      </c>
      <c r="S39" s="536">
        <v>10</v>
      </c>
      <c r="T39" s="536">
        <f t="shared" ca="1" si="8"/>
        <v>10.5</v>
      </c>
      <c r="U39" s="536">
        <f t="shared" ca="1" si="8"/>
        <v>11.025</v>
      </c>
      <c r="V39" s="536">
        <f t="shared" ca="1" si="8"/>
        <v>11.300625</v>
      </c>
      <c r="W39" s="536">
        <f t="shared" ca="1" si="8"/>
        <v>11.583140624999999</v>
      </c>
      <c r="X39" s="536">
        <f t="shared" ca="1" si="8"/>
        <v>11.872719140624998</v>
      </c>
      <c r="Y39" s="536">
        <f t="shared" ca="1" si="8"/>
        <v>12.169537119140621</v>
      </c>
      <c r="Z39" s="536">
        <f t="shared" ca="1" si="8"/>
        <v>12.473775547119136</v>
      </c>
      <c r="AA39" s="536">
        <f t="shared" ca="1" si="8"/>
        <v>12.785619935797113</v>
      </c>
      <c r="AB39" s="536">
        <f t="shared" ca="1" si="8"/>
        <v>13.10526043419204</v>
      </c>
      <c r="AC39" s="536">
        <f t="shared" ca="1" si="8"/>
        <v>13.43289194504684</v>
      </c>
      <c r="AD39" s="536">
        <f t="shared" ca="1" si="8"/>
        <v>13.76871424367301</v>
      </c>
      <c r="AE39" s="536">
        <f t="shared" ca="1" si="8"/>
        <v>14.112932099764834</v>
      </c>
      <c r="AF39" s="536">
        <f t="shared" ca="1" si="8"/>
        <v>14.465755402258953</v>
      </c>
      <c r="AG39" s="536">
        <f t="shared" ca="1" si="8"/>
        <v>14.827399287315426</v>
      </c>
      <c r="AH39" s="536">
        <f t="shared" ca="1" si="8"/>
        <v>15.198084269498311</v>
      </c>
    </row>
    <row r="40" spans="1:34" s="14" customFormat="1" ht="11.25" outlineLevel="1" x14ac:dyDescent="0.2">
      <c r="A40" s="86"/>
      <c r="B40" s="86"/>
      <c r="C40" s="86"/>
      <c r="D40" s="87"/>
      <c r="E40" s="44" t="s">
        <v>334</v>
      </c>
      <c r="F40" s="44"/>
      <c r="G40" s="44"/>
      <c r="H40" s="44"/>
      <c r="I40" s="44"/>
      <c r="J40" s="536">
        <v>10</v>
      </c>
      <c r="K40" s="536">
        <v>10</v>
      </c>
      <c r="L40" s="536">
        <v>10</v>
      </c>
      <c r="M40" s="536">
        <v>10</v>
      </c>
      <c r="N40" s="536">
        <v>10</v>
      </c>
      <c r="O40" s="536">
        <v>10</v>
      </c>
      <c r="P40" s="536">
        <v>10</v>
      </c>
      <c r="Q40" s="536">
        <v>10</v>
      </c>
      <c r="R40" s="536">
        <v>10</v>
      </c>
      <c r="S40" s="536">
        <v>10</v>
      </c>
      <c r="T40" s="536">
        <f t="shared" ca="1" si="9"/>
        <v>10.5</v>
      </c>
      <c r="U40" s="536">
        <f t="shared" ca="1" si="9"/>
        <v>11.025</v>
      </c>
      <c r="V40" s="536">
        <f t="shared" ca="1" si="9"/>
        <v>11.300625</v>
      </c>
      <c r="W40" s="536">
        <f t="shared" ca="1" si="9"/>
        <v>11.583140624999999</v>
      </c>
      <c r="X40" s="536">
        <f t="shared" ca="1" si="9"/>
        <v>11.872719140624998</v>
      </c>
      <c r="Y40" s="536">
        <f t="shared" ca="1" si="9"/>
        <v>12.169537119140621</v>
      </c>
      <c r="Z40" s="536">
        <f t="shared" ca="1" si="9"/>
        <v>12.473775547119136</v>
      </c>
      <c r="AA40" s="536">
        <f t="shared" ca="1" si="9"/>
        <v>12.785619935797113</v>
      </c>
      <c r="AB40" s="536">
        <f t="shared" ca="1" si="9"/>
        <v>13.10526043419204</v>
      </c>
      <c r="AC40" s="536">
        <f t="shared" ca="1" si="9"/>
        <v>13.43289194504684</v>
      </c>
      <c r="AD40" s="536">
        <f t="shared" ca="1" si="9"/>
        <v>13.76871424367301</v>
      </c>
      <c r="AE40" s="536">
        <f t="shared" ca="1" si="9"/>
        <v>14.112932099764834</v>
      </c>
      <c r="AF40" s="536">
        <f t="shared" ca="1" si="9"/>
        <v>14.465755402258953</v>
      </c>
      <c r="AG40" s="536">
        <f t="shared" ca="1" si="9"/>
        <v>14.827399287315426</v>
      </c>
      <c r="AH40" s="536">
        <f t="shared" ca="1" si="9"/>
        <v>15.198084269498311</v>
      </c>
    </row>
    <row r="41" spans="1:34" ht="3" customHeight="1" outlineLevel="1" x14ac:dyDescent="0.2">
      <c r="E41" s="44"/>
      <c r="F41" s="42"/>
      <c r="G41" s="42"/>
      <c r="H41" s="42"/>
      <c r="I41" s="42"/>
      <c r="J41" s="538"/>
      <c r="K41" s="538"/>
      <c r="L41" s="538"/>
      <c r="M41" s="538"/>
      <c r="N41" s="538"/>
      <c r="O41" s="538"/>
      <c r="P41" s="538"/>
      <c r="Q41" s="538"/>
      <c r="R41" s="538"/>
      <c r="S41" s="538"/>
      <c r="T41" s="536"/>
      <c r="U41" s="536"/>
      <c r="V41" s="536"/>
      <c r="W41" s="536"/>
      <c r="X41" s="536"/>
      <c r="Y41" s="536"/>
      <c r="Z41" s="536"/>
      <c r="AA41" s="536"/>
      <c r="AB41" s="536"/>
      <c r="AC41" s="536"/>
      <c r="AD41" s="536"/>
      <c r="AE41" s="536"/>
      <c r="AF41" s="536"/>
      <c r="AG41" s="536"/>
      <c r="AH41" s="536"/>
    </row>
    <row r="42" spans="1:34" ht="12.75" customHeight="1" outlineLevel="1" x14ac:dyDescent="0.2">
      <c r="E42" s="514" t="s">
        <v>43</v>
      </c>
      <c r="F42" s="42"/>
      <c r="G42" s="42"/>
      <c r="H42" s="42"/>
      <c r="I42" s="42"/>
      <c r="J42" s="538"/>
      <c r="K42" s="538"/>
      <c r="L42" s="538"/>
      <c r="M42" s="538"/>
      <c r="N42" s="538"/>
      <c r="O42" s="538"/>
      <c r="P42" s="538"/>
      <c r="Q42" s="538"/>
      <c r="R42" s="538"/>
      <c r="S42" s="538"/>
      <c r="T42" s="790"/>
      <c r="U42" s="536"/>
      <c r="V42" s="536"/>
      <c r="W42" s="536"/>
      <c r="X42" s="536"/>
      <c r="Y42" s="536"/>
      <c r="Z42" s="536"/>
      <c r="AA42" s="536"/>
      <c r="AB42" s="536"/>
      <c r="AC42" s="536"/>
      <c r="AD42" s="536"/>
      <c r="AE42" s="536"/>
      <c r="AF42" s="536"/>
      <c r="AG42" s="536"/>
      <c r="AH42" s="536"/>
    </row>
    <row r="43" spans="1:34" ht="11.1" customHeight="1" outlineLevel="1" x14ac:dyDescent="0.2">
      <c r="E43" s="44" t="s">
        <v>40</v>
      </c>
      <c r="F43" s="42"/>
      <c r="G43" s="42"/>
      <c r="H43" s="42"/>
      <c r="I43" s="42"/>
      <c r="J43" s="536">
        <v>10</v>
      </c>
      <c r="K43" s="536">
        <v>10</v>
      </c>
      <c r="L43" s="536">
        <v>10</v>
      </c>
      <c r="M43" s="536">
        <v>10</v>
      </c>
      <c r="N43" s="536">
        <v>10</v>
      </c>
      <c r="O43" s="536">
        <v>10</v>
      </c>
      <c r="P43" s="536">
        <v>10</v>
      </c>
      <c r="Q43" s="536">
        <v>10</v>
      </c>
      <c r="R43" s="536">
        <v>10</v>
      </c>
      <c r="S43" s="536">
        <v>10</v>
      </c>
      <c r="T43" s="536">
        <v>10</v>
      </c>
      <c r="U43" s="536">
        <v>10</v>
      </c>
      <c r="V43" s="536">
        <v>10</v>
      </c>
      <c r="W43" s="536">
        <v>10</v>
      </c>
      <c r="X43" s="536">
        <v>10</v>
      </c>
      <c r="Y43" s="536">
        <v>10</v>
      </c>
      <c r="Z43" s="536">
        <v>10</v>
      </c>
      <c r="AA43" s="536">
        <v>10</v>
      </c>
      <c r="AB43" s="536">
        <v>10</v>
      </c>
      <c r="AC43" s="536">
        <v>10</v>
      </c>
      <c r="AD43" s="536">
        <v>10</v>
      </c>
      <c r="AE43" s="536">
        <v>10</v>
      </c>
      <c r="AF43" s="536">
        <v>10</v>
      </c>
      <c r="AG43" s="536">
        <v>10</v>
      </c>
      <c r="AH43" s="536">
        <v>10</v>
      </c>
    </row>
    <row r="44" spans="1:34" ht="11.1" customHeight="1" outlineLevel="1" x14ac:dyDescent="0.2">
      <c r="E44" s="44" t="s">
        <v>41</v>
      </c>
      <c r="F44" s="42"/>
      <c r="G44" s="42"/>
      <c r="H44" s="42"/>
      <c r="I44" s="42"/>
      <c r="J44" s="536">
        <v>10</v>
      </c>
      <c r="K44" s="536">
        <v>10</v>
      </c>
      <c r="L44" s="536">
        <v>10</v>
      </c>
      <c r="M44" s="536">
        <v>10</v>
      </c>
      <c r="N44" s="536">
        <v>10</v>
      </c>
      <c r="O44" s="536">
        <v>10</v>
      </c>
      <c r="P44" s="536">
        <v>10</v>
      </c>
      <c r="Q44" s="536">
        <v>10</v>
      </c>
      <c r="R44" s="536">
        <v>10</v>
      </c>
      <c r="S44" s="536">
        <v>10</v>
      </c>
      <c r="T44" s="539">
        <f t="shared" ref="T44:AH51" ca="1" si="10">Prior_Year*(1+gr_Self_Supporting_Fees)</f>
        <v>10.5</v>
      </c>
      <c r="U44" s="539">
        <f t="shared" ca="1" si="10"/>
        <v>11.025</v>
      </c>
      <c r="V44" s="539">
        <f t="shared" ca="1" si="10"/>
        <v>11.300625</v>
      </c>
      <c r="W44" s="539">
        <f t="shared" ca="1" si="10"/>
        <v>11.583140624999999</v>
      </c>
      <c r="X44" s="539">
        <f t="shared" ca="1" si="10"/>
        <v>11.872719140624998</v>
      </c>
      <c r="Y44" s="539">
        <f t="shared" ca="1" si="10"/>
        <v>12.169537119140621</v>
      </c>
      <c r="Z44" s="539">
        <f t="shared" ca="1" si="10"/>
        <v>12.473775547119136</v>
      </c>
      <c r="AA44" s="539">
        <f t="shared" ca="1" si="10"/>
        <v>12.785619935797113</v>
      </c>
      <c r="AB44" s="539">
        <f t="shared" ca="1" si="10"/>
        <v>13.10526043419204</v>
      </c>
      <c r="AC44" s="539">
        <f t="shared" ca="1" si="10"/>
        <v>13.43289194504684</v>
      </c>
      <c r="AD44" s="539">
        <f t="shared" ca="1" si="10"/>
        <v>13.76871424367301</v>
      </c>
      <c r="AE44" s="539">
        <f t="shared" ca="1" si="10"/>
        <v>14.112932099764834</v>
      </c>
      <c r="AF44" s="539">
        <f t="shared" ca="1" si="10"/>
        <v>14.465755402258953</v>
      </c>
      <c r="AG44" s="539">
        <f t="shared" ca="1" si="10"/>
        <v>14.827399287315426</v>
      </c>
      <c r="AH44" s="539">
        <f t="shared" ca="1" si="10"/>
        <v>15.198084269498311</v>
      </c>
    </row>
    <row r="45" spans="1:34" ht="11.1" customHeight="1" outlineLevel="1" x14ac:dyDescent="0.2">
      <c r="E45" s="44" t="s">
        <v>42</v>
      </c>
      <c r="F45" s="42"/>
      <c r="G45" s="42"/>
      <c r="H45" s="42"/>
      <c r="I45" s="42"/>
      <c r="J45" s="536">
        <v>10</v>
      </c>
      <c r="K45" s="536">
        <v>10</v>
      </c>
      <c r="L45" s="536">
        <v>10</v>
      </c>
      <c r="M45" s="536">
        <v>10</v>
      </c>
      <c r="N45" s="536">
        <v>10</v>
      </c>
      <c r="O45" s="536">
        <v>10</v>
      </c>
      <c r="P45" s="536">
        <v>10</v>
      </c>
      <c r="Q45" s="536">
        <v>10</v>
      </c>
      <c r="R45" s="536">
        <v>10</v>
      </c>
      <c r="S45" s="536">
        <v>10</v>
      </c>
      <c r="T45" s="536">
        <v>10</v>
      </c>
      <c r="U45" s="539">
        <f t="shared" ca="1" si="10"/>
        <v>10.5</v>
      </c>
      <c r="V45" s="539">
        <f t="shared" ca="1" si="10"/>
        <v>10.762499999999999</v>
      </c>
      <c r="W45" s="539">
        <f t="shared" ca="1" si="10"/>
        <v>11.031562499999998</v>
      </c>
      <c r="X45" s="539">
        <f t="shared" ca="1" si="10"/>
        <v>11.307351562499997</v>
      </c>
      <c r="Y45" s="539">
        <f t="shared" ca="1" si="10"/>
        <v>11.590035351562497</v>
      </c>
      <c r="Z45" s="539">
        <f t="shared" ca="1" si="10"/>
        <v>11.879786235351558</v>
      </c>
      <c r="AA45" s="539">
        <f t="shared" ca="1" si="10"/>
        <v>12.176780891235346</v>
      </c>
      <c r="AB45" s="539">
        <f t="shared" ca="1" si="10"/>
        <v>12.481200413516229</v>
      </c>
      <c r="AC45" s="539">
        <f t="shared" ca="1" si="10"/>
        <v>12.793230423854133</v>
      </c>
      <c r="AD45" s="539">
        <f t="shared" ca="1" si="10"/>
        <v>13.113061184450485</v>
      </c>
      <c r="AE45" s="539">
        <f t="shared" ca="1" si="10"/>
        <v>13.440887714061747</v>
      </c>
      <c r="AF45" s="539">
        <f t="shared" ca="1" si="10"/>
        <v>13.776909906913289</v>
      </c>
      <c r="AG45" s="539">
        <f t="shared" ca="1" si="10"/>
        <v>14.121332654586121</v>
      </c>
      <c r="AH45" s="539">
        <f t="shared" ca="1" si="10"/>
        <v>14.474365970950773</v>
      </c>
    </row>
    <row r="46" spans="1:34" ht="11.1" customHeight="1" outlineLevel="1" x14ac:dyDescent="0.2">
      <c r="E46" s="44" t="s">
        <v>276</v>
      </c>
      <c r="F46" s="42"/>
      <c r="G46" s="42"/>
      <c r="H46" s="42"/>
      <c r="I46" s="42"/>
      <c r="J46" s="536">
        <v>10</v>
      </c>
      <c r="K46" s="536">
        <v>10</v>
      </c>
      <c r="L46" s="536">
        <v>10</v>
      </c>
      <c r="M46" s="536">
        <v>10</v>
      </c>
      <c r="N46" s="536">
        <v>10</v>
      </c>
      <c r="O46" s="536">
        <v>10</v>
      </c>
      <c r="P46" s="536">
        <v>10</v>
      </c>
      <c r="Q46" s="536">
        <v>10</v>
      </c>
      <c r="R46" s="536">
        <v>10</v>
      </c>
      <c r="S46" s="536">
        <v>10</v>
      </c>
      <c r="T46" s="539">
        <f t="shared" ca="1" si="10"/>
        <v>10.5</v>
      </c>
      <c r="U46" s="539">
        <f t="shared" ca="1" si="10"/>
        <v>11.025</v>
      </c>
      <c r="V46" s="539">
        <f t="shared" ca="1" si="10"/>
        <v>11.300625</v>
      </c>
      <c r="W46" s="539">
        <f t="shared" ca="1" si="10"/>
        <v>11.583140624999999</v>
      </c>
      <c r="X46" s="539">
        <f t="shared" ca="1" si="10"/>
        <v>11.872719140624998</v>
      </c>
      <c r="Y46" s="539">
        <f t="shared" ca="1" si="10"/>
        <v>12.169537119140621</v>
      </c>
      <c r="Z46" s="539">
        <f t="shared" ca="1" si="10"/>
        <v>12.473775547119136</v>
      </c>
      <c r="AA46" s="539">
        <f t="shared" ca="1" si="10"/>
        <v>12.785619935797113</v>
      </c>
      <c r="AB46" s="539">
        <f t="shared" ca="1" si="10"/>
        <v>13.10526043419204</v>
      </c>
      <c r="AC46" s="539">
        <f t="shared" ca="1" si="10"/>
        <v>13.43289194504684</v>
      </c>
      <c r="AD46" s="539">
        <f t="shared" ca="1" si="10"/>
        <v>13.76871424367301</v>
      </c>
      <c r="AE46" s="539">
        <f t="shared" ca="1" si="10"/>
        <v>14.112932099764834</v>
      </c>
      <c r="AF46" s="539">
        <f t="shared" ca="1" si="10"/>
        <v>14.465755402258953</v>
      </c>
      <c r="AG46" s="539">
        <f t="shared" ca="1" si="10"/>
        <v>14.827399287315426</v>
      </c>
      <c r="AH46" s="539">
        <f t="shared" ca="1" si="10"/>
        <v>15.198084269498311</v>
      </c>
    </row>
    <row r="47" spans="1:34" ht="11.1" customHeight="1" outlineLevel="1" x14ac:dyDescent="0.2">
      <c r="E47" s="44" t="s">
        <v>319</v>
      </c>
      <c r="F47" s="42"/>
      <c r="G47" s="42"/>
      <c r="H47" s="42"/>
      <c r="I47" s="42"/>
      <c r="J47" s="536">
        <v>10</v>
      </c>
      <c r="K47" s="536">
        <v>10</v>
      </c>
      <c r="L47" s="536">
        <v>10</v>
      </c>
      <c r="M47" s="536">
        <v>10</v>
      </c>
      <c r="N47" s="536">
        <v>10</v>
      </c>
      <c r="O47" s="536">
        <v>10</v>
      </c>
      <c r="P47" s="536">
        <v>10</v>
      </c>
      <c r="Q47" s="536">
        <v>10</v>
      </c>
      <c r="R47" s="536">
        <v>10</v>
      </c>
      <c r="S47" s="536">
        <v>10</v>
      </c>
      <c r="T47" s="539">
        <f t="shared" ca="1" si="10"/>
        <v>10.5</v>
      </c>
      <c r="U47" s="539">
        <f t="shared" ca="1" si="10"/>
        <v>11.025</v>
      </c>
      <c r="V47" s="539">
        <f t="shared" ca="1" si="10"/>
        <v>11.300625</v>
      </c>
      <c r="W47" s="539">
        <f t="shared" ca="1" si="10"/>
        <v>11.583140624999999</v>
      </c>
      <c r="X47" s="539">
        <f t="shared" ca="1" si="10"/>
        <v>11.872719140624998</v>
      </c>
      <c r="Y47" s="539">
        <f t="shared" ca="1" si="10"/>
        <v>12.169537119140621</v>
      </c>
      <c r="Z47" s="539">
        <f t="shared" ca="1" si="10"/>
        <v>12.473775547119136</v>
      </c>
      <c r="AA47" s="539">
        <f t="shared" ca="1" si="10"/>
        <v>12.785619935797113</v>
      </c>
      <c r="AB47" s="539">
        <f t="shared" ca="1" si="10"/>
        <v>13.10526043419204</v>
      </c>
      <c r="AC47" s="539">
        <f t="shared" ca="1" si="10"/>
        <v>13.43289194504684</v>
      </c>
      <c r="AD47" s="539">
        <f t="shared" ca="1" si="10"/>
        <v>13.76871424367301</v>
      </c>
      <c r="AE47" s="539">
        <f t="shared" ca="1" si="10"/>
        <v>14.112932099764834</v>
      </c>
      <c r="AF47" s="539">
        <f t="shared" ca="1" si="10"/>
        <v>14.465755402258953</v>
      </c>
      <c r="AG47" s="539">
        <f t="shared" ca="1" si="10"/>
        <v>14.827399287315426</v>
      </c>
      <c r="AH47" s="539">
        <f t="shared" ca="1" si="10"/>
        <v>15.198084269498311</v>
      </c>
    </row>
    <row r="48" spans="1:34" ht="11.1" customHeight="1" outlineLevel="1" x14ac:dyDescent="0.2">
      <c r="E48" s="44" t="s">
        <v>321</v>
      </c>
      <c r="F48" s="42"/>
      <c r="G48" s="42"/>
      <c r="H48" s="42"/>
      <c r="I48" s="42"/>
      <c r="J48" s="536">
        <v>10</v>
      </c>
      <c r="K48" s="536">
        <v>10</v>
      </c>
      <c r="L48" s="536">
        <v>10</v>
      </c>
      <c r="M48" s="536">
        <v>10</v>
      </c>
      <c r="N48" s="536">
        <v>10</v>
      </c>
      <c r="O48" s="536">
        <v>10</v>
      </c>
      <c r="P48" s="536">
        <v>10</v>
      </c>
      <c r="Q48" s="536">
        <v>10</v>
      </c>
      <c r="R48" s="536">
        <v>10</v>
      </c>
      <c r="S48" s="536">
        <v>10</v>
      </c>
      <c r="T48" s="539">
        <f t="shared" ca="1" si="10"/>
        <v>10.5</v>
      </c>
      <c r="U48" s="539">
        <f t="shared" ca="1" si="10"/>
        <v>11.025</v>
      </c>
      <c r="V48" s="539">
        <f t="shared" ca="1" si="10"/>
        <v>11.300625</v>
      </c>
      <c r="W48" s="539">
        <f t="shared" ca="1" si="10"/>
        <v>11.583140624999999</v>
      </c>
      <c r="X48" s="539">
        <f t="shared" ca="1" si="10"/>
        <v>11.872719140624998</v>
      </c>
      <c r="Y48" s="539">
        <f t="shared" ca="1" si="10"/>
        <v>12.169537119140621</v>
      </c>
      <c r="Z48" s="539">
        <f t="shared" ca="1" si="10"/>
        <v>12.473775547119136</v>
      </c>
      <c r="AA48" s="539">
        <f t="shared" ca="1" si="10"/>
        <v>12.785619935797113</v>
      </c>
      <c r="AB48" s="539">
        <f t="shared" ca="1" si="10"/>
        <v>13.10526043419204</v>
      </c>
      <c r="AC48" s="539">
        <f t="shared" ca="1" si="10"/>
        <v>13.43289194504684</v>
      </c>
      <c r="AD48" s="539">
        <f t="shared" ca="1" si="10"/>
        <v>13.76871424367301</v>
      </c>
      <c r="AE48" s="539">
        <f t="shared" ca="1" si="10"/>
        <v>14.112932099764834</v>
      </c>
      <c r="AF48" s="539">
        <f t="shared" ca="1" si="10"/>
        <v>14.465755402258953</v>
      </c>
      <c r="AG48" s="539">
        <f t="shared" ca="1" si="10"/>
        <v>14.827399287315426</v>
      </c>
      <c r="AH48" s="539">
        <f t="shared" ca="1" si="10"/>
        <v>15.198084269498311</v>
      </c>
    </row>
    <row r="49" spans="4:34" ht="11.1" customHeight="1" outlineLevel="1" x14ac:dyDescent="0.2">
      <c r="E49" s="44" t="s">
        <v>279</v>
      </c>
      <c r="F49" s="42"/>
      <c r="G49" s="42"/>
      <c r="H49" s="42"/>
      <c r="I49" s="42"/>
      <c r="J49" s="536">
        <v>10</v>
      </c>
      <c r="K49" s="536">
        <v>10</v>
      </c>
      <c r="L49" s="536">
        <v>10</v>
      </c>
      <c r="M49" s="536">
        <v>10</v>
      </c>
      <c r="N49" s="536">
        <v>10</v>
      </c>
      <c r="O49" s="536">
        <v>10</v>
      </c>
      <c r="P49" s="536">
        <v>10</v>
      </c>
      <c r="Q49" s="536">
        <v>10</v>
      </c>
      <c r="R49" s="536">
        <v>10</v>
      </c>
      <c r="S49" s="536">
        <v>10</v>
      </c>
      <c r="T49" s="536">
        <v>10</v>
      </c>
      <c r="U49" s="539">
        <f t="shared" ca="1" si="10"/>
        <v>10.5</v>
      </c>
      <c r="V49" s="539">
        <f t="shared" ca="1" si="10"/>
        <v>10.762499999999999</v>
      </c>
      <c r="W49" s="539">
        <f t="shared" ca="1" si="10"/>
        <v>11.031562499999998</v>
      </c>
      <c r="X49" s="539">
        <f t="shared" ca="1" si="10"/>
        <v>11.307351562499997</v>
      </c>
      <c r="Y49" s="539">
        <f t="shared" ca="1" si="10"/>
        <v>11.590035351562497</v>
      </c>
      <c r="Z49" s="539">
        <f t="shared" ca="1" si="10"/>
        <v>11.879786235351558</v>
      </c>
      <c r="AA49" s="539">
        <f t="shared" ca="1" si="10"/>
        <v>12.176780891235346</v>
      </c>
      <c r="AB49" s="539">
        <f t="shared" ca="1" si="10"/>
        <v>12.481200413516229</v>
      </c>
      <c r="AC49" s="539">
        <f t="shared" ca="1" si="10"/>
        <v>12.793230423854133</v>
      </c>
      <c r="AD49" s="539">
        <f t="shared" ca="1" si="10"/>
        <v>13.113061184450485</v>
      </c>
      <c r="AE49" s="539">
        <f t="shared" ca="1" si="10"/>
        <v>13.440887714061747</v>
      </c>
      <c r="AF49" s="539">
        <f t="shared" ca="1" si="10"/>
        <v>13.776909906913289</v>
      </c>
      <c r="AG49" s="539">
        <f t="shared" ca="1" si="10"/>
        <v>14.121332654586121</v>
      </c>
      <c r="AH49" s="539">
        <f t="shared" ca="1" si="10"/>
        <v>14.474365970950773</v>
      </c>
    </row>
    <row r="50" spans="4:34" ht="11.1" customHeight="1" outlineLevel="1" x14ac:dyDescent="0.2">
      <c r="E50" s="44" t="s">
        <v>278</v>
      </c>
      <c r="F50" s="42"/>
      <c r="G50" s="42"/>
      <c r="H50" s="42"/>
      <c r="I50" s="42"/>
      <c r="J50" s="536">
        <v>10</v>
      </c>
      <c r="K50" s="536">
        <v>10</v>
      </c>
      <c r="L50" s="536">
        <v>10</v>
      </c>
      <c r="M50" s="536">
        <v>10</v>
      </c>
      <c r="N50" s="536">
        <v>10</v>
      </c>
      <c r="O50" s="536">
        <v>10</v>
      </c>
      <c r="P50" s="536">
        <v>10</v>
      </c>
      <c r="Q50" s="536">
        <v>10</v>
      </c>
      <c r="R50" s="536">
        <v>10</v>
      </c>
      <c r="S50" s="536">
        <v>10</v>
      </c>
      <c r="T50" s="536">
        <v>10</v>
      </c>
      <c r="U50" s="539">
        <f t="shared" ca="1" si="10"/>
        <v>10.5</v>
      </c>
      <c r="V50" s="539">
        <f t="shared" ca="1" si="10"/>
        <v>10.762499999999999</v>
      </c>
      <c r="W50" s="539">
        <f t="shared" ca="1" si="10"/>
        <v>11.031562499999998</v>
      </c>
      <c r="X50" s="539">
        <f t="shared" ca="1" si="10"/>
        <v>11.307351562499997</v>
      </c>
      <c r="Y50" s="539">
        <f t="shared" ca="1" si="10"/>
        <v>11.590035351562497</v>
      </c>
      <c r="Z50" s="539">
        <f t="shared" ca="1" si="10"/>
        <v>11.879786235351558</v>
      </c>
      <c r="AA50" s="539">
        <f t="shared" ca="1" si="10"/>
        <v>12.176780891235346</v>
      </c>
      <c r="AB50" s="539">
        <f t="shared" ca="1" si="10"/>
        <v>12.481200413516229</v>
      </c>
      <c r="AC50" s="539">
        <f t="shared" ca="1" si="10"/>
        <v>12.793230423854133</v>
      </c>
      <c r="AD50" s="539">
        <f t="shared" ca="1" si="10"/>
        <v>13.113061184450485</v>
      </c>
      <c r="AE50" s="539">
        <f t="shared" ca="1" si="10"/>
        <v>13.440887714061747</v>
      </c>
      <c r="AF50" s="539">
        <f t="shared" ca="1" si="10"/>
        <v>13.776909906913289</v>
      </c>
      <c r="AG50" s="539">
        <f t="shared" ca="1" si="10"/>
        <v>14.121332654586121</v>
      </c>
      <c r="AH50" s="539">
        <f t="shared" ca="1" si="10"/>
        <v>14.474365970950773</v>
      </c>
    </row>
    <row r="51" spans="4:34" ht="11.1" customHeight="1" outlineLevel="1" x14ac:dyDescent="0.2">
      <c r="E51" s="44" t="s">
        <v>106</v>
      </c>
      <c r="F51" s="42"/>
      <c r="G51" s="42"/>
      <c r="H51" s="42"/>
      <c r="I51" s="42"/>
      <c r="J51" s="536">
        <v>10</v>
      </c>
      <c r="K51" s="536">
        <v>10</v>
      </c>
      <c r="L51" s="536">
        <v>10</v>
      </c>
      <c r="M51" s="536">
        <v>10</v>
      </c>
      <c r="N51" s="536">
        <v>10</v>
      </c>
      <c r="O51" s="536">
        <v>10</v>
      </c>
      <c r="P51" s="536">
        <v>10</v>
      </c>
      <c r="Q51" s="536">
        <v>10</v>
      </c>
      <c r="R51" s="536">
        <v>10</v>
      </c>
      <c r="S51" s="536">
        <v>10</v>
      </c>
      <c r="T51" s="539">
        <f t="shared" ca="1" si="10"/>
        <v>10.5</v>
      </c>
      <c r="U51" s="539">
        <f t="shared" ca="1" si="10"/>
        <v>11.025</v>
      </c>
      <c r="V51" s="539">
        <f t="shared" ca="1" si="10"/>
        <v>11.300625</v>
      </c>
      <c r="W51" s="539">
        <f t="shared" ca="1" si="10"/>
        <v>11.583140624999999</v>
      </c>
      <c r="X51" s="539">
        <f t="shared" ca="1" si="10"/>
        <v>11.872719140624998</v>
      </c>
      <c r="Y51" s="539">
        <f t="shared" ca="1" si="10"/>
        <v>12.169537119140621</v>
      </c>
      <c r="Z51" s="539">
        <f t="shared" ca="1" si="10"/>
        <v>12.473775547119136</v>
      </c>
      <c r="AA51" s="539">
        <f t="shared" ca="1" si="10"/>
        <v>12.785619935797113</v>
      </c>
      <c r="AB51" s="539">
        <f t="shared" ca="1" si="10"/>
        <v>13.10526043419204</v>
      </c>
      <c r="AC51" s="539">
        <f t="shared" ca="1" si="10"/>
        <v>13.43289194504684</v>
      </c>
      <c r="AD51" s="539">
        <f t="shared" ca="1" si="10"/>
        <v>13.76871424367301</v>
      </c>
      <c r="AE51" s="539">
        <f t="shared" ca="1" si="10"/>
        <v>14.112932099764834</v>
      </c>
      <c r="AF51" s="539">
        <f t="shared" ca="1" si="10"/>
        <v>14.465755402258953</v>
      </c>
      <c r="AG51" s="539">
        <f t="shared" ca="1" si="10"/>
        <v>14.827399287315426</v>
      </c>
      <c r="AH51" s="539">
        <f t="shared" ca="1" si="10"/>
        <v>15.198084269498311</v>
      </c>
    </row>
    <row r="52" spans="4:34" ht="12.75" customHeight="1" thickBot="1" x14ac:dyDescent="0.25">
      <c r="D52" s="134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5"/>
      <c r="Q52" s="133"/>
      <c r="R52" s="135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</row>
    <row r="53" spans="4:34" ht="12.75" customHeight="1" x14ac:dyDescent="0.2"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64"/>
      <c r="Q53" s="12"/>
      <c r="R53" s="64"/>
      <c r="S53" s="12"/>
      <c r="T53" s="790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4:34" ht="11.25" x14ac:dyDescent="0.2">
      <c r="E54" s="15" t="s">
        <v>322</v>
      </c>
      <c r="J54" s="24"/>
      <c r="K54" s="24"/>
      <c r="L54" s="24"/>
      <c r="M54" s="20"/>
      <c r="N54" s="24"/>
      <c r="O54" s="24"/>
      <c r="P54" s="36"/>
      <c r="Q54" s="24"/>
      <c r="R54" s="36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</row>
    <row r="55" spans="4:34" ht="12.75" customHeight="1" x14ac:dyDescent="0.2">
      <c r="E55" s="552" t="s">
        <v>190</v>
      </c>
      <c r="J55" s="24"/>
      <c r="K55" s="24"/>
      <c r="L55" s="24"/>
      <c r="M55" s="20"/>
      <c r="N55" s="24"/>
      <c r="O55" s="24"/>
      <c r="P55" s="36"/>
      <c r="Q55" s="24"/>
      <c r="R55" s="418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</row>
    <row r="56" spans="4:34" ht="12.75" customHeight="1" outlineLevel="1" x14ac:dyDescent="0.2">
      <c r="E56" s="5" t="s">
        <v>35</v>
      </c>
      <c r="J56" s="24"/>
      <c r="K56" s="24"/>
      <c r="L56" s="24"/>
      <c r="M56" s="20"/>
      <c r="N56" s="24"/>
      <c r="O56" s="24"/>
      <c r="P56" s="36"/>
      <c r="Q56" s="24"/>
      <c r="R56" s="418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</row>
    <row r="57" spans="4:34" ht="12.75" customHeight="1" outlineLevel="1" x14ac:dyDescent="0.2">
      <c r="E57" s="30" t="s">
        <v>323</v>
      </c>
      <c r="J57" s="24"/>
      <c r="K57" s="24"/>
      <c r="L57" s="24"/>
      <c r="M57" s="20"/>
      <c r="N57" s="24"/>
      <c r="O57" s="18">
        <v>10000</v>
      </c>
      <c r="P57" s="41">
        <v>10000</v>
      </c>
      <c r="Q57" s="41">
        <v>10000</v>
      </c>
      <c r="R57" s="41">
        <v>10000</v>
      </c>
      <c r="S57" s="41">
        <v>11000</v>
      </c>
      <c r="T57" s="41">
        <v>12000</v>
      </c>
      <c r="U57" s="41">
        <v>13000</v>
      </c>
      <c r="V57" s="41">
        <v>14000</v>
      </c>
      <c r="W57" s="41">
        <v>15000</v>
      </c>
      <c r="X57" s="41">
        <v>16000</v>
      </c>
      <c r="Y57" s="41">
        <v>17000</v>
      </c>
      <c r="Z57" s="41">
        <v>18000</v>
      </c>
      <c r="AA57" s="41">
        <v>19000</v>
      </c>
      <c r="AB57" s="41">
        <v>20000</v>
      </c>
      <c r="AC57" s="41">
        <v>21000</v>
      </c>
      <c r="AD57" s="41">
        <v>22000</v>
      </c>
      <c r="AE57" s="41">
        <v>23000</v>
      </c>
      <c r="AF57" s="41">
        <v>24000</v>
      </c>
      <c r="AG57" s="41">
        <v>25000</v>
      </c>
      <c r="AH57" s="41">
        <v>26000</v>
      </c>
    </row>
    <row r="58" spans="4:34" ht="12.75" customHeight="1" outlineLevel="1" x14ac:dyDescent="0.2">
      <c r="E58" s="14" t="s">
        <v>324</v>
      </c>
      <c r="J58" s="24"/>
      <c r="K58" s="24"/>
      <c r="L58" s="24"/>
      <c r="M58" s="20"/>
      <c r="N58" s="24"/>
      <c r="O58" s="18">
        <v>1000</v>
      </c>
      <c r="P58" s="41">
        <v>1000</v>
      </c>
      <c r="Q58" s="41">
        <v>1000</v>
      </c>
      <c r="R58" s="41">
        <v>1000</v>
      </c>
      <c r="S58" s="41">
        <f>R58+100</f>
        <v>1100</v>
      </c>
      <c r="T58" s="41">
        <f t="shared" ref="T58:AH58" si="11">S58+100</f>
        <v>1200</v>
      </c>
      <c r="U58" s="41">
        <f t="shared" si="11"/>
        <v>1300</v>
      </c>
      <c r="V58" s="41">
        <f t="shared" si="11"/>
        <v>1400</v>
      </c>
      <c r="W58" s="41">
        <f t="shared" si="11"/>
        <v>1500</v>
      </c>
      <c r="X58" s="41">
        <f t="shared" si="11"/>
        <v>1600</v>
      </c>
      <c r="Y58" s="41">
        <f t="shared" si="11"/>
        <v>1700</v>
      </c>
      <c r="Z58" s="41">
        <f t="shared" si="11"/>
        <v>1800</v>
      </c>
      <c r="AA58" s="41">
        <f t="shared" si="11"/>
        <v>1900</v>
      </c>
      <c r="AB58" s="41">
        <f t="shared" si="11"/>
        <v>2000</v>
      </c>
      <c r="AC58" s="41">
        <f t="shared" si="11"/>
        <v>2100</v>
      </c>
      <c r="AD58" s="41">
        <f t="shared" si="11"/>
        <v>2200</v>
      </c>
      <c r="AE58" s="41">
        <f t="shared" si="11"/>
        <v>2300</v>
      </c>
      <c r="AF58" s="41">
        <f t="shared" si="11"/>
        <v>2400</v>
      </c>
      <c r="AG58" s="41">
        <f t="shared" si="11"/>
        <v>2500</v>
      </c>
      <c r="AH58" s="41">
        <f t="shared" si="11"/>
        <v>2600</v>
      </c>
    </row>
    <row r="59" spans="4:34" s="42" customFormat="1" ht="11.25" outlineLevel="1" x14ac:dyDescent="0.2">
      <c r="D59" s="85"/>
      <c r="E59" s="132" t="s">
        <v>181</v>
      </c>
      <c r="F59" s="129"/>
      <c r="G59" s="129"/>
      <c r="H59" s="129"/>
      <c r="I59" s="129"/>
      <c r="J59" s="130">
        <v>11000</v>
      </c>
      <c r="K59" s="130">
        <v>11000</v>
      </c>
      <c r="L59" s="130">
        <v>11000</v>
      </c>
      <c r="M59" s="130">
        <v>11000</v>
      </c>
      <c r="N59" s="130">
        <v>11000</v>
      </c>
      <c r="O59" s="131">
        <f>O58+O57</f>
        <v>11000</v>
      </c>
      <c r="P59" s="131">
        <f>P58+P57</f>
        <v>11000</v>
      </c>
      <c r="Q59" s="131">
        <f>Q57+Q58</f>
        <v>11000</v>
      </c>
      <c r="R59" s="131">
        <f>R57+R58</f>
        <v>11000</v>
      </c>
      <c r="S59" s="131">
        <f t="shared" ref="S59:AH59" si="12">S57+S58</f>
        <v>12100</v>
      </c>
      <c r="T59" s="131">
        <f t="shared" si="12"/>
        <v>13200</v>
      </c>
      <c r="U59" s="131">
        <f t="shared" si="12"/>
        <v>14300</v>
      </c>
      <c r="V59" s="131">
        <f t="shared" si="12"/>
        <v>15400</v>
      </c>
      <c r="W59" s="131">
        <f t="shared" si="12"/>
        <v>16500</v>
      </c>
      <c r="X59" s="131">
        <f t="shared" si="12"/>
        <v>17600</v>
      </c>
      <c r="Y59" s="131">
        <f t="shared" si="12"/>
        <v>18700</v>
      </c>
      <c r="Z59" s="131">
        <f t="shared" si="12"/>
        <v>19800</v>
      </c>
      <c r="AA59" s="131">
        <f t="shared" si="12"/>
        <v>20900</v>
      </c>
      <c r="AB59" s="131">
        <f t="shared" si="12"/>
        <v>22000</v>
      </c>
      <c r="AC59" s="131">
        <f t="shared" si="12"/>
        <v>23100</v>
      </c>
      <c r="AD59" s="131">
        <f t="shared" si="12"/>
        <v>24200</v>
      </c>
      <c r="AE59" s="131">
        <f t="shared" si="12"/>
        <v>25300</v>
      </c>
      <c r="AF59" s="131">
        <f t="shared" si="12"/>
        <v>26400</v>
      </c>
      <c r="AG59" s="131">
        <f t="shared" si="12"/>
        <v>27500</v>
      </c>
      <c r="AH59" s="131">
        <f t="shared" si="12"/>
        <v>28600</v>
      </c>
    </row>
    <row r="60" spans="4:34" ht="3" customHeight="1" outlineLevel="1" x14ac:dyDescent="0.2">
      <c r="E60" s="14"/>
      <c r="J60" s="24"/>
      <c r="K60" s="24"/>
      <c r="L60" s="24"/>
      <c r="M60" s="24"/>
      <c r="N60" s="18"/>
      <c r="O60" s="18"/>
      <c r="P60" s="18"/>
      <c r="Q60" s="18"/>
      <c r="R60" s="41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4:34" ht="12.75" customHeight="1" outlineLevel="1" x14ac:dyDescent="0.2">
      <c r="E61" s="5" t="s">
        <v>44</v>
      </c>
      <c r="J61" s="24"/>
      <c r="K61" s="24"/>
      <c r="L61" s="24"/>
      <c r="M61" s="24"/>
      <c r="N61" s="18"/>
      <c r="O61" s="18"/>
      <c r="P61" s="18"/>
      <c r="Q61" s="18"/>
      <c r="R61" s="470"/>
      <c r="S61" s="461"/>
      <c r="T61" s="462"/>
      <c r="U61" s="253"/>
      <c r="V61" s="253"/>
      <c r="W61" s="253"/>
      <c r="X61" s="253"/>
      <c r="Y61" s="253"/>
      <c r="Z61" s="253"/>
      <c r="AA61" s="253"/>
      <c r="AB61" s="253"/>
      <c r="AC61" s="253"/>
      <c r="AD61" s="253"/>
      <c r="AE61" s="253"/>
      <c r="AF61" s="253"/>
      <c r="AG61" s="253"/>
      <c r="AH61" s="253"/>
    </row>
    <row r="62" spans="4:34" ht="12.6" customHeight="1" outlineLevel="1" x14ac:dyDescent="0.2">
      <c r="E62" s="14" t="s">
        <v>337</v>
      </c>
      <c r="J62" s="24"/>
      <c r="K62" s="24"/>
      <c r="L62" s="24"/>
      <c r="M62" s="24"/>
      <c r="N62" s="18"/>
      <c r="O62" s="18">
        <f>O65-O63</f>
        <v>8214</v>
      </c>
      <c r="P62" s="41">
        <f>P65-P63</f>
        <v>7997</v>
      </c>
      <c r="Q62" s="41">
        <f>Q65-Q63-Q64</f>
        <v>7564.5</v>
      </c>
      <c r="R62" s="553">
        <v>100</v>
      </c>
      <c r="S62" s="553">
        <v>100</v>
      </c>
      <c r="T62" s="553">
        <v>100</v>
      </c>
      <c r="U62" s="18">
        <f t="shared" ref="U62:AH64" ca="1" si="13">Prior_Year</f>
        <v>100</v>
      </c>
      <c r="V62" s="18">
        <f t="shared" ca="1" si="13"/>
        <v>100</v>
      </c>
      <c r="W62" s="18">
        <f t="shared" ca="1" si="13"/>
        <v>100</v>
      </c>
      <c r="X62" s="18">
        <f t="shared" ca="1" si="13"/>
        <v>100</v>
      </c>
      <c r="Y62" s="18">
        <f t="shared" ca="1" si="13"/>
        <v>100</v>
      </c>
      <c r="Z62" s="18">
        <f t="shared" ca="1" si="13"/>
        <v>100</v>
      </c>
      <c r="AA62" s="18">
        <f t="shared" ca="1" si="13"/>
        <v>100</v>
      </c>
      <c r="AB62" s="18">
        <f t="shared" ca="1" si="13"/>
        <v>100</v>
      </c>
      <c r="AC62" s="18">
        <f t="shared" ca="1" si="13"/>
        <v>100</v>
      </c>
      <c r="AD62" s="18">
        <f t="shared" ca="1" si="13"/>
        <v>100</v>
      </c>
      <c r="AE62" s="18">
        <f t="shared" ca="1" si="13"/>
        <v>100</v>
      </c>
      <c r="AF62" s="18">
        <f t="shared" ca="1" si="13"/>
        <v>100</v>
      </c>
      <c r="AG62" s="18">
        <f t="shared" ca="1" si="13"/>
        <v>100</v>
      </c>
      <c r="AH62" s="18">
        <f t="shared" ca="1" si="13"/>
        <v>100</v>
      </c>
    </row>
    <row r="63" spans="4:34" ht="12.6" customHeight="1" outlineLevel="1" x14ac:dyDescent="0.2">
      <c r="E63" s="14" t="s">
        <v>338</v>
      </c>
      <c r="J63" s="24"/>
      <c r="K63" s="24"/>
      <c r="L63" s="24"/>
      <c r="M63" s="24"/>
      <c r="N63" s="18"/>
      <c r="O63" s="18">
        <f>1226+498</f>
        <v>1724</v>
      </c>
      <c r="P63" s="18">
        <f>548+1262</f>
        <v>1810</v>
      </c>
      <c r="Q63" s="18">
        <f>1326</f>
        <v>1326</v>
      </c>
      <c r="R63" s="554">
        <v>100</v>
      </c>
      <c r="S63" s="554">
        <v>100</v>
      </c>
      <c r="T63" s="554">
        <v>100</v>
      </c>
      <c r="U63" s="554">
        <v>100</v>
      </c>
      <c r="V63" s="18">
        <f t="shared" ca="1" si="13"/>
        <v>100</v>
      </c>
      <c r="W63" s="18">
        <f t="shared" ca="1" si="13"/>
        <v>100</v>
      </c>
      <c r="X63" s="18">
        <f t="shared" ca="1" si="13"/>
        <v>100</v>
      </c>
      <c r="Y63" s="18">
        <f t="shared" ca="1" si="13"/>
        <v>100</v>
      </c>
      <c r="Z63" s="18">
        <f t="shared" ca="1" si="13"/>
        <v>100</v>
      </c>
      <c r="AA63" s="18">
        <f t="shared" ca="1" si="13"/>
        <v>100</v>
      </c>
      <c r="AB63" s="18">
        <f t="shared" ca="1" si="13"/>
        <v>100</v>
      </c>
      <c r="AC63" s="18">
        <f t="shared" ca="1" si="13"/>
        <v>100</v>
      </c>
      <c r="AD63" s="18">
        <f t="shared" ca="1" si="13"/>
        <v>100</v>
      </c>
      <c r="AE63" s="18">
        <f t="shared" ca="1" si="13"/>
        <v>100</v>
      </c>
      <c r="AF63" s="18">
        <f t="shared" ca="1" si="13"/>
        <v>100</v>
      </c>
      <c r="AG63" s="18">
        <f t="shared" ca="1" si="13"/>
        <v>100</v>
      </c>
      <c r="AH63" s="18">
        <f t="shared" ca="1" si="13"/>
        <v>100</v>
      </c>
    </row>
    <row r="64" spans="4:34" ht="12.6" customHeight="1" outlineLevel="1" x14ac:dyDescent="0.2">
      <c r="E64" s="14" t="s">
        <v>342</v>
      </c>
      <c r="J64" s="24"/>
      <c r="K64" s="24"/>
      <c r="L64" s="24"/>
      <c r="M64" s="24"/>
      <c r="N64" s="18"/>
      <c r="O64" s="18"/>
      <c r="P64" s="18"/>
      <c r="Q64" s="18">
        <v>527</v>
      </c>
      <c r="R64" s="553">
        <v>50</v>
      </c>
      <c r="S64" s="553">
        <v>50</v>
      </c>
      <c r="T64" s="553">
        <v>50</v>
      </c>
      <c r="U64" s="18">
        <f t="shared" ca="1" si="13"/>
        <v>50</v>
      </c>
      <c r="V64" s="18">
        <f t="shared" ca="1" si="13"/>
        <v>50</v>
      </c>
      <c r="W64" s="18">
        <f t="shared" ca="1" si="13"/>
        <v>50</v>
      </c>
      <c r="X64" s="18">
        <f t="shared" ca="1" si="13"/>
        <v>50</v>
      </c>
      <c r="Y64" s="18">
        <f t="shared" ca="1" si="13"/>
        <v>50</v>
      </c>
      <c r="Z64" s="18">
        <f t="shared" ca="1" si="13"/>
        <v>50</v>
      </c>
      <c r="AA64" s="18">
        <f t="shared" ca="1" si="13"/>
        <v>50</v>
      </c>
      <c r="AB64" s="18">
        <f t="shared" ca="1" si="13"/>
        <v>50</v>
      </c>
      <c r="AC64" s="18">
        <f t="shared" ca="1" si="13"/>
        <v>50</v>
      </c>
      <c r="AD64" s="18">
        <f t="shared" ca="1" si="13"/>
        <v>50</v>
      </c>
      <c r="AE64" s="18">
        <f t="shared" ca="1" si="13"/>
        <v>50</v>
      </c>
      <c r="AF64" s="18">
        <f t="shared" ca="1" si="13"/>
        <v>50</v>
      </c>
      <c r="AG64" s="18">
        <f t="shared" ca="1" si="13"/>
        <v>50</v>
      </c>
      <c r="AH64" s="18">
        <f t="shared" ca="1" si="13"/>
        <v>50</v>
      </c>
    </row>
    <row r="65" spans="5:34" ht="11.25" outlineLevel="1" x14ac:dyDescent="0.2">
      <c r="E65" s="132" t="s">
        <v>182</v>
      </c>
      <c r="F65" s="129"/>
      <c r="G65" s="129"/>
      <c r="H65" s="129"/>
      <c r="I65" s="129"/>
      <c r="J65" s="131"/>
      <c r="K65" s="131"/>
      <c r="L65" s="131"/>
      <c r="M65" s="131"/>
      <c r="N65" s="131"/>
      <c r="O65" s="131">
        <f>10298-O110-O98</f>
        <v>9938</v>
      </c>
      <c r="P65" s="131">
        <f>10257-P98-P110</f>
        <v>9807</v>
      </c>
      <c r="Q65" s="131">
        <f>((10125+9610)/2)-Q98-Q110</f>
        <v>9417.5</v>
      </c>
      <c r="R65" s="131">
        <f>((9122+8702)/2)-R98</f>
        <v>8632</v>
      </c>
      <c r="S65" s="131">
        <f t="shared" ref="S65:X65" si="14">SUM(S62:S64)</f>
        <v>250</v>
      </c>
      <c r="T65" s="131">
        <f t="shared" si="14"/>
        <v>250</v>
      </c>
      <c r="U65" s="131">
        <f t="shared" ca="1" si="14"/>
        <v>250</v>
      </c>
      <c r="V65" s="131">
        <f t="shared" ca="1" si="14"/>
        <v>250</v>
      </c>
      <c r="W65" s="131">
        <f t="shared" ca="1" si="14"/>
        <v>250</v>
      </c>
      <c r="X65" s="131">
        <f t="shared" ca="1" si="14"/>
        <v>250</v>
      </c>
      <c r="Y65" s="131">
        <f t="shared" ref="Y65:AH65" ca="1" si="15">SUM(Y62:Y64)</f>
        <v>250</v>
      </c>
      <c r="Z65" s="131">
        <f t="shared" ca="1" si="15"/>
        <v>250</v>
      </c>
      <c r="AA65" s="131">
        <f t="shared" ca="1" si="15"/>
        <v>250</v>
      </c>
      <c r="AB65" s="131">
        <f t="shared" ca="1" si="15"/>
        <v>250</v>
      </c>
      <c r="AC65" s="131">
        <f t="shared" ca="1" si="15"/>
        <v>250</v>
      </c>
      <c r="AD65" s="131">
        <f t="shared" ca="1" si="15"/>
        <v>250</v>
      </c>
      <c r="AE65" s="131">
        <f t="shared" ca="1" si="15"/>
        <v>250</v>
      </c>
      <c r="AF65" s="131">
        <f t="shared" ca="1" si="15"/>
        <v>250</v>
      </c>
      <c r="AG65" s="131">
        <f t="shared" ca="1" si="15"/>
        <v>250</v>
      </c>
      <c r="AH65" s="131">
        <f t="shared" ca="1" si="15"/>
        <v>250</v>
      </c>
    </row>
    <row r="66" spans="5:34" ht="11.25" outlineLevel="1" x14ac:dyDescent="0.2">
      <c r="E66" s="63"/>
      <c r="F66" s="64"/>
      <c r="G66" s="64"/>
      <c r="H66" s="64"/>
      <c r="I66" s="64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</row>
    <row r="67" spans="5:34" ht="11.25" outlineLevel="1" x14ac:dyDescent="0.2">
      <c r="E67" s="42" t="s">
        <v>36</v>
      </c>
      <c r="F67" s="42"/>
      <c r="G67" s="42"/>
      <c r="H67" s="42"/>
      <c r="I67" s="42"/>
      <c r="J67" s="36"/>
      <c r="K67" s="36"/>
      <c r="L67" s="36"/>
      <c r="M67" s="37"/>
      <c r="N67" s="36"/>
      <c r="O67" s="41"/>
      <c r="P67" s="41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</row>
    <row r="68" spans="5:34" ht="11.25" outlineLevel="1" x14ac:dyDescent="0.2">
      <c r="E68" s="44" t="s">
        <v>281</v>
      </c>
      <c r="F68" s="42"/>
      <c r="G68" s="42"/>
      <c r="H68" s="42"/>
      <c r="I68" s="42"/>
      <c r="J68" s="36"/>
      <c r="K68" s="36"/>
      <c r="L68" s="36"/>
      <c r="M68" s="37"/>
      <c r="N68" s="37"/>
      <c r="O68" s="38">
        <v>10</v>
      </c>
      <c r="P68" s="38">
        <v>10</v>
      </c>
      <c r="Q68" s="38">
        <v>10</v>
      </c>
      <c r="R68" s="38">
        <v>10</v>
      </c>
      <c r="S68" s="38">
        <v>10</v>
      </c>
      <c r="T68" s="38">
        <v>10</v>
      </c>
      <c r="U68" s="38">
        <v>10</v>
      </c>
      <c r="V68" s="38">
        <v>10</v>
      </c>
      <c r="W68" s="38">
        <v>10</v>
      </c>
      <c r="X68" s="38">
        <v>10</v>
      </c>
      <c r="Y68" s="38">
        <v>10</v>
      </c>
      <c r="Z68" s="38">
        <v>10</v>
      </c>
      <c r="AA68" s="38">
        <v>10</v>
      </c>
      <c r="AB68" s="38">
        <v>10</v>
      </c>
      <c r="AC68" s="38">
        <v>10</v>
      </c>
      <c r="AD68" s="38">
        <v>10</v>
      </c>
      <c r="AE68" s="38">
        <v>10</v>
      </c>
      <c r="AF68" s="38">
        <v>10</v>
      </c>
      <c r="AG68" s="38">
        <v>10</v>
      </c>
      <c r="AH68" s="38">
        <v>10</v>
      </c>
    </row>
    <row r="69" spans="5:34" ht="11.25" outlineLevel="1" x14ac:dyDescent="0.2">
      <c r="E69" s="44" t="s">
        <v>282</v>
      </c>
      <c r="F69" s="42"/>
      <c r="G69" s="42"/>
      <c r="H69" s="42"/>
      <c r="I69" s="42"/>
      <c r="J69" s="36"/>
      <c r="K69" s="36"/>
      <c r="L69" s="36"/>
      <c r="M69" s="37"/>
      <c r="N69" s="37"/>
      <c r="O69" s="38">
        <v>10</v>
      </c>
      <c r="P69" s="38">
        <v>10</v>
      </c>
      <c r="Q69" s="38">
        <v>10</v>
      </c>
      <c r="R69" s="38">
        <v>10</v>
      </c>
      <c r="S69" s="38">
        <v>10</v>
      </c>
      <c r="T69" s="38">
        <v>10</v>
      </c>
      <c r="U69" s="38">
        <v>10</v>
      </c>
      <c r="V69" s="38">
        <v>10</v>
      </c>
      <c r="W69" s="38">
        <v>10</v>
      </c>
      <c r="X69" s="38">
        <v>10</v>
      </c>
      <c r="Y69" s="38">
        <v>10</v>
      </c>
      <c r="Z69" s="38">
        <v>10</v>
      </c>
      <c r="AA69" s="38">
        <v>10</v>
      </c>
      <c r="AB69" s="38">
        <v>10</v>
      </c>
      <c r="AC69" s="38">
        <v>10</v>
      </c>
      <c r="AD69" s="38">
        <v>10</v>
      </c>
      <c r="AE69" s="38">
        <v>10</v>
      </c>
      <c r="AF69" s="38">
        <v>10</v>
      </c>
      <c r="AG69" s="38">
        <v>10</v>
      </c>
      <c r="AH69" s="38">
        <v>10</v>
      </c>
    </row>
    <row r="70" spans="5:34" ht="11.25" outlineLevel="1" x14ac:dyDescent="0.2">
      <c r="E70" s="44" t="s">
        <v>285</v>
      </c>
      <c r="F70" s="42"/>
      <c r="G70" s="42"/>
      <c r="H70" s="42"/>
      <c r="I70" s="42"/>
      <c r="J70" s="36"/>
      <c r="K70" s="36"/>
      <c r="L70" s="36"/>
      <c r="M70" s="37"/>
      <c r="N70" s="37"/>
      <c r="O70" s="38">
        <v>10</v>
      </c>
      <c r="P70" s="38">
        <v>10</v>
      </c>
      <c r="Q70" s="38">
        <v>10</v>
      </c>
      <c r="R70" s="38">
        <v>10</v>
      </c>
      <c r="S70" s="38">
        <v>10</v>
      </c>
      <c r="T70" s="38">
        <v>10</v>
      </c>
      <c r="U70" s="38">
        <v>10</v>
      </c>
      <c r="V70" s="38">
        <v>10</v>
      </c>
      <c r="W70" s="38">
        <v>10</v>
      </c>
      <c r="X70" s="38">
        <v>10</v>
      </c>
      <c r="Y70" s="38">
        <v>10</v>
      </c>
      <c r="Z70" s="38">
        <v>10</v>
      </c>
      <c r="AA70" s="38">
        <v>10</v>
      </c>
      <c r="AB70" s="38">
        <v>10</v>
      </c>
      <c r="AC70" s="38">
        <v>10</v>
      </c>
      <c r="AD70" s="38">
        <v>10</v>
      </c>
      <c r="AE70" s="38">
        <v>10</v>
      </c>
      <c r="AF70" s="38">
        <v>10</v>
      </c>
      <c r="AG70" s="38">
        <v>10</v>
      </c>
      <c r="AH70" s="38">
        <v>10</v>
      </c>
    </row>
    <row r="71" spans="5:34" ht="11.25" outlineLevel="1" x14ac:dyDescent="0.2">
      <c r="E71" s="44" t="s">
        <v>286</v>
      </c>
      <c r="F71" s="42"/>
      <c r="G71" s="42"/>
      <c r="H71" s="42"/>
      <c r="I71" s="42"/>
      <c r="J71" s="36"/>
      <c r="K71" s="36"/>
      <c r="L71" s="36"/>
      <c r="M71" s="37"/>
      <c r="N71" s="37"/>
      <c r="O71" s="38">
        <v>10</v>
      </c>
      <c r="P71" s="38">
        <v>10</v>
      </c>
      <c r="Q71" s="38">
        <v>10</v>
      </c>
      <c r="R71" s="38">
        <v>10</v>
      </c>
      <c r="S71" s="38">
        <v>10</v>
      </c>
      <c r="T71" s="38">
        <v>10</v>
      </c>
      <c r="U71" s="38">
        <v>10</v>
      </c>
      <c r="V71" s="38">
        <v>10</v>
      </c>
      <c r="W71" s="38">
        <v>10</v>
      </c>
      <c r="X71" s="38">
        <v>10</v>
      </c>
      <c r="Y71" s="38">
        <v>10</v>
      </c>
      <c r="Z71" s="38">
        <v>10</v>
      </c>
      <c r="AA71" s="38">
        <v>10</v>
      </c>
      <c r="AB71" s="38">
        <v>10</v>
      </c>
      <c r="AC71" s="38">
        <v>10</v>
      </c>
      <c r="AD71" s="38">
        <v>10</v>
      </c>
      <c r="AE71" s="38">
        <v>10</v>
      </c>
      <c r="AF71" s="38">
        <v>10</v>
      </c>
      <c r="AG71" s="38">
        <v>10</v>
      </c>
      <c r="AH71" s="38">
        <v>10</v>
      </c>
    </row>
    <row r="72" spans="5:34" ht="11.25" outlineLevel="1" x14ac:dyDescent="0.2">
      <c r="E72" s="44" t="s">
        <v>283</v>
      </c>
      <c r="F72" s="42"/>
      <c r="G72" s="42"/>
      <c r="H72" s="42"/>
      <c r="I72" s="42"/>
      <c r="J72" s="36"/>
      <c r="K72" s="36"/>
      <c r="L72" s="36"/>
      <c r="M72" s="37"/>
      <c r="N72" s="37"/>
      <c r="O72" s="38">
        <v>10</v>
      </c>
      <c r="P72" s="38">
        <v>10</v>
      </c>
      <c r="Q72" s="38">
        <v>10</v>
      </c>
      <c r="R72" s="38">
        <v>10</v>
      </c>
      <c r="S72" s="38">
        <v>10</v>
      </c>
      <c r="T72" s="38">
        <v>10</v>
      </c>
      <c r="U72" s="38">
        <v>10</v>
      </c>
      <c r="V72" s="38">
        <v>10</v>
      </c>
      <c r="W72" s="38">
        <v>10</v>
      </c>
      <c r="X72" s="38">
        <v>10</v>
      </c>
      <c r="Y72" s="38">
        <v>10</v>
      </c>
      <c r="Z72" s="38">
        <v>10</v>
      </c>
      <c r="AA72" s="38">
        <v>10</v>
      </c>
      <c r="AB72" s="38">
        <v>10</v>
      </c>
      <c r="AC72" s="38">
        <v>10</v>
      </c>
      <c r="AD72" s="38">
        <v>10</v>
      </c>
      <c r="AE72" s="38">
        <v>10</v>
      </c>
      <c r="AF72" s="38">
        <v>10</v>
      </c>
      <c r="AG72" s="38">
        <v>10</v>
      </c>
      <c r="AH72" s="38">
        <v>10</v>
      </c>
    </row>
    <row r="73" spans="5:34" ht="11.25" outlineLevel="1" x14ac:dyDescent="0.2">
      <c r="E73" s="44" t="s">
        <v>284</v>
      </c>
      <c r="F73" s="42"/>
      <c r="G73" s="42"/>
      <c r="H73" s="42"/>
      <c r="I73" s="42"/>
      <c r="J73" s="36"/>
      <c r="K73" s="36"/>
      <c r="L73" s="36"/>
      <c r="M73" s="37"/>
      <c r="N73" s="37"/>
      <c r="O73" s="38">
        <v>10</v>
      </c>
      <c r="P73" s="38">
        <v>10</v>
      </c>
      <c r="Q73" s="38">
        <v>10</v>
      </c>
      <c r="R73" s="38">
        <v>10</v>
      </c>
      <c r="S73" s="38">
        <v>10</v>
      </c>
      <c r="T73" s="38">
        <v>10</v>
      </c>
      <c r="U73" s="38">
        <v>10</v>
      </c>
      <c r="V73" s="38">
        <v>10</v>
      </c>
      <c r="W73" s="38">
        <v>10</v>
      </c>
      <c r="X73" s="38">
        <v>10</v>
      </c>
      <c r="Y73" s="38">
        <v>10</v>
      </c>
      <c r="Z73" s="38">
        <v>10</v>
      </c>
      <c r="AA73" s="38">
        <v>10</v>
      </c>
      <c r="AB73" s="38">
        <v>10</v>
      </c>
      <c r="AC73" s="38">
        <v>10</v>
      </c>
      <c r="AD73" s="38">
        <v>10</v>
      </c>
      <c r="AE73" s="38">
        <v>10</v>
      </c>
      <c r="AF73" s="38">
        <v>10</v>
      </c>
      <c r="AG73" s="38">
        <v>10</v>
      </c>
      <c r="AH73" s="38">
        <v>10</v>
      </c>
    </row>
    <row r="74" spans="5:34" ht="11.25" outlineLevel="1" x14ac:dyDescent="0.2">
      <c r="E74" s="44" t="s">
        <v>287</v>
      </c>
      <c r="F74" s="42"/>
      <c r="G74" s="42"/>
      <c r="H74" s="42"/>
      <c r="I74" s="42"/>
      <c r="J74" s="36"/>
      <c r="K74" s="36"/>
      <c r="L74" s="36"/>
      <c r="M74" s="37"/>
      <c r="N74" s="37"/>
      <c r="O74" s="38">
        <v>10</v>
      </c>
      <c r="P74" s="38">
        <v>10</v>
      </c>
      <c r="Q74" s="38">
        <v>10</v>
      </c>
      <c r="R74" s="38">
        <v>10</v>
      </c>
      <c r="S74" s="38">
        <v>10</v>
      </c>
      <c r="T74" s="38">
        <v>10</v>
      </c>
      <c r="U74" s="38">
        <v>10</v>
      </c>
      <c r="V74" s="38">
        <v>10</v>
      </c>
      <c r="W74" s="38">
        <v>10</v>
      </c>
      <c r="X74" s="38">
        <v>10</v>
      </c>
      <c r="Y74" s="38">
        <v>10</v>
      </c>
      <c r="Z74" s="38">
        <v>10</v>
      </c>
      <c r="AA74" s="38">
        <v>10</v>
      </c>
      <c r="AB74" s="38">
        <v>10</v>
      </c>
      <c r="AC74" s="38">
        <v>10</v>
      </c>
      <c r="AD74" s="38">
        <v>10</v>
      </c>
      <c r="AE74" s="38">
        <v>10</v>
      </c>
      <c r="AF74" s="38">
        <v>10</v>
      </c>
      <c r="AG74" s="38">
        <v>10</v>
      </c>
      <c r="AH74" s="38">
        <v>10</v>
      </c>
    </row>
    <row r="75" spans="5:34" ht="11.25" outlineLevel="1" x14ac:dyDescent="0.2">
      <c r="E75" s="44" t="s">
        <v>288</v>
      </c>
      <c r="F75" s="42"/>
      <c r="G75" s="42"/>
      <c r="H75" s="42"/>
      <c r="I75" s="42"/>
      <c r="J75" s="36"/>
      <c r="K75" s="36"/>
      <c r="L75" s="36"/>
      <c r="M75" s="37"/>
      <c r="N75" s="37"/>
      <c r="O75" s="38">
        <v>10</v>
      </c>
      <c r="P75" s="38">
        <v>10</v>
      </c>
      <c r="Q75" s="38">
        <v>10</v>
      </c>
      <c r="R75" s="38">
        <v>10</v>
      </c>
      <c r="S75" s="38">
        <v>10</v>
      </c>
      <c r="T75" s="38">
        <v>10</v>
      </c>
      <c r="U75" s="38">
        <v>10</v>
      </c>
      <c r="V75" s="38">
        <v>10</v>
      </c>
      <c r="W75" s="38">
        <v>10</v>
      </c>
      <c r="X75" s="38">
        <v>10</v>
      </c>
      <c r="Y75" s="38">
        <v>10</v>
      </c>
      <c r="Z75" s="38">
        <v>10</v>
      </c>
      <c r="AA75" s="38">
        <v>10</v>
      </c>
      <c r="AB75" s="38">
        <v>10</v>
      </c>
      <c r="AC75" s="38">
        <v>10</v>
      </c>
      <c r="AD75" s="38">
        <v>10</v>
      </c>
      <c r="AE75" s="38">
        <v>10</v>
      </c>
      <c r="AF75" s="38">
        <v>10</v>
      </c>
      <c r="AG75" s="38">
        <v>10</v>
      </c>
      <c r="AH75" s="38">
        <v>10</v>
      </c>
    </row>
    <row r="76" spans="5:34" ht="11.25" outlineLevel="1" x14ac:dyDescent="0.2">
      <c r="E76" s="44" t="s">
        <v>289</v>
      </c>
      <c r="F76" s="42"/>
      <c r="G76" s="42"/>
      <c r="H76" s="42"/>
      <c r="I76" s="42"/>
      <c r="J76" s="36"/>
      <c r="K76" s="36"/>
      <c r="L76" s="36"/>
      <c r="M76" s="37"/>
      <c r="N76" s="37"/>
      <c r="O76" s="38">
        <v>10</v>
      </c>
      <c r="P76" s="38">
        <v>10</v>
      </c>
      <c r="Q76" s="38">
        <v>10</v>
      </c>
      <c r="R76" s="38">
        <v>10</v>
      </c>
      <c r="S76" s="38">
        <v>10</v>
      </c>
      <c r="T76" s="38">
        <v>10</v>
      </c>
      <c r="U76" s="38">
        <v>10</v>
      </c>
      <c r="V76" s="38">
        <v>10</v>
      </c>
      <c r="W76" s="38">
        <v>10</v>
      </c>
      <c r="X76" s="38">
        <v>10</v>
      </c>
      <c r="Y76" s="38">
        <v>10</v>
      </c>
      <c r="Z76" s="38">
        <v>10</v>
      </c>
      <c r="AA76" s="38">
        <v>10</v>
      </c>
      <c r="AB76" s="38">
        <v>10</v>
      </c>
      <c r="AC76" s="38">
        <v>10</v>
      </c>
      <c r="AD76" s="38">
        <v>10</v>
      </c>
      <c r="AE76" s="38">
        <v>10</v>
      </c>
      <c r="AF76" s="38">
        <v>10</v>
      </c>
      <c r="AG76" s="38">
        <v>10</v>
      </c>
      <c r="AH76" s="38">
        <v>10</v>
      </c>
    </row>
    <row r="77" spans="5:34" ht="11.25" outlineLevel="1" x14ac:dyDescent="0.2">
      <c r="E77" s="44" t="s">
        <v>290</v>
      </c>
      <c r="F77" s="42"/>
      <c r="G77" s="42"/>
      <c r="H77" s="42"/>
      <c r="I77" s="42"/>
      <c r="J77" s="36"/>
      <c r="K77" s="36"/>
      <c r="L77" s="36"/>
      <c r="M77" s="37"/>
      <c r="N77" s="37"/>
      <c r="O77" s="38">
        <v>10</v>
      </c>
      <c r="P77" s="38">
        <v>10</v>
      </c>
      <c r="Q77" s="38">
        <v>10</v>
      </c>
      <c r="R77" s="38">
        <v>10</v>
      </c>
      <c r="S77" s="38">
        <v>10</v>
      </c>
      <c r="T77" s="38">
        <v>10</v>
      </c>
      <c r="U77" s="38">
        <v>10</v>
      </c>
      <c r="V77" s="38">
        <v>10</v>
      </c>
      <c r="W77" s="38">
        <v>10</v>
      </c>
      <c r="X77" s="38">
        <v>10</v>
      </c>
      <c r="Y77" s="38">
        <v>10</v>
      </c>
      <c r="Z77" s="38">
        <v>10</v>
      </c>
      <c r="AA77" s="38">
        <v>10</v>
      </c>
      <c r="AB77" s="38">
        <v>10</v>
      </c>
      <c r="AC77" s="38">
        <v>10</v>
      </c>
      <c r="AD77" s="38">
        <v>10</v>
      </c>
      <c r="AE77" s="38">
        <v>10</v>
      </c>
      <c r="AF77" s="38">
        <v>10</v>
      </c>
      <c r="AG77" s="38">
        <v>10</v>
      </c>
      <c r="AH77" s="38">
        <v>10</v>
      </c>
    </row>
    <row r="78" spans="5:34" ht="11.25" outlineLevel="1" x14ac:dyDescent="0.2">
      <c r="E78" s="44" t="s">
        <v>291</v>
      </c>
      <c r="F78" s="42"/>
      <c r="G78" s="42"/>
      <c r="H78" s="42"/>
      <c r="I78" s="42"/>
      <c r="J78" s="36"/>
      <c r="K78" s="36"/>
      <c r="L78" s="36"/>
      <c r="M78" s="37"/>
      <c r="N78" s="37"/>
      <c r="O78" s="38">
        <v>10</v>
      </c>
      <c r="P78" s="38">
        <v>10</v>
      </c>
      <c r="Q78" s="38">
        <v>10</v>
      </c>
      <c r="R78" s="38">
        <v>10</v>
      </c>
      <c r="S78" s="38">
        <v>10</v>
      </c>
      <c r="T78" s="38">
        <v>10</v>
      </c>
      <c r="U78" s="38">
        <v>10</v>
      </c>
      <c r="V78" s="38">
        <v>10</v>
      </c>
      <c r="W78" s="38">
        <v>10</v>
      </c>
      <c r="X78" s="38">
        <v>10</v>
      </c>
      <c r="Y78" s="38">
        <v>10</v>
      </c>
      <c r="Z78" s="38">
        <v>10</v>
      </c>
      <c r="AA78" s="38">
        <v>10</v>
      </c>
      <c r="AB78" s="38">
        <v>10</v>
      </c>
      <c r="AC78" s="38">
        <v>10</v>
      </c>
      <c r="AD78" s="38">
        <v>10</v>
      </c>
      <c r="AE78" s="38">
        <v>10</v>
      </c>
      <c r="AF78" s="38">
        <v>10</v>
      </c>
      <c r="AG78" s="38">
        <v>10</v>
      </c>
      <c r="AH78" s="38">
        <v>10</v>
      </c>
    </row>
    <row r="79" spans="5:34" ht="11.25" outlineLevel="1" x14ac:dyDescent="0.2">
      <c r="E79" s="44" t="s">
        <v>292</v>
      </c>
      <c r="F79" s="42"/>
      <c r="G79" s="42"/>
      <c r="H79" s="42"/>
      <c r="I79" s="42"/>
      <c r="J79" s="36"/>
      <c r="K79" s="36"/>
      <c r="L79" s="36"/>
      <c r="M79" s="37"/>
      <c r="N79" s="37"/>
      <c r="O79" s="38">
        <v>10</v>
      </c>
      <c r="P79" s="38">
        <v>10</v>
      </c>
      <c r="Q79" s="38">
        <v>10</v>
      </c>
      <c r="R79" s="38">
        <v>10</v>
      </c>
      <c r="S79" s="38">
        <v>10</v>
      </c>
      <c r="T79" s="38">
        <v>10</v>
      </c>
      <c r="U79" s="38">
        <v>10</v>
      </c>
      <c r="V79" s="38">
        <v>10</v>
      </c>
      <c r="W79" s="38">
        <v>10</v>
      </c>
      <c r="X79" s="38">
        <v>10</v>
      </c>
      <c r="Y79" s="38">
        <v>10</v>
      </c>
      <c r="Z79" s="38">
        <v>10</v>
      </c>
      <c r="AA79" s="38">
        <v>10</v>
      </c>
      <c r="AB79" s="38">
        <v>10</v>
      </c>
      <c r="AC79" s="38">
        <v>10</v>
      </c>
      <c r="AD79" s="38">
        <v>10</v>
      </c>
      <c r="AE79" s="38">
        <v>10</v>
      </c>
      <c r="AF79" s="38">
        <v>10</v>
      </c>
      <c r="AG79" s="38">
        <v>10</v>
      </c>
      <c r="AH79" s="38">
        <v>10</v>
      </c>
    </row>
    <row r="80" spans="5:34" ht="11.25" outlineLevel="1" x14ac:dyDescent="0.2">
      <c r="E80" s="44" t="s">
        <v>293</v>
      </c>
      <c r="F80" s="42"/>
      <c r="G80" s="42"/>
      <c r="H80" s="42"/>
      <c r="I80" s="42"/>
      <c r="J80" s="36"/>
      <c r="K80" s="36"/>
      <c r="L80" s="36"/>
      <c r="M80" s="37"/>
      <c r="N80" s="37"/>
      <c r="O80" s="38">
        <v>10</v>
      </c>
      <c r="P80" s="38">
        <v>10</v>
      </c>
      <c r="Q80" s="38">
        <v>10</v>
      </c>
      <c r="R80" s="38">
        <v>10</v>
      </c>
      <c r="S80" s="38">
        <v>10</v>
      </c>
      <c r="T80" s="38">
        <v>10</v>
      </c>
      <c r="U80" s="38">
        <v>10</v>
      </c>
      <c r="V80" s="38">
        <v>10</v>
      </c>
      <c r="W80" s="38">
        <v>10</v>
      </c>
      <c r="X80" s="38">
        <v>10</v>
      </c>
      <c r="Y80" s="38">
        <v>10</v>
      </c>
      <c r="Z80" s="38">
        <v>10</v>
      </c>
      <c r="AA80" s="38">
        <v>10</v>
      </c>
      <c r="AB80" s="38">
        <v>10</v>
      </c>
      <c r="AC80" s="38">
        <v>10</v>
      </c>
      <c r="AD80" s="38">
        <v>10</v>
      </c>
      <c r="AE80" s="38">
        <v>10</v>
      </c>
      <c r="AF80" s="38">
        <v>10</v>
      </c>
      <c r="AG80" s="38">
        <v>10</v>
      </c>
      <c r="AH80" s="38">
        <v>10</v>
      </c>
    </row>
    <row r="81" spans="1:34" ht="11.25" outlineLevel="1" x14ac:dyDescent="0.2">
      <c r="E81" s="44" t="s">
        <v>294</v>
      </c>
      <c r="F81" s="42"/>
      <c r="G81" s="42"/>
      <c r="H81" s="42"/>
      <c r="I81" s="42"/>
      <c r="J81" s="36"/>
      <c r="K81" s="36"/>
      <c r="L81" s="36"/>
      <c r="M81" s="37"/>
      <c r="N81" s="37"/>
      <c r="O81" s="38">
        <v>10</v>
      </c>
      <c r="P81" s="38">
        <v>10</v>
      </c>
      <c r="Q81" s="38">
        <v>10</v>
      </c>
      <c r="R81" s="38">
        <v>10</v>
      </c>
      <c r="S81" s="38">
        <v>10</v>
      </c>
      <c r="T81" s="38">
        <v>10</v>
      </c>
      <c r="U81" s="38">
        <v>10</v>
      </c>
      <c r="V81" s="38">
        <v>10</v>
      </c>
      <c r="W81" s="38">
        <v>10</v>
      </c>
      <c r="X81" s="38">
        <v>10</v>
      </c>
      <c r="Y81" s="38">
        <v>10</v>
      </c>
      <c r="Z81" s="38">
        <v>10</v>
      </c>
      <c r="AA81" s="38">
        <v>10</v>
      </c>
      <c r="AB81" s="38">
        <v>10</v>
      </c>
      <c r="AC81" s="38">
        <v>10</v>
      </c>
      <c r="AD81" s="38">
        <v>10</v>
      </c>
      <c r="AE81" s="38">
        <v>10</v>
      </c>
      <c r="AF81" s="38">
        <v>10</v>
      </c>
      <c r="AG81" s="38">
        <v>10</v>
      </c>
      <c r="AH81" s="38">
        <v>10</v>
      </c>
    </row>
    <row r="82" spans="1:34" ht="11.25" outlineLevel="1" x14ac:dyDescent="0.2">
      <c r="E82" s="44" t="s">
        <v>295</v>
      </c>
      <c r="F82" s="42"/>
      <c r="G82" s="42"/>
      <c r="H82" s="42"/>
      <c r="I82" s="42"/>
      <c r="J82" s="36"/>
      <c r="K82" s="36"/>
      <c r="L82" s="36"/>
      <c r="M82" s="37"/>
      <c r="N82" s="37"/>
      <c r="O82" s="38">
        <v>10</v>
      </c>
      <c r="P82" s="38">
        <v>10</v>
      </c>
      <c r="Q82" s="38">
        <v>10</v>
      </c>
      <c r="R82" s="38">
        <v>10</v>
      </c>
      <c r="S82" s="38">
        <v>10</v>
      </c>
      <c r="T82" s="38">
        <v>10</v>
      </c>
      <c r="U82" s="38">
        <v>10</v>
      </c>
      <c r="V82" s="38">
        <v>10</v>
      </c>
      <c r="W82" s="38">
        <v>10</v>
      </c>
      <c r="X82" s="38">
        <v>10</v>
      </c>
      <c r="Y82" s="38">
        <v>10</v>
      </c>
      <c r="Z82" s="38">
        <v>10</v>
      </c>
      <c r="AA82" s="38">
        <v>10</v>
      </c>
      <c r="AB82" s="38">
        <v>10</v>
      </c>
      <c r="AC82" s="38">
        <v>10</v>
      </c>
      <c r="AD82" s="38">
        <v>10</v>
      </c>
      <c r="AE82" s="38">
        <v>10</v>
      </c>
      <c r="AF82" s="38">
        <v>10</v>
      </c>
      <c r="AG82" s="38">
        <v>10</v>
      </c>
      <c r="AH82" s="38">
        <v>10</v>
      </c>
    </row>
    <row r="83" spans="1:34" ht="11.25" outlineLevel="1" x14ac:dyDescent="0.2">
      <c r="E83" s="44" t="s">
        <v>296</v>
      </c>
      <c r="F83" s="42"/>
      <c r="G83" s="42"/>
      <c r="H83" s="42"/>
      <c r="I83" s="42"/>
      <c r="J83" s="36"/>
      <c r="K83" s="36"/>
      <c r="L83" s="36"/>
      <c r="M83" s="37"/>
      <c r="N83" s="37"/>
      <c r="O83" s="38">
        <v>10</v>
      </c>
      <c r="P83" s="38">
        <v>10</v>
      </c>
      <c r="Q83" s="38">
        <v>10</v>
      </c>
      <c r="R83" s="38">
        <v>10</v>
      </c>
      <c r="S83" s="38">
        <v>10</v>
      </c>
      <c r="T83" s="38">
        <v>10</v>
      </c>
      <c r="U83" s="38">
        <v>10</v>
      </c>
      <c r="V83" s="38">
        <v>10</v>
      </c>
      <c r="W83" s="38">
        <v>10</v>
      </c>
      <c r="X83" s="38">
        <v>10</v>
      </c>
      <c r="Y83" s="38">
        <v>10</v>
      </c>
      <c r="Z83" s="38">
        <v>10</v>
      </c>
      <c r="AA83" s="38">
        <v>10</v>
      </c>
      <c r="AB83" s="38">
        <v>10</v>
      </c>
      <c r="AC83" s="38">
        <v>10</v>
      </c>
      <c r="AD83" s="38">
        <v>10</v>
      </c>
      <c r="AE83" s="38">
        <v>10</v>
      </c>
      <c r="AF83" s="38">
        <v>10</v>
      </c>
      <c r="AG83" s="38">
        <v>10</v>
      </c>
      <c r="AH83" s="38">
        <v>10</v>
      </c>
    </row>
    <row r="84" spans="1:34" ht="11.25" outlineLevel="1" x14ac:dyDescent="0.2">
      <c r="E84" s="44" t="s">
        <v>297</v>
      </c>
      <c r="F84" s="42"/>
      <c r="G84" s="42"/>
      <c r="H84" s="42"/>
      <c r="I84" s="42"/>
      <c r="J84" s="36"/>
      <c r="K84" s="36"/>
      <c r="L84" s="36"/>
      <c r="M84" s="37"/>
      <c r="N84" s="37"/>
      <c r="O84" s="38">
        <v>10</v>
      </c>
      <c r="P84" s="38">
        <v>10</v>
      </c>
      <c r="Q84" s="38">
        <v>10</v>
      </c>
      <c r="R84" s="38">
        <v>10</v>
      </c>
      <c r="S84" s="38">
        <v>10</v>
      </c>
      <c r="T84" s="38">
        <v>10</v>
      </c>
      <c r="U84" s="38">
        <v>10</v>
      </c>
      <c r="V84" s="38">
        <v>10</v>
      </c>
      <c r="W84" s="38">
        <v>10</v>
      </c>
      <c r="X84" s="38">
        <v>10</v>
      </c>
      <c r="Y84" s="38">
        <v>10</v>
      </c>
      <c r="Z84" s="38">
        <v>10</v>
      </c>
      <c r="AA84" s="38">
        <v>10</v>
      </c>
      <c r="AB84" s="38">
        <v>10</v>
      </c>
      <c r="AC84" s="38">
        <v>10</v>
      </c>
      <c r="AD84" s="38">
        <v>10</v>
      </c>
      <c r="AE84" s="38">
        <v>10</v>
      </c>
      <c r="AF84" s="38">
        <v>10</v>
      </c>
      <c r="AG84" s="38">
        <v>10</v>
      </c>
      <c r="AH84" s="38">
        <v>10</v>
      </c>
    </row>
    <row r="85" spans="1:34" ht="11.25" outlineLevel="1" x14ac:dyDescent="0.2">
      <c r="E85" s="44" t="s">
        <v>298</v>
      </c>
      <c r="F85" s="42"/>
      <c r="G85" s="42"/>
      <c r="H85" s="42"/>
      <c r="I85" s="42"/>
      <c r="J85" s="36"/>
      <c r="K85" s="36"/>
      <c r="L85" s="36"/>
      <c r="M85" s="37"/>
      <c r="N85" s="37"/>
      <c r="O85" s="38">
        <v>10</v>
      </c>
      <c r="P85" s="38">
        <v>10</v>
      </c>
      <c r="Q85" s="38">
        <v>10</v>
      </c>
      <c r="R85" s="38">
        <v>10</v>
      </c>
      <c r="S85" s="38">
        <v>10</v>
      </c>
      <c r="T85" s="38">
        <v>10</v>
      </c>
      <c r="U85" s="38">
        <v>10</v>
      </c>
      <c r="V85" s="38">
        <v>10</v>
      </c>
      <c r="W85" s="38">
        <v>10</v>
      </c>
      <c r="X85" s="38">
        <v>10</v>
      </c>
      <c r="Y85" s="38">
        <v>10</v>
      </c>
      <c r="Z85" s="38">
        <v>10</v>
      </c>
      <c r="AA85" s="38">
        <v>10</v>
      </c>
      <c r="AB85" s="38">
        <v>10</v>
      </c>
      <c r="AC85" s="38">
        <v>10</v>
      </c>
      <c r="AD85" s="38">
        <v>10</v>
      </c>
      <c r="AE85" s="38">
        <v>10</v>
      </c>
      <c r="AF85" s="38">
        <v>10</v>
      </c>
      <c r="AG85" s="38">
        <v>10</v>
      </c>
      <c r="AH85" s="38">
        <v>10</v>
      </c>
    </row>
    <row r="86" spans="1:34" ht="11.25" outlineLevel="1" x14ac:dyDescent="0.2">
      <c r="E86" s="44" t="s">
        <v>325</v>
      </c>
      <c r="F86" s="42"/>
      <c r="G86" s="42"/>
      <c r="H86" s="42"/>
      <c r="I86" s="42"/>
      <c r="J86" s="36"/>
      <c r="K86" s="36"/>
      <c r="L86" s="36"/>
      <c r="M86" s="37"/>
      <c r="N86" s="37"/>
      <c r="O86" s="38">
        <v>10</v>
      </c>
      <c r="P86" s="38">
        <v>10</v>
      </c>
      <c r="Q86" s="38">
        <v>10</v>
      </c>
      <c r="R86" s="38">
        <v>10</v>
      </c>
      <c r="S86" s="38">
        <v>10</v>
      </c>
      <c r="T86" s="38">
        <v>10</v>
      </c>
      <c r="U86" s="38">
        <v>10</v>
      </c>
      <c r="V86" s="38">
        <v>10</v>
      </c>
      <c r="W86" s="38">
        <v>10</v>
      </c>
      <c r="X86" s="38">
        <v>10</v>
      </c>
      <c r="Y86" s="38">
        <v>10</v>
      </c>
      <c r="Z86" s="38">
        <v>10</v>
      </c>
      <c r="AA86" s="38">
        <v>10</v>
      </c>
      <c r="AB86" s="38">
        <v>10</v>
      </c>
      <c r="AC86" s="38">
        <v>10</v>
      </c>
      <c r="AD86" s="38">
        <v>10</v>
      </c>
      <c r="AE86" s="38">
        <v>10</v>
      </c>
      <c r="AF86" s="38">
        <v>10</v>
      </c>
      <c r="AG86" s="38">
        <v>10</v>
      </c>
      <c r="AH86" s="38">
        <v>10</v>
      </c>
    </row>
    <row r="87" spans="1:34" ht="11.25" outlineLevel="1" x14ac:dyDescent="0.2">
      <c r="E87" s="44" t="s">
        <v>330</v>
      </c>
      <c r="F87" s="42"/>
      <c r="G87" s="42"/>
      <c r="H87" s="42"/>
      <c r="I87" s="42"/>
      <c r="J87" s="36"/>
      <c r="K87" s="36"/>
      <c r="L87" s="36"/>
      <c r="M87" s="37"/>
      <c r="N87" s="37"/>
      <c r="O87" s="38">
        <v>10</v>
      </c>
      <c r="P87" s="38">
        <v>10</v>
      </c>
      <c r="Q87" s="38">
        <v>10</v>
      </c>
      <c r="R87" s="38">
        <v>10</v>
      </c>
      <c r="S87" s="38">
        <v>10</v>
      </c>
      <c r="T87" s="38">
        <v>10</v>
      </c>
      <c r="U87" s="38">
        <v>10</v>
      </c>
      <c r="V87" s="38">
        <v>10</v>
      </c>
      <c r="W87" s="38">
        <v>10</v>
      </c>
      <c r="X87" s="38">
        <v>10</v>
      </c>
      <c r="Y87" s="38">
        <v>10</v>
      </c>
      <c r="Z87" s="38">
        <v>10</v>
      </c>
      <c r="AA87" s="38">
        <v>10</v>
      </c>
      <c r="AB87" s="38">
        <v>10</v>
      </c>
      <c r="AC87" s="38">
        <v>10</v>
      </c>
      <c r="AD87" s="38">
        <v>10</v>
      </c>
      <c r="AE87" s="38">
        <v>10</v>
      </c>
      <c r="AF87" s="38">
        <v>10</v>
      </c>
      <c r="AG87" s="38">
        <v>10</v>
      </c>
      <c r="AH87" s="38">
        <v>10</v>
      </c>
    </row>
    <row r="88" spans="1:34" ht="11.25" outlineLevel="1" x14ac:dyDescent="0.2">
      <c r="E88" s="44" t="s">
        <v>326</v>
      </c>
      <c r="F88" s="42"/>
      <c r="G88" s="42"/>
      <c r="H88" s="42"/>
      <c r="I88" s="42"/>
      <c r="J88" s="36"/>
      <c r="K88" s="36"/>
      <c r="L88" s="36"/>
      <c r="M88" s="37"/>
      <c r="N88" s="37"/>
      <c r="O88" s="38">
        <v>10</v>
      </c>
      <c r="P88" s="38">
        <v>10</v>
      </c>
      <c r="Q88" s="38">
        <v>10</v>
      </c>
      <c r="R88" s="38">
        <v>10</v>
      </c>
      <c r="S88" s="38">
        <v>10</v>
      </c>
      <c r="T88" s="38">
        <v>10</v>
      </c>
      <c r="U88" s="38">
        <v>10</v>
      </c>
      <c r="V88" s="38">
        <v>10</v>
      </c>
      <c r="W88" s="38">
        <v>10</v>
      </c>
      <c r="X88" s="38">
        <v>10</v>
      </c>
      <c r="Y88" s="38">
        <v>10</v>
      </c>
      <c r="Z88" s="38">
        <v>10</v>
      </c>
      <c r="AA88" s="38">
        <v>10</v>
      </c>
      <c r="AB88" s="38">
        <v>10</v>
      </c>
      <c r="AC88" s="38">
        <v>10</v>
      </c>
      <c r="AD88" s="38">
        <v>10</v>
      </c>
      <c r="AE88" s="38">
        <v>10</v>
      </c>
      <c r="AF88" s="38">
        <v>10</v>
      </c>
      <c r="AG88" s="38">
        <v>10</v>
      </c>
      <c r="AH88" s="38">
        <v>10</v>
      </c>
    </row>
    <row r="89" spans="1:34" ht="11.25" outlineLevel="1" x14ac:dyDescent="0.2">
      <c r="E89" s="44" t="s">
        <v>331</v>
      </c>
      <c r="F89" s="42"/>
      <c r="G89" s="42"/>
      <c r="H89" s="42"/>
      <c r="I89" s="42"/>
      <c r="J89" s="36"/>
      <c r="K89" s="36"/>
      <c r="L89" s="36"/>
      <c r="M89" s="37"/>
      <c r="N89" s="37"/>
      <c r="O89" s="38">
        <v>10</v>
      </c>
      <c r="P89" s="38">
        <v>10</v>
      </c>
      <c r="Q89" s="38">
        <v>10</v>
      </c>
      <c r="R89" s="38">
        <v>10</v>
      </c>
      <c r="S89" s="38">
        <v>10</v>
      </c>
      <c r="T89" s="38">
        <v>10</v>
      </c>
      <c r="U89" s="38">
        <v>10</v>
      </c>
      <c r="V89" s="38">
        <v>10</v>
      </c>
      <c r="W89" s="38">
        <v>10</v>
      </c>
      <c r="X89" s="38">
        <v>10</v>
      </c>
      <c r="Y89" s="38">
        <v>10</v>
      </c>
      <c r="Z89" s="38">
        <v>10</v>
      </c>
      <c r="AA89" s="38">
        <v>10</v>
      </c>
      <c r="AB89" s="38">
        <v>10</v>
      </c>
      <c r="AC89" s="38">
        <v>10</v>
      </c>
      <c r="AD89" s="38">
        <v>10</v>
      </c>
      <c r="AE89" s="38">
        <v>10</v>
      </c>
      <c r="AF89" s="38">
        <v>10</v>
      </c>
      <c r="AG89" s="38">
        <v>10</v>
      </c>
      <c r="AH89" s="38">
        <v>10</v>
      </c>
    </row>
    <row r="90" spans="1:34" ht="11.25" outlineLevel="1" x14ac:dyDescent="0.2">
      <c r="E90" s="44" t="s">
        <v>327</v>
      </c>
      <c r="F90" s="42"/>
      <c r="G90" s="42"/>
      <c r="H90" s="42"/>
      <c r="I90" s="42"/>
      <c r="J90" s="36"/>
      <c r="K90" s="36"/>
      <c r="L90" s="36"/>
      <c r="M90" s="37"/>
      <c r="N90" s="37"/>
      <c r="O90" s="38">
        <v>10</v>
      </c>
      <c r="P90" s="38">
        <v>10</v>
      </c>
      <c r="Q90" s="38">
        <v>10</v>
      </c>
      <c r="R90" s="38">
        <v>10</v>
      </c>
      <c r="S90" s="38">
        <v>10</v>
      </c>
      <c r="T90" s="38">
        <v>10</v>
      </c>
      <c r="U90" s="38">
        <v>10</v>
      </c>
      <c r="V90" s="38">
        <v>10</v>
      </c>
      <c r="W90" s="38">
        <v>10</v>
      </c>
      <c r="X90" s="38">
        <v>10</v>
      </c>
      <c r="Y90" s="38">
        <v>10</v>
      </c>
      <c r="Z90" s="38">
        <v>10</v>
      </c>
      <c r="AA90" s="38">
        <v>10</v>
      </c>
      <c r="AB90" s="38">
        <v>10</v>
      </c>
      <c r="AC90" s="38">
        <v>10</v>
      </c>
      <c r="AD90" s="38">
        <v>10</v>
      </c>
      <c r="AE90" s="38">
        <v>10</v>
      </c>
      <c r="AF90" s="38">
        <v>10</v>
      </c>
      <c r="AG90" s="38">
        <v>10</v>
      </c>
      <c r="AH90" s="38">
        <v>10</v>
      </c>
    </row>
    <row r="91" spans="1:34" ht="11.25" outlineLevel="1" x14ac:dyDescent="0.2">
      <c r="E91" s="44" t="s">
        <v>332</v>
      </c>
      <c r="F91" s="42"/>
      <c r="G91" s="42"/>
      <c r="H91" s="42"/>
      <c r="I91" s="42"/>
      <c r="J91" s="36"/>
      <c r="K91" s="36"/>
      <c r="L91" s="36"/>
      <c r="M91" s="37"/>
      <c r="N91" s="37"/>
      <c r="O91" s="38">
        <v>10</v>
      </c>
      <c r="P91" s="38">
        <v>10</v>
      </c>
      <c r="Q91" s="38">
        <v>10</v>
      </c>
      <c r="R91" s="38">
        <v>10</v>
      </c>
      <c r="S91" s="38">
        <v>10</v>
      </c>
      <c r="T91" s="38">
        <v>10</v>
      </c>
      <c r="U91" s="38">
        <v>10</v>
      </c>
      <c r="V91" s="38">
        <v>10</v>
      </c>
      <c r="W91" s="38">
        <v>10</v>
      </c>
      <c r="X91" s="38">
        <v>10</v>
      </c>
      <c r="Y91" s="38">
        <v>10</v>
      </c>
      <c r="Z91" s="38">
        <v>10</v>
      </c>
      <c r="AA91" s="38">
        <v>10</v>
      </c>
      <c r="AB91" s="38">
        <v>10</v>
      </c>
      <c r="AC91" s="38">
        <v>10</v>
      </c>
      <c r="AD91" s="38">
        <v>10</v>
      </c>
      <c r="AE91" s="38">
        <v>10</v>
      </c>
      <c r="AF91" s="38">
        <v>10</v>
      </c>
      <c r="AG91" s="38">
        <v>10</v>
      </c>
      <c r="AH91" s="38">
        <v>10</v>
      </c>
    </row>
    <row r="92" spans="1:34" ht="11.1" customHeight="1" outlineLevel="1" x14ac:dyDescent="0.2">
      <c r="E92" s="44" t="s">
        <v>328</v>
      </c>
      <c r="F92" s="42"/>
      <c r="G92" s="42"/>
      <c r="H92" s="42"/>
      <c r="I92" s="42"/>
      <c r="J92" s="36"/>
      <c r="K92" s="36"/>
      <c r="L92" s="36"/>
      <c r="M92" s="37"/>
      <c r="N92" s="37"/>
      <c r="O92" s="38">
        <v>10</v>
      </c>
      <c r="P92" s="38">
        <v>10</v>
      </c>
      <c r="Q92" s="38">
        <v>10</v>
      </c>
      <c r="R92" s="38">
        <v>10</v>
      </c>
      <c r="S92" s="38">
        <v>10</v>
      </c>
      <c r="T92" s="38">
        <v>10</v>
      </c>
      <c r="U92" s="38">
        <v>10</v>
      </c>
      <c r="V92" s="38">
        <v>10</v>
      </c>
      <c r="W92" s="38">
        <v>10</v>
      </c>
      <c r="X92" s="38">
        <v>10</v>
      </c>
      <c r="Y92" s="38">
        <v>10</v>
      </c>
      <c r="Z92" s="38">
        <v>10</v>
      </c>
      <c r="AA92" s="38">
        <v>10</v>
      </c>
      <c r="AB92" s="38">
        <v>10</v>
      </c>
      <c r="AC92" s="38">
        <v>10</v>
      </c>
      <c r="AD92" s="38">
        <v>10</v>
      </c>
      <c r="AE92" s="38">
        <v>10</v>
      </c>
      <c r="AF92" s="38">
        <v>10</v>
      </c>
      <c r="AG92" s="38">
        <v>10</v>
      </c>
      <c r="AH92" s="38">
        <v>10</v>
      </c>
    </row>
    <row r="93" spans="1:34" ht="11.1" customHeight="1" outlineLevel="1" x14ac:dyDescent="0.2">
      <c r="E93" s="44" t="s">
        <v>333</v>
      </c>
      <c r="F93" s="42"/>
      <c r="G93" s="42"/>
      <c r="H93" s="42"/>
      <c r="I93" s="42"/>
      <c r="J93" s="36"/>
      <c r="K93" s="36"/>
      <c r="L93" s="36"/>
      <c r="M93" s="37"/>
      <c r="N93" s="37"/>
      <c r="O93" s="38">
        <v>10</v>
      </c>
      <c r="P93" s="38">
        <v>10</v>
      </c>
      <c r="Q93" s="38">
        <v>10</v>
      </c>
      <c r="R93" s="38">
        <v>10</v>
      </c>
      <c r="S93" s="38">
        <v>10</v>
      </c>
      <c r="T93" s="38">
        <v>10</v>
      </c>
      <c r="U93" s="38">
        <v>10</v>
      </c>
      <c r="V93" s="38">
        <v>10</v>
      </c>
      <c r="W93" s="38">
        <v>10</v>
      </c>
      <c r="X93" s="38">
        <v>10</v>
      </c>
      <c r="Y93" s="38">
        <v>10</v>
      </c>
      <c r="Z93" s="38">
        <v>10</v>
      </c>
      <c r="AA93" s="38">
        <v>10</v>
      </c>
      <c r="AB93" s="38">
        <v>10</v>
      </c>
      <c r="AC93" s="38">
        <v>10</v>
      </c>
      <c r="AD93" s="38">
        <v>10</v>
      </c>
      <c r="AE93" s="38">
        <v>10</v>
      </c>
      <c r="AF93" s="38">
        <v>10</v>
      </c>
      <c r="AG93" s="38">
        <v>10</v>
      </c>
      <c r="AH93" s="38">
        <v>10</v>
      </c>
    </row>
    <row r="94" spans="1:34" ht="11.1" customHeight="1" outlineLevel="1" x14ac:dyDescent="0.2">
      <c r="E94" s="44" t="s">
        <v>329</v>
      </c>
      <c r="F94" s="42"/>
      <c r="G94" s="42"/>
      <c r="H94" s="42"/>
      <c r="I94" s="42"/>
      <c r="J94" s="36"/>
      <c r="K94" s="36"/>
      <c r="L94" s="36"/>
      <c r="M94" s="37"/>
      <c r="N94" s="37"/>
      <c r="O94" s="38">
        <v>10</v>
      </c>
      <c r="P94" s="38">
        <v>10</v>
      </c>
      <c r="Q94" s="38">
        <v>10</v>
      </c>
      <c r="R94" s="38">
        <v>10</v>
      </c>
      <c r="S94" s="38">
        <v>10</v>
      </c>
      <c r="T94" s="38">
        <v>10</v>
      </c>
      <c r="U94" s="38">
        <v>10</v>
      </c>
      <c r="V94" s="38">
        <v>10</v>
      </c>
      <c r="W94" s="38">
        <v>10</v>
      </c>
      <c r="X94" s="38">
        <v>10</v>
      </c>
      <c r="Y94" s="38">
        <v>10</v>
      </c>
      <c r="Z94" s="38">
        <v>10</v>
      </c>
      <c r="AA94" s="38">
        <v>10</v>
      </c>
      <c r="AB94" s="38">
        <v>10</v>
      </c>
      <c r="AC94" s="38">
        <v>10</v>
      </c>
      <c r="AD94" s="38">
        <v>10</v>
      </c>
      <c r="AE94" s="38">
        <v>10</v>
      </c>
      <c r="AF94" s="38">
        <v>10</v>
      </c>
      <c r="AG94" s="38">
        <v>10</v>
      </c>
      <c r="AH94" s="38">
        <v>10</v>
      </c>
    </row>
    <row r="95" spans="1:34" ht="11.1" customHeight="1" outlineLevel="1" x14ac:dyDescent="0.2">
      <c r="E95" s="44" t="s">
        <v>334</v>
      </c>
      <c r="F95" s="42"/>
      <c r="G95" s="42"/>
      <c r="H95" s="42"/>
      <c r="I95" s="42"/>
      <c r="J95" s="36"/>
      <c r="K95" s="36"/>
      <c r="L95" s="36"/>
      <c r="M95" s="37"/>
      <c r="N95" s="37"/>
      <c r="O95" s="38">
        <v>10</v>
      </c>
      <c r="P95" s="38">
        <v>10</v>
      </c>
      <c r="Q95" s="38">
        <v>10</v>
      </c>
      <c r="R95" s="38">
        <v>10</v>
      </c>
      <c r="S95" s="38">
        <v>10</v>
      </c>
      <c r="T95" s="38">
        <v>10</v>
      </c>
      <c r="U95" s="38">
        <v>10</v>
      </c>
      <c r="V95" s="38">
        <v>10</v>
      </c>
      <c r="W95" s="38">
        <v>10</v>
      </c>
      <c r="X95" s="38">
        <v>10</v>
      </c>
      <c r="Y95" s="38">
        <v>10</v>
      </c>
      <c r="Z95" s="38">
        <v>10</v>
      </c>
      <c r="AA95" s="38">
        <v>10</v>
      </c>
      <c r="AB95" s="38">
        <v>10</v>
      </c>
      <c r="AC95" s="38">
        <v>10</v>
      </c>
      <c r="AD95" s="38">
        <v>10</v>
      </c>
      <c r="AE95" s="38">
        <v>10</v>
      </c>
      <c r="AF95" s="38">
        <v>10</v>
      </c>
      <c r="AG95" s="38">
        <v>10</v>
      </c>
      <c r="AH95" s="38">
        <v>10</v>
      </c>
    </row>
    <row r="96" spans="1:34" s="15" customFormat="1" ht="11.25" outlineLevel="1" x14ac:dyDescent="0.2">
      <c r="A96" s="451"/>
      <c r="B96" s="451"/>
      <c r="C96" s="451"/>
      <c r="D96" s="452"/>
      <c r="E96" s="523" t="s">
        <v>336</v>
      </c>
      <c r="F96" s="453"/>
      <c r="G96" s="453"/>
      <c r="H96" s="453"/>
      <c r="I96" s="453"/>
      <c r="J96" s="454"/>
      <c r="K96" s="454"/>
      <c r="L96" s="454"/>
      <c r="M96" s="454"/>
      <c r="N96" s="454"/>
      <c r="O96" s="454">
        <f>SUM(O86:O94,O68,O70,O72,O74,O76,O78,O80,O82,O84)</f>
        <v>180</v>
      </c>
      <c r="P96" s="454">
        <f>SUM(P86:P94,P68,P70,P72,P74,P76,P78,P80,P82,P84)</f>
        <v>180</v>
      </c>
      <c r="Q96" s="454">
        <f>SUM(Q86:Q94,Q68,Q70,Q72,Q74,Q76,Q78,Q80,Q82,Q84)</f>
        <v>180</v>
      </c>
      <c r="R96" s="454">
        <f t="shared" ref="R96:X96" si="16">SUM(R68,R70,R72,R74,R76,R78,R80,R82,R84,R86,R88,R90,R92,R94)</f>
        <v>140</v>
      </c>
      <c r="S96" s="454">
        <f t="shared" si="16"/>
        <v>140</v>
      </c>
      <c r="T96" s="454">
        <f t="shared" si="16"/>
        <v>140</v>
      </c>
      <c r="U96" s="454">
        <f t="shared" si="16"/>
        <v>140</v>
      </c>
      <c r="V96" s="454">
        <f t="shared" si="16"/>
        <v>140</v>
      </c>
      <c r="W96" s="454">
        <f t="shared" si="16"/>
        <v>140</v>
      </c>
      <c r="X96" s="454">
        <f t="shared" si="16"/>
        <v>140</v>
      </c>
      <c r="Y96" s="454">
        <f t="shared" ref="Y96:AH96" si="17">SUM(Y68,Y70,Y72,Y74,Y76,Y78,Y80,Y82,Y84,Y86,Y88,Y90,Y92,Y94)</f>
        <v>140</v>
      </c>
      <c r="Z96" s="454">
        <f t="shared" si="17"/>
        <v>140</v>
      </c>
      <c r="AA96" s="454">
        <f t="shared" si="17"/>
        <v>140</v>
      </c>
      <c r="AB96" s="454">
        <f t="shared" si="17"/>
        <v>140</v>
      </c>
      <c r="AC96" s="454">
        <f t="shared" si="17"/>
        <v>140</v>
      </c>
      <c r="AD96" s="454">
        <f t="shared" si="17"/>
        <v>140</v>
      </c>
      <c r="AE96" s="454">
        <f t="shared" si="17"/>
        <v>140</v>
      </c>
      <c r="AF96" s="454">
        <f t="shared" si="17"/>
        <v>140</v>
      </c>
      <c r="AG96" s="454">
        <f t="shared" si="17"/>
        <v>140</v>
      </c>
      <c r="AH96" s="454">
        <f t="shared" si="17"/>
        <v>140</v>
      </c>
    </row>
    <row r="97" spans="1:34" s="15" customFormat="1" ht="11.25" outlineLevel="1" x14ac:dyDescent="0.2">
      <c r="A97" s="451"/>
      <c r="B97" s="451"/>
      <c r="C97" s="451"/>
      <c r="D97" s="452"/>
      <c r="E97" s="524" t="s">
        <v>184</v>
      </c>
      <c r="F97" s="455"/>
      <c r="G97" s="455"/>
      <c r="H97" s="455"/>
      <c r="I97" s="455"/>
      <c r="J97" s="456"/>
      <c r="K97" s="456"/>
      <c r="L97" s="456"/>
      <c r="M97" s="456"/>
      <c r="N97" s="456"/>
      <c r="O97" s="457">
        <f>SUM(O87:O95,O75,O73,O71,O69,O77,O79,O81,O83,O85)</f>
        <v>180</v>
      </c>
      <c r="P97" s="457">
        <f>SUM(P87:P95,P75,P73,P71,P69,P77,P79,P81,P83,P85)</f>
        <v>180</v>
      </c>
      <c r="Q97" s="457">
        <f>SUM(Q87:Q95,Q75,Q73,Q71,Q69,Q77,Q79,Q81,Q83,Q85)</f>
        <v>180</v>
      </c>
      <c r="R97" s="457">
        <f>SUM(R75,R73,R71,R69,R77,R79,R81,R83,R85,R87,R89,R91,R93,R95)</f>
        <v>140</v>
      </c>
      <c r="S97" s="457">
        <f t="shared" ref="S97:X97" si="18">SUM(S75,S73,S71,S69,S77,S79,S81,S83,S85,S87,S89,S91,S93,S95)</f>
        <v>140</v>
      </c>
      <c r="T97" s="457">
        <f t="shared" si="18"/>
        <v>140</v>
      </c>
      <c r="U97" s="457">
        <f t="shared" si="18"/>
        <v>140</v>
      </c>
      <c r="V97" s="457">
        <f t="shared" si="18"/>
        <v>140</v>
      </c>
      <c r="W97" s="457">
        <f t="shared" si="18"/>
        <v>140</v>
      </c>
      <c r="X97" s="457">
        <f t="shared" si="18"/>
        <v>140</v>
      </c>
      <c r="Y97" s="457">
        <f t="shared" ref="Y97:AH97" si="19">SUM(Y75,Y73,Y71,Y69,Y77,Y79,Y81,Y83,Y85,Y87,Y89,Y91,Y93,Y95)</f>
        <v>140</v>
      </c>
      <c r="Z97" s="457">
        <f t="shared" si="19"/>
        <v>140</v>
      </c>
      <c r="AA97" s="457">
        <f t="shared" si="19"/>
        <v>140</v>
      </c>
      <c r="AB97" s="457">
        <f t="shared" si="19"/>
        <v>140</v>
      </c>
      <c r="AC97" s="457">
        <f t="shared" si="19"/>
        <v>140</v>
      </c>
      <c r="AD97" s="457">
        <f t="shared" si="19"/>
        <v>140</v>
      </c>
      <c r="AE97" s="457">
        <f t="shared" si="19"/>
        <v>140</v>
      </c>
      <c r="AF97" s="457">
        <f t="shared" si="19"/>
        <v>140</v>
      </c>
      <c r="AG97" s="457">
        <f t="shared" si="19"/>
        <v>140</v>
      </c>
      <c r="AH97" s="457">
        <f t="shared" si="19"/>
        <v>140</v>
      </c>
    </row>
    <row r="98" spans="1:34" s="15" customFormat="1" ht="11.25" outlineLevel="1" x14ac:dyDescent="0.2">
      <c r="A98" s="451"/>
      <c r="B98" s="451"/>
      <c r="C98" s="451"/>
      <c r="D98" s="452"/>
      <c r="E98" s="525" t="s">
        <v>183</v>
      </c>
      <c r="F98" s="458"/>
      <c r="G98" s="458"/>
      <c r="H98" s="458"/>
      <c r="I98" s="458"/>
      <c r="J98" s="457"/>
      <c r="K98" s="457"/>
      <c r="L98" s="457"/>
      <c r="M98" s="457"/>
      <c r="N98" s="457"/>
      <c r="O98" s="459">
        <f>SUM(O68:O94)</f>
        <v>270</v>
      </c>
      <c r="P98" s="459">
        <f t="shared" ref="P98:X98" si="20">SUM(P96:P97)</f>
        <v>360</v>
      </c>
      <c r="Q98" s="459">
        <f t="shared" si="20"/>
        <v>360</v>
      </c>
      <c r="R98" s="459">
        <f t="shared" si="20"/>
        <v>280</v>
      </c>
      <c r="S98" s="459">
        <f t="shared" si="20"/>
        <v>280</v>
      </c>
      <c r="T98" s="459">
        <f t="shared" si="20"/>
        <v>280</v>
      </c>
      <c r="U98" s="459">
        <f t="shared" si="20"/>
        <v>280</v>
      </c>
      <c r="V98" s="459">
        <f t="shared" si="20"/>
        <v>280</v>
      </c>
      <c r="W98" s="459">
        <f t="shared" si="20"/>
        <v>280</v>
      </c>
      <c r="X98" s="459">
        <f t="shared" si="20"/>
        <v>280</v>
      </c>
      <c r="Y98" s="459">
        <f t="shared" ref="Y98:AH98" si="21">SUM(Y96:Y97)</f>
        <v>280</v>
      </c>
      <c r="Z98" s="459">
        <f t="shared" si="21"/>
        <v>280</v>
      </c>
      <c r="AA98" s="459">
        <f t="shared" si="21"/>
        <v>280</v>
      </c>
      <c r="AB98" s="459">
        <f t="shared" si="21"/>
        <v>280</v>
      </c>
      <c r="AC98" s="459">
        <f t="shared" si="21"/>
        <v>280</v>
      </c>
      <c r="AD98" s="459">
        <f t="shared" si="21"/>
        <v>280</v>
      </c>
      <c r="AE98" s="459">
        <f t="shared" si="21"/>
        <v>280</v>
      </c>
      <c r="AF98" s="459">
        <f t="shared" si="21"/>
        <v>280</v>
      </c>
      <c r="AG98" s="459">
        <f t="shared" si="21"/>
        <v>280</v>
      </c>
      <c r="AH98" s="459">
        <f t="shared" si="21"/>
        <v>280</v>
      </c>
    </row>
    <row r="99" spans="1:34" ht="3" customHeight="1" outlineLevel="1" x14ac:dyDescent="0.2"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64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</row>
    <row r="100" spans="1:34" ht="12.75" customHeight="1" outlineLevel="1" x14ac:dyDescent="0.2">
      <c r="E100" s="514" t="s">
        <v>43</v>
      </c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</row>
    <row r="101" spans="1:34" ht="11.25" outlineLevel="1" x14ac:dyDescent="0.2">
      <c r="E101" s="44" t="s">
        <v>40</v>
      </c>
      <c r="F101" s="42"/>
      <c r="G101" s="42"/>
      <c r="H101" s="42"/>
      <c r="I101" s="42"/>
      <c r="J101" s="38">
        <v>10</v>
      </c>
      <c r="K101" s="38">
        <v>10</v>
      </c>
      <c r="L101" s="38">
        <v>10</v>
      </c>
      <c r="M101" s="38">
        <v>10</v>
      </c>
      <c r="N101" s="38">
        <v>10</v>
      </c>
      <c r="O101" s="38">
        <v>10</v>
      </c>
      <c r="P101" s="38">
        <v>10</v>
      </c>
      <c r="Q101" s="38">
        <v>10</v>
      </c>
      <c r="R101" s="38">
        <v>10</v>
      </c>
      <c r="S101" s="38">
        <v>10</v>
      </c>
      <c r="T101" s="38">
        <v>10</v>
      </c>
      <c r="U101" s="38">
        <f t="shared" ref="T101:AH105" ca="1" si="22">Prior_Year</f>
        <v>10</v>
      </c>
      <c r="V101" s="38">
        <f t="shared" ca="1" si="22"/>
        <v>10</v>
      </c>
      <c r="W101" s="38">
        <f t="shared" ca="1" si="22"/>
        <v>10</v>
      </c>
      <c r="X101" s="38">
        <f t="shared" ca="1" si="22"/>
        <v>10</v>
      </c>
      <c r="Y101" s="38">
        <f t="shared" ca="1" si="22"/>
        <v>10</v>
      </c>
      <c r="Z101" s="38">
        <f t="shared" ca="1" si="22"/>
        <v>10</v>
      </c>
      <c r="AA101" s="38">
        <f t="shared" ca="1" si="22"/>
        <v>10</v>
      </c>
      <c r="AB101" s="38">
        <f t="shared" ca="1" si="22"/>
        <v>10</v>
      </c>
      <c r="AC101" s="38">
        <f t="shared" ca="1" si="22"/>
        <v>10</v>
      </c>
      <c r="AD101" s="38">
        <f t="shared" ca="1" si="22"/>
        <v>10</v>
      </c>
      <c r="AE101" s="38">
        <f t="shared" ca="1" si="22"/>
        <v>10</v>
      </c>
      <c r="AF101" s="38">
        <f t="shared" ca="1" si="22"/>
        <v>10</v>
      </c>
      <c r="AG101" s="38">
        <f t="shared" ca="1" si="22"/>
        <v>10</v>
      </c>
      <c r="AH101" s="38">
        <f t="shared" ca="1" si="22"/>
        <v>10</v>
      </c>
    </row>
    <row r="102" spans="1:34" ht="11.25" outlineLevel="1" x14ac:dyDescent="0.2">
      <c r="E102" s="44" t="s">
        <v>41</v>
      </c>
      <c r="F102" s="42"/>
      <c r="G102" s="42"/>
      <c r="H102" s="42"/>
      <c r="I102" s="42"/>
      <c r="J102" s="38">
        <v>10</v>
      </c>
      <c r="K102" s="38">
        <v>10</v>
      </c>
      <c r="L102" s="38">
        <v>10</v>
      </c>
      <c r="M102" s="38">
        <v>10</v>
      </c>
      <c r="N102" s="38">
        <v>10</v>
      </c>
      <c r="O102" s="38">
        <v>10</v>
      </c>
      <c r="P102" s="38">
        <v>10</v>
      </c>
      <c r="Q102" s="38">
        <v>10</v>
      </c>
      <c r="R102" s="38">
        <v>10</v>
      </c>
      <c r="S102" s="38">
        <v>10</v>
      </c>
      <c r="T102" s="38">
        <v>10</v>
      </c>
      <c r="U102" s="38">
        <f t="shared" ca="1" si="22"/>
        <v>10</v>
      </c>
      <c r="V102" s="38">
        <f t="shared" ca="1" si="22"/>
        <v>10</v>
      </c>
      <c r="W102" s="38">
        <f t="shared" ca="1" si="22"/>
        <v>10</v>
      </c>
      <c r="X102" s="38">
        <f t="shared" ca="1" si="22"/>
        <v>10</v>
      </c>
      <c r="Y102" s="38">
        <f t="shared" ca="1" si="22"/>
        <v>10</v>
      </c>
      <c r="Z102" s="38">
        <f t="shared" ca="1" si="22"/>
        <v>10</v>
      </c>
      <c r="AA102" s="38">
        <f t="shared" ca="1" si="22"/>
        <v>10</v>
      </c>
      <c r="AB102" s="38">
        <f t="shared" ca="1" si="22"/>
        <v>10</v>
      </c>
      <c r="AC102" s="38">
        <f t="shared" ca="1" si="22"/>
        <v>10</v>
      </c>
      <c r="AD102" s="38">
        <f t="shared" ca="1" si="22"/>
        <v>10</v>
      </c>
      <c r="AE102" s="38">
        <f t="shared" ca="1" si="22"/>
        <v>10</v>
      </c>
      <c r="AF102" s="38">
        <f t="shared" ca="1" si="22"/>
        <v>10</v>
      </c>
      <c r="AG102" s="38">
        <f t="shared" ca="1" si="22"/>
        <v>10</v>
      </c>
      <c r="AH102" s="38">
        <f t="shared" ca="1" si="22"/>
        <v>10</v>
      </c>
    </row>
    <row r="103" spans="1:34" ht="11.25" outlineLevel="1" x14ac:dyDescent="0.2">
      <c r="E103" s="44" t="s">
        <v>42</v>
      </c>
      <c r="F103" s="42"/>
      <c r="G103" s="42"/>
      <c r="H103" s="42"/>
      <c r="I103" s="42"/>
      <c r="J103" s="38">
        <v>10</v>
      </c>
      <c r="K103" s="38">
        <v>10</v>
      </c>
      <c r="L103" s="38">
        <v>10</v>
      </c>
      <c r="M103" s="38">
        <v>10</v>
      </c>
      <c r="N103" s="38">
        <v>10</v>
      </c>
      <c r="O103" s="38">
        <v>10</v>
      </c>
      <c r="P103" s="38">
        <v>10</v>
      </c>
      <c r="Q103" s="38">
        <v>10</v>
      </c>
      <c r="R103" s="38">
        <v>10</v>
      </c>
      <c r="S103" s="38">
        <v>10</v>
      </c>
      <c r="T103" s="38">
        <v>10</v>
      </c>
      <c r="U103" s="38">
        <f t="shared" ca="1" si="22"/>
        <v>10</v>
      </c>
      <c r="V103" s="38">
        <f t="shared" ca="1" si="22"/>
        <v>10</v>
      </c>
      <c r="W103" s="38">
        <f t="shared" ca="1" si="22"/>
        <v>10</v>
      </c>
      <c r="X103" s="38">
        <f t="shared" ca="1" si="22"/>
        <v>10</v>
      </c>
      <c r="Y103" s="38">
        <f t="shared" ca="1" si="22"/>
        <v>10</v>
      </c>
      <c r="Z103" s="38">
        <f t="shared" ca="1" si="22"/>
        <v>10</v>
      </c>
      <c r="AA103" s="38">
        <f t="shared" ca="1" si="22"/>
        <v>10</v>
      </c>
      <c r="AB103" s="38">
        <f t="shared" ca="1" si="22"/>
        <v>10</v>
      </c>
      <c r="AC103" s="38">
        <f t="shared" ca="1" si="22"/>
        <v>10</v>
      </c>
      <c r="AD103" s="38">
        <f t="shared" ca="1" si="22"/>
        <v>10</v>
      </c>
      <c r="AE103" s="38">
        <f t="shared" ca="1" si="22"/>
        <v>10</v>
      </c>
      <c r="AF103" s="38">
        <f t="shared" ca="1" si="22"/>
        <v>10</v>
      </c>
      <c r="AG103" s="38">
        <f t="shared" ca="1" si="22"/>
        <v>10</v>
      </c>
      <c r="AH103" s="38">
        <f t="shared" ca="1" si="22"/>
        <v>10</v>
      </c>
    </row>
    <row r="104" spans="1:34" ht="11.25" outlineLevel="1" x14ac:dyDescent="0.2">
      <c r="E104" s="44" t="s">
        <v>277</v>
      </c>
      <c r="F104" s="42"/>
      <c r="G104" s="42"/>
      <c r="H104" s="42"/>
      <c r="I104" s="42"/>
      <c r="J104" s="38">
        <v>10</v>
      </c>
      <c r="K104" s="38">
        <v>10</v>
      </c>
      <c r="L104" s="38">
        <v>10</v>
      </c>
      <c r="M104" s="38">
        <v>10</v>
      </c>
      <c r="N104" s="38">
        <v>10</v>
      </c>
      <c r="O104" s="38">
        <v>10</v>
      </c>
      <c r="P104" s="38">
        <v>10</v>
      </c>
      <c r="Q104" s="38">
        <v>10</v>
      </c>
      <c r="R104" s="38">
        <v>10</v>
      </c>
      <c r="S104" s="38">
        <v>10</v>
      </c>
      <c r="T104" s="38">
        <v>10</v>
      </c>
      <c r="U104" s="38">
        <f t="shared" ca="1" si="22"/>
        <v>10</v>
      </c>
      <c r="V104" s="38">
        <f t="shared" ca="1" si="22"/>
        <v>10</v>
      </c>
      <c r="W104" s="38">
        <f t="shared" ca="1" si="22"/>
        <v>10</v>
      </c>
      <c r="X104" s="38">
        <f t="shared" ca="1" si="22"/>
        <v>10</v>
      </c>
      <c r="Y104" s="38">
        <f t="shared" ca="1" si="22"/>
        <v>10</v>
      </c>
      <c r="Z104" s="38">
        <f t="shared" ca="1" si="22"/>
        <v>10</v>
      </c>
      <c r="AA104" s="38">
        <f t="shared" ca="1" si="22"/>
        <v>10</v>
      </c>
      <c r="AB104" s="38">
        <f t="shared" ca="1" si="22"/>
        <v>10</v>
      </c>
      <c r="AC104" s="38">
        <f t="shared" ca="1" si="22"/>
        <v>10</v>
      </c>
      <c r="AD104" s="38">
        <f t="shared" ca="1" si="22"/>
        <v>10</v>
      </c>
      <c r="AE104" s="38">
        <f t="shared" ca="1" si="22"/>
        <v>10</v>
      </c>
      <c r="AF104" s="38">
        <f t="shared" ca="1" si="22"/>
        <v>10</v>
      </c>
      <c r="AG104" s="38">
        <f t="shared" ca="1" si="22"/>
        <v>10</v>
      </c>
      <c r="AH104" s="38">
        <f t="shared" ca="1" si="22"/>
        <v>10</v>
      </c>
    </row>
    <row r="105" spans="1:34" ht="11.25" outlineLevel="1" x14ac:dyDescent="0.2">
      <c r="E105" s="44" t="s">
        <v>319</v>
      </c>
      <c r="F105" s="42"/>
      <c r="G105" s="42"/>
      <c r="H105" s="42"/>
      <c r="I105" s="42"/>
      <c r="J105" s="38">
        <v>10</v>
      </c>
      <c r="K105" s="38">
        <v>10</v>
      </c>
      <c r="L105" s="38">
        <v>10</v>
      </c>
      <c r="M105" s="38">
        <v>10</v>
      </c>
      <c r="N105" s="38">
        <v>10</v>
      </c>
      <c r="O105" s="38">
        <v>10</v>
      </c>
      <c r="P105" s="38">
        <v>10</v>
      </c>
      <c r="Q105" s="38">
        <v>10</v>
      </c>
      <c r="R105" s="38">
        <v>10</v>
      </c>
      <c r="S105" s="38">
        <v>10</v>
      </c>
      <c r="T105" s="38">
        <v>10</v>
      </c>
      <c r="U105" s="38">
        <f t="shared" ca="1" si="22"/>
        <v>10</v>
      </c>
      <c r="V105" s="38">
        <f t="shared" ca="1" si="22"/>
        <v>10</v>
      </c>
      <c r="W105" s="38">
        <f t="shared" ca="1" si="22"/>
        <v>10</v>
      </c>
      <c r="X105" s="38">
        <f t="shared" ca="1" si="22"/>
        <v>10</v>
      </c>
      <c r="Y105" s="38">
        <f t="shared" ca="1" si="22"/>
        <v>10</v>
      </c>
      <c r="Z105" s="38">
        <f t="shared" ca="1" si="22"/>
        <v>10</v>
      </c>
      <c r="AA105" s="38">
        <f t="shared" ca="1" si="22"/>
        <v>10</v>
      </c>
      <c r="AB105" s="38">
        <f t="shared" ca="1" si="22"/>
        <v>10</v>
      </c>
      <c r="AC105" s="38">
        <f t="shared" ca="1" si="22"/>
        <v>10</v>
      </c>
      <c r="AD105" s="38">
        <f t="shared" ca="1" si="22"/>
        <v>10</v>
      </c>
      <c r="AE105" s="38">
        <f t="shared" ca="1" si="22"/>
        <v>10</v>
      </c>
      <c r="AF105" s="38">
        <f t="shared" ca="1" si="22"/>
        <v>10</v>
      </c>
      <c r="AG105" s="38">
        <f t="shared" ca="1" si="22"/>
        <v>10</v>
      </c>
      <c r="AH105" s="38">
        <f t="shared" ca="1" si="22"/>
        <v>10</v>
      </c>
    </row>
    <row r="106" spans="1:34" ht="11.25" outlineLevel="1" x14ac:dyDescent="0.2">
      <c r="E106" s="44" t="s">
        <v>321</v>
      </c>
      <c r="F106" s="42"/>
      <c r="G106" s="42"/>
      <c r="H106" s="42"/>
      <c r="I106" s="42"/>
      <c r="J106" s="38">
        <v>10</v>
      </c>
      <c r="K106" s="38">
        <v>10</v>
      </c>
      <c r="L106" s="38">
        <v>10</v>
      </c>
      <c r="M106" s="38">
        <v>10</v>
      </c>
      <c r="N106" s="38">
        <v>10</v>
      </c>
      <c r="O106" s="38">
        <v>10</v>
      </c>
      <c r="P106" s="38">
        <v>10</v>
      </c>
      <c r="Q106" s="38">
        <v>10</v>
      </c>
      <c r="R106" s="38">
        <v>10</v>
      </c>
      <c r="S106" s="38">
        <v>10</v>
      </c>
      <c r="T106" s="38">
        <v>10</v>
      </c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</row>
    <row r="107" spans="1:34" ht="11.25" outlineLevel="1" x14ac:dyDescent="0.2">
      <c r="E107" s="44" t="s">
        <v>280</v>
      </c>
      <c r="F107" s="42"/>
      <c r="G107" s="42"/>
      <c r="H107" s="42"/>
      <c r="I107" s="42"/>
      <c r="J107" s="38">
        <v>10</v>
      </c>
      <c r="K107" s="38">
        <v>10</v>
      </c>
      <c r="L107" s="38">
        <v>10</v>
      </c>
      <c r="M107" s="38">
        <v>10</v>
      </c>
      <c r="N107" s="38">
        <v>10</v>
      </c>
      <c r="O107" s="38">
        <v>10</v>
      </c>
      <c r="P107" s="38">
        <v>10</v>
      </c>
      <c r="Q107" s="38">
        <v>10</v>
      </c>
      <c r="R107" s="38">
        <v>10</v>
      </c>
      <c r="S107" s="38">
        <v>10</v>
      </c>
      <c r="T107" s="38">
        <v>10</v>
      </c>
      <c r="U107" s="38">
        <f t="shared" ref="T107:AH109" ca="1" si="23">Prior_Year</f>
        <v>10</v>
      </c>
      <c r="V107" s="38">
        <f t="shared" ca="1" si="23"/>
        <v>10</v>
      </c>
      <c r="W107" s="38">
        <f t="shared" ca="1" si="23"/>
        <v>10</v>
      </c>
      <c r="X107" s="38">
        <f t="shared" ca="1" si="23"/>
        <v>10</v>
      </c>
      <c r="Y107" s="38">
        <f t="shared" ca="1" si="23"/>
        <v>10</v>
      </c>
      <c r="Z107" s="38">
        <f t="shared" ca="1" si="23"/>
        <v>10</v>
      </c>
      <c r="AA107" s="38">
        <f t="shared" ca="1" si="23"/>
        <v>10</v>
      </c>
      <c r="AB107" s="38">
        <f t="shared" ca="1" si="23"/>
        <v>10</v>
      </c>
      <c r="AC107" s="38">
        <f t="shared" ca="1" si="23"/>
        <v>10</v>
      </c>
      <c r="AD107" s="38">
        <f t="shared" ca="1" si="23"/>
        <v>10</v>
      </c>
      <c r="AE107" s="38">
        <f t="shared" ca="1" si="23"/>
        <v>10</v>
      </c>
      <c r="AF107" s="38">
        <f t="shared" ca="1" si="23"/>
        <v>10</v>
      </c>
      <c r="AG107" s="38">
        <f t="shared" ca="1" si="23"/>
        <v>10</v>
      </c>
      <c r="AH107" s="38">
        <f t="shared" ca="1" si="23"/>
        <v>10</v>
      </c>
    </row>
    <row r="108" spans="1:34" ht="11.25" outlineLevel="1" x14ac:dyDescent="0.2">
      <c r="E108" s="44" t="s">
        <v>278</v>
      </c>
      <c r="F108" s="42"/>
      <c r="G108" s="42"/>
      <c r="H108" s="42"/>
      <c r="I108" s="42"/>
      <c r="J108" s="38">
        <v>10</v>
      </c>
      <c r="K108" s="38">
        <v>10</v>
      </c>
      <c r="L108" s="38">
        <v>10</v>
      </c>
      <c r="M108" s="38">
        <v>10</v>
      </c>
      <c r="N108" s="38">
        <v>10</v>
      </c>
      <c r="O108" s="38">
        <v>10</v>
      </c>
      <c r="P108" s="38">
        <v>10</v>
      </c>
      <c r="Q108" s="38">
        <v>10</v>
      </c>
      <c r="R108" s="38">
        <v>10</v>
      </c>
      <c r="S108" s="38">
        <v>10</v>
      </c>
      <c r="T108" s="38">
        <v>10</v>
      </c>
      <c r="U108" s="38">
        <f t="shared" ca="1" si="23"/>
        <v>10</v>
      </c>
      <c r="V108" s="38">
        <f t="shared" ca="1" si="23"/>
        <v>10</v>
      </c>
      <c r="W108" s="38">
        <f t="shared" ca="1" si="23"/>
        <v>10</v>
      </c>
      <c r="X108" s="38">
        <f t="shared" ca="1" si="23"/>
        <v>10</v>
      </c>
      <c r="Y108" s="38">
        <f t="shared" ca="1" si="23"/>
        <v>10</v>
      </c>
      <c r="Z108" s="38">
        <f t="shared" ca="1" si="23"/>
        <v>10</v>
      </c>
      <c r="AA108" s="38">
        <f t="shared" ca="1" si="23"/>
        <v>10</v>
      </c>
      <c r="AB108" s="38">
        <f t="shared" ca="1" si="23"/>
        <v>10</v>
      </c>
      <c r="AC108" s="38">
        <f t="shared" ca="1" si="23"/>
        <v>10</v>
      </c>
      <c r="AD108" s="38">
        <f t="shared" ca="1" si="23"/>
        <v>10</v>
      </c>
      <c r="AE108" s="38">
        <f t="shared" ca="1" si="23"/>
        <v>10</v>
      </c>
      <c r="AF108" s="38">
        <f t="shared" ca="1" si="23"/>
        <v>10</v>
      </c>
      <c r="AG108" s="38">
        <f t="shared" ca="1" si="23"/>
        <v>10</v>
      </c>
      <c r="AH108" s="38">
        <f t="shared" ca="1" si="23"/>
        <v>10</v>
      </c>
    </row>
    <row r="109" spans="1:34" ht="11.25" outlineLevel="1" x14ac:dyDescent="0.2">
      <c r="E109" s="44" t="s">
        <v>106</v>
      </c>
      <c r="F109" s="42"/>
      <c r="G109" s="42"/>
      <c r="H109" s="42"/>
      <c r="I109" s="42"/>
      <c r="J109" s="38">
        <v>10</v>
      </c>
      <c r="K109" s="38">
        <v>10</v>
      </c>
      <c r="L109" s="38">
        <v>10</v>
      </c>
      <c r="M109" s="38">
        <v>10</v>
      </c>
      <c r="N109" s="38">
        <v>10</v>
      </c>
      <c r="O109" s="38">
        <v>10</v>
      </c>
      <c r="P109" s="38">
        <v>10</v>
      </c>
      <c r="Q109" s="38">
        <v>10</v>
      </c>
      <c r="R109" s="38">
        <v>10</v>
      </c>
      <c r="S109" s="38">
        <v>10</v>
      </c>
      <c r="T109" s="38">
        <v>10</v>
      </c>
      <c r="U109" s="38">
        <f t="shared" ca="1" si="23"/>
        <v>10</v>
      </c>
      <c r="V109" s="38">
        <f t="shared" ca="1" si="23"/>
        <v>10</v>
      </c>
      <c r="W109" s="38">
        <f t="shared" ca="1" si="23"/>
        <v>10</v>
      </c>
      <c r="X109" s="38">
        <f t="shared" ca="1" si="23"/>
        <v>10</v>
      </c>
      <c r="Y109" s="38">
        <f t="shared" ca="1" si="23"/>
        <v>10</v>
      </c>
      <c r="Z109" s="38">
        <f t="shared" ca="1" si="23"/>
        <v>10</v>
      </c>
      <c r="AA109" s="38">
        <f t="shared" ca="1" si="23"/>
        <v>10</v>
      </c>
      <c r="AB109" s="38">
        <f t="shared" ca="1" si="23"/>
        <v>10</v>
      </c>
      <c r="AC109" s="38">
        <f t="shared" ca="1" si="23"/>
        <v>10</v>
      </c>
      <c r="AD109" s="38">
        <f t="shared" ca="1" si="23"/>
        <v>10</v>
      </c>
      <c r="AE109" s="38">
        <f t="shared" ca="1" si="23"/>
        <v>10</v>
      </c>
      <c r="AF109" s="38">
        <f t="shared" ca="1" si="23"/>
        <v>10</v>
      </c>
      <c r="AG109" s="38">
        <f t="shared" ca="1" si="23"/>
        <v>10</v>
      </c>
      <c r="AH109" s="38">
        <f t="shared" ca="1" si="23"/>
        <v>10</v>
      </c>
    </row>
    <row r="110" spans="1:34" s="15" customFormat="1" ht="11.25" outlineLevel="1" x14ac:dyDescent="0.2">
      <c r="A110" s="451"/>
      <c r="B110" s="451"/>
      <c r="C110" s="451"/>
      <c r="D110" s="452"/>
      <c r="E110" s="523" t="s">
        <v>101</v>
      </c>
      <c r="F110" s="453"/>
      <c r="G110" s="453"/>
      <c r="H110" s="453"/>
      <c r="I110" s="453"/>
      <c r="J110" s="454">
        <f>J107+J101+J102+J103</f>
        <v>40</v>
      </c>
      <c r="K110" s="454">
        <f>K107+K101+K102+K103</f>
        <v>40</v>
      </c>
      <c r="L110" s="454">
        <f>L107+L101+L102+L103</f>
        <v>40</v>
      </c>
      <c r="M110" s="454">
        <f>M107+M101+M102+M103</f>
        <v>40</v>
      </c>
      <c r="N110" s="454">
        <f>N107+N101+N102+N103</f>
        <v>40</v>
      </c>
      <c r="O110" s="454">
        <f t="shared" ref="O110:X110" si="24">SUM(O101:O109)</f>
        <v>90</v>
      </c>
      <c r="P110" s="454">
        <f t="shared" si="24"/>
        <v>90</v>
      </c>
      <c r="Q110" s="454">
        <f t="shared" si="24"/>
        <v>90</v>
      </c>
      <c r="R110" s="454">
        <f>SUM(R101:R109)</f>
        <v>90</v>
      </c>
      <c r="S110" s="454">
        <f t="shared" si="24"/>
        <v>90</v>
      </c>
      <c r="T110" s="454">
        <f t="shared" si="24"/>
        <v>90</v>
      </c>
      <c r="U110" s="454">
        <f t="shared" ca="1" si="24"/>
        <v>80</v>
      </c>
      <c r="V110" s="454">
        <f t="shared" ca="1" si="24"/>
        <v>80</v>
      </c>
      <c r="W110" s="454">
        <f t="shared" ca="1" si="24"/>
        <v>80</v>
      </c>
      <c r="X110" s="454">
        <f t="shared" ca="1" si="24"/>
        <v>80</v>
      </c>
      <c r="Y110" s="454">
        <f t="shared" ref="Y110:AH110" ca="1" si="25">SUM(Y101:Y109)</f>
        <v>80</v>
      </c>
      <c r="Z110" s="454">
        <f t="shared" ca="1" si="25"/>
        <v>80</v>
      </c>
      <c r="AA110" s="454">
        <f t="shared" ca="1" si="25"/>
        <v>80</v>
      </c>
      <c r="AB110" s="454">
        <f t="shared" ca="1" si="25"/>
        <v>80</v>
      </c>
      <c r="AC110" s="454">
        <f t="shared" ca="1" si="25"/>
        <v>80</v>
      </c>
      <c r="AD110" s="454">
        <f t="shared" ca="1" si="25"/>
        <v>80</v>
      </c>
      <c r="AE110" s="454">
        <f t="shared" ca="1" si="25"/>
        <v>80</v>
      </c>
      <c r="AF110" s="454">
        <f t="shared" ca="1" si="25"/>
        <v>80</v>
      </c>
      <c r="AG110" s="454">
        <f t="shared" ca="1" si="25"/>
        <v>80</v>
      </c>
      <c r="AH110" s="454">
        <f t="shared" ca="1" si="25"/>
        <v>80</v>
      </c>
    </row>
    <row r="111" spans="1:34" ht="12" outlineLevel="1" thickBot="1" x14ac:dyDescent="0.25">
      <c r="D111" s="134"/>
      <c r="E111" s="136"/>
      <c r="F111" s="135"/>
      <c r="G111" s="135"/>
      <c r="H111" s="135"/>
      <c r="I111" s="135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</row>
    <row r="112" spans="1:34" ht="9" customHeight="1" x14ac:dyDescent="0.2">
      <c r="E112" s="63"/>
      <c r="F112" s="64"/>
      <c r="G112" s="64"/>
      <c r="H112" s="64"/>
      <c r="I112" s="64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</row>
    <row r="113" spans="4:34" ht="11.25" x14ac:dyDescent="0.2">
      <c r="E113" s="15" t="s">
        <v>302</v>
      </c>
      <c r="J113" s="24"/>
      <c r="K113" s="24"/>
      <c r="L113" s="24"/>
      <c r="M113" s="20"/>
      <c r="N113" s="24"/>
      <c r="O113" s="494">
        <v>2011</v>
      </c>
      <c r="P113" s="494">
        <f>O113+1</f>
        <v>2012</v>
      </c>
      <c r="Q113" s="494">
        <f t="shared" ref="Q113:X113" si="26">P113+1</f>
        <v>2013</v>
      </c>
      <c r="R113" s="494">
        <f t="shared" si="26"/>
        <v>2014</v>
      </c>
      <c r="S113" s="494">
        <f t="shared" si="26"/>
        <v>2015</v>
      </c>
      <c r="T113" s="494">
        <f t="shared" si="26"/>
        <v>2016</v>
      </c>
      <c r="U113" s="494">
        <f t="shared" si="26"/>
        <v>2017</v>
      </c>
      <c r="V113" s="494">
        <f t="shared" si="26"/>
        <v>2018</v>
      </c>
      <c r="W113" s="494">
        <f t="shared" si="26"/>
        <v>2019</v>
      </c>
      <c r="X113" s="494">
        <f t="shared" si="26"/>
        <v>2020</v>
      </c>
      <c r="Y113" s="494">
        <f t="shared" ref="Y113:AH113" si="27">X113+1</f>
        <v>2021</v>
      </c>
      <c r="Z113" s="494">
        <f t="shared" si="27"/>
        <v>2022</v>
      </c>
      <c r="AA113" s="494">
        <f t="shared" si="27"/>
        <v>2023</v>
      </c>
      <c r="AB113" s="494">
        <f t="shared" si="27"/>
        <v>2024</v>
      </c>
      <c r="AC113" s="494">
        <f t="shared" si="27"/>
        <v>2025</v>
      </c>
      <c r="AD113" s="494">
        <f t="shared" si="27"/>
        <v>2026</v>
      </c>
      <c r="AE113" s="494">
        <f t="shared" si="27"/>
        <v>2027</v>
      </c>
      <c r="AF113" s="494">
        <f t="shared" si="27"/>
        <v>2028</v>
      </c>
      <c r="AG113" s="494">
        <f t="shared" si="27"/>
        <v>2029</v>
      </c>
      <c r="AH113" s="494">
        <f t="shared" si="27"/>
        <v>2030</v>
      </c>
    </row>
    <row r="114" spans="4:34" ht="11.25" x14ac:dyDescent="0.2">
      <c r="E114" s="515" t="s">
        <v>307</v>
      </c>
      <c r="F114" s="67"/>
      <c r="G114" s="67"/>
      <c r="H114" s="67"/>
      <c r="I114" s="67"/>
      <c r="J114" s="70"/>
      <c r="K114" s="70"/>
      <c r="L114" s="70"/>
      <c r="M114" s="71"/>
      <c r="N114" s="70"/>
      <c r="O114" s="70"/>
      <c r="P114" s="122">
        <v>0.98599999999999999</v>
      </c>
      <c r="Q114" s="123">
        <v>2.1000000000000001E-2</v>
      </c>
      <c r="R114" s="123">
        <f>-R117/(R118-R117)</f>
        <v>1.6429314210956832E-2</v>
      </c>
      <c r="S114" s="123">
        <v>3.342370016312933E-2</v>
      </c>
      <c r="T114" s="123">
        <v>0.03</v>
      </c>
      <c r="U114" s="123">
        <v>0.03</v>
      </c>
      <c r="V114" s="123">
        <v>0.03</v>
      </c>
      <c r="W114" s="123">
        <v>0.03</v>
      </c>
      <c r="X114" s="123">
        <v>0.03</v>
      </c>
      <c r="Y114" s="123">
        <v>0.03</v>
      </c>
      <c r="Z114" s="123">
        <v>0.03</v>
      </c>
      <c r="AA114" s="123">
        <v>0.03</v>
      </c>
      <c r="AB114" s="123">
        <v>0.03</v>
      </c>
      <c r="AC114" s="123">
        <v>0.03</v>
      </c>
      <c r="AD114" s="123">
        <v>0.03</v>
      </c>
      <c r="AE114" s="123">
        <v>0.03</v>
      </c>
      <c r="AF114" s="123">
        <v>0.03</v>
      </c>
      <c r="AG114" s="123">
        <v>0.03</v>
      </c>
      <c r="AH114" s="123">
        <v>0.03</v>
      </c>
    </row>
    <row r="115" spans="4:34" ht="14.45" customHeight="1" x14ac:dyDescent="0.2">
      <c r="E115" s="516" t="s">
        <v>303</v>
      </c>
      <c r="F115" s="67"/>
      <c r="G115" s="67"/>
      <c r="H115" s="67"/>
      <c r="I115" s="67"/>
      <c r="J115" s="70"/>
      <c r="K115" s="70"/>
      <c r="L115" s="70"/>
      <c r="M115" s="71"/>
      <c r="N115" s="70"/>
      <c r="O115" s="70"/>
      <c r="P115" s="481"/>
      <c r="Q115" s="68">
        <f t="shared" ref="Q115:AH115" si="28">(enr_UG_total)*fee_Tuition/1000</f>
        <v>110</v>
      </c>
      <c r="R115" s="540">
        <f t="shared" si="28"/>
        <v>110</v>
      </c>
      <c r="S115" s="540">
        <f t="shared" si="28"/>
        <v>121</v>
      </c>
      <c r="T115" s="540">
        <f t="shared" ca="1" si="28"/>
        <v>133.32</v>
      </c>
      <c r="U115" s="540">
        <f t="shared" ca="1" si="28"/>
        <v>145.87430000000001</v>
      </c>
      <c r="V115" s="540">
        <f t="shared" ca="1" si="28"/>
        <v>158.66635400000001</v>
      </c>
      <c r="W115" s="540">
        <f t="shared" ca="1" si="28"/>
        <v>171.69966165</v>
      </c>
      <c r="X115" s="540">
        <f t="shared" ca="1" si="28"/>
        <v>184.97776881760001</v>
      </c>
      <c r="Y115" s="540">
        <f t="shared" ca="1" si="28"/>
        <v>198.50426816238701</v>
      </c>
      <c r="Z115" s="540">
        <f t="shared" ca="1" si="28"/>
        <v>212.282799717188</v>
      </c>
      <c r="AA115" s="540">
        <f t="shared" ca="1" si="28"/>
        <v>226.31705147626877</v>
      </c>
      <c r="AB115" s="540">
        <f t="shared" ca="1" si="28"/>
        <v>240.61075999055939</v>
      </c>
      <c r="AC115" s="540">
        <f t="shared" ca="1" si="28"/>
        <v>255.16771096998826</v>
      </c>
      <c r="AD115" s="540">
        <f t="shared" ca="1" si="28"/>
        <v>269.99173989300664</v>
      </c>
      <c r="AE115" s="540">
        <f t="shared" ca="1" si="28"/>
        <v>285.08673262338834</v>
      </c>
      <c r="AF115" s="540">
        <f t="shared" ca="1" si="28"/>
        <v>300.45662603438842</v>
      </c>
      <c r="AG115" s="540">
        <f t="shared" ca="1" si="28"/>
        <v>316.10540864034613</v>
      </c>
      <c r="AH115" s="540">
        <f t="shared" ca="1" si="28"/>
        <v>332.0371212358196</v>
      </c>
    </row>
    <row r="116" spans="4:34" ht="14.45" customHeight="1" x14ac:dyDescent="0.2">
      <c r="E116" s="516" t="s">
        <v>304</v>
      </c>
      <c r="F116" s="67"/>
      <c r="G116" s="67"/>
      <c r="H116" s="67"/>
      <c r="I116" s="67"/>
      <c r="J116" s="70"/>
      <c r="K116" s="70"/>
      <c r="L116" s="70"/>
      <c r="M116" s="71"/>
      <c r="N116" s="70"/>
      <c r="O116" s="70"/>
      <c r="P116" s="481"/>
      <c r="Q116" s="68">
        <f t="shared" ref="Q116:AH116" si="29">(enr_Grad_Acad+enr_Grad_Prof)*fee_Tuition/1000</f>
        <v>97.775000000000006</v>
      </c>
      <c r="R116" s="540">
        <f>(enr_Grad_Acad+enr_Grad_Prof)*fee_Tuition/1000</f>
        <v>89.12</v>
      </c>
      <c r="S116" s="540">
        <f>(enr_Grad_Acad+enr_Grad_Prof)*fee_Tuition/1000</f>
        <v>5.3</v>
      </c>
      <c r="T116" s="540">
        <f t="shared" ca="1" si="29"/>
        <v>5.3529999999999998</v>
      </c>
      <c r="U116" s="540">
        <f t="shared" ca="1" si="29"/>
        <v>5.4065300000000009</v>
      </c>
      <c r="V116" s="540">
        <f t="shared" ca="1" si="29"/>
        <v>5.4605952999999996</v>
      </c>
      <c r="W116" s="540">
        <f t="shared" ca="1" si="29"/>
        <v>5.5152012529999999</v>
      </c>
      <c r="X116" s="540">
        <f t="shared" ca="1" si="29"/>
        <v>5.5703532655300005</v>
      </c>
      <c r="Y116" s="540">
        <f t="shared" ca="1" si="29"/>
        <v>5.6260567981853002</v>
      </c>
      <c r="Z116" s="540">
        <f t="shared" ca="1" si="29"/>
        <v>5.6823173661671538</v>
      </c>
      <c r="AA116" s="540">
        <f t="shared" ca="1" si="29"/>
        <v>5.7391405398288251</v>
      </c>
      <c r="AB116" s="540">
        <f t="shared" ca="1" si="29"/>
        <v>5.7965319452271133</v>
      </c>
      <c r="AC116" s="540">
        <f t="shared" ca="1" si="29"/>
        <v>5.8544972646793845</v>
      </c>
      <c r="AD116" s="540">
        <f t="shared" ca="1" si="29"/>
        <v>5.9130422373261782</v>
      </c>
      <c r="AE116" s="540">
        <f t="shared" ca="1" si="29"/>
        <v>5.9721726596994404</v>
      </c>
      <c r="AF116" s="540">
        <f t="shared" ca="1" si="29"/>
        <v>6.0318943862964343</v>
      </c>
      <c r="AG116" s="540">
        <f t="shared" ca="1" si="29"/>
        <v>6.0922133301593986</v>
      </c>
      <c r="AH116" s="540">
        <f t="shared" ca="1" si="29"/>
        <v>6.1531354634609929</v>
      </c>
    </row>
    <row r="117" spans="4:34" ht="14.45" customHeight="1" x14ac:dyDescent="0.2">
      <c r="E117" s="516" t="s">
        <v>305</v>
      </c>
      <c r="F117" s="67"/>
      <c r="G117" s="67"/>
      <c r="H117" s="67"/>
      <c r="I117" s="67"/>
      <c r="J117" s="70"/>
      <c r="K117" s="70"/>
      <c r="L117" s="70"/>
      <c r="M117" s="71"/>
      <c r="N117" s="70"/>
      <c r="O117" s="70"/>
      <c r="P117" s="481"/>
      <c r="Q117" s="482">
        <f t="shared" ref="Q117:X117" si="30">-SUM(Q115:Q116)*fee_Discount_Factor</f>
        <v>-4.3632750000000007</v>
      </c>
      <c r="R117" s="541">
        <f>-6367</f>
        <v>-6367</v>
      </c>
      <c r="S117" s="541">
        <f t="shared" si="30"/>
        <v>-4.2214133306032346</v>
      </c>
      <c r="T117" s="541">
        <f t="shared" ca="1" si="30"/>
        <v>-4.1601900000000001</v>
      </c>
      <c r="U117" s="541">
        <f t="shared" ca="1" si="30"/>
        <v>-4.5384248999999999</v>
      </c>
      <c r="V117" s="541">
        <f t="shared" ca="1" si="30"/>
        <v>-4.9238084789999998</v>
      </c>
      <c r="W117" s="541">
        <f t="shared" ca="1" si="30"/>
        <v>-5.3164458870899995</v>
      </c>
      <c r="X117" s="541">
        <f t="shared" ca="1" si="30"/>
        <v>-5.7164436624938997</v>
      </c>
      <c r="Y117" s="541">
        <f t="shared" ref="Y117:AH117" ca="1" si="31">-SUM(Y115:Y116)*fee_Discount_Factor</f>
        <v>-6.1239097488171685</v>
      </c>
      <c r="Z117" s="541">
        <f t="shared" ca="1" si="31"/>
        <v>-6.5389535125006546</v>
      </c>
      <c r="AA117" s="541">
        <f t="shared" ca="1" si="31"/>
        <v>-6.9616857604829283</v>
      </c>
      <c r="AB117" s="541">
        <f t="shared" ca="1" si="31"/>
        <v>-7.3922187580735947</v>
      </c>
      <c r="AC117" s="541">
        <f t="shared" ca="1" si="31"/>
        <v>-7.8306662470400283</v>
      </c>
      <c r="AD117" s="541">
        <f t="shared" ca="1" si="31"/>
        <v>-8.2771434639099848</v>
      </c>
      <c r="AE117" s="541">
        <f t="shared" ca="1" si="31"/>
        <v>-8.731767158492632</v>
      </c>
      <c r="AF117" s="541">
        <f t="shared" ca="1" si="31"/>
        <v>-9.1946556126205454</v>
      </c>
      <c r="AG117" s="541">
        <f t="shared" ca="1" si="31"/>
        <v>-9.6659286591151652</v>
      </c>
      <c r="AH117" s="541">
        <f t="shared" ca="1" si="31"/>
        <v>-10.145707700978418</v>
      </c>
    </row>
    <row r="118" spans="4:34" ht="14.45" customHeight="1" x14ac:dyDescent="0.2">
      <c r="E118" s="515" t="s">
        <v>306</v>
      </c>
      <c r="F118" s="67"/>
      <c r="G118" s="67"/>
      <c r="H118" s="67"/>
      <c r="I118" s="67"/>
      <c r="J118" s="69">
        <v>177724.89355000001</v>
      </c>
      <c r="K118" s="69">
        <v>181168.73362000001</v>
      </c>
      <c r="L118" s="90">
        <v>199476.08291999999</v>
      </c>
      <c r="M118" s="91">
        <v>216167.95971999998</v>
      </c>
      <c r="N118" s="91">
        <v>257645</v>
      </c>
      <c r="O118" s="91">
        <v>319085.36355000001</v>
      </c>
      <c r="P118" s="91">
        <v>378650</v>
      </c>
      <c r="Q118" s="68">
        <v>377776</v>
      </c>
      <c r="R118" s="542">
        <v>381172</v>
      </c>
      <c r="S118" s="542">
        <f t="shared" ref="S118:X118" si="32">SUM(S115:S117)</f>
        <v>122.07858666939676</v>
      </c>
      <c r="T118" s="542">
        <f t="shared" ca="1" si="32"/>
        <v>134.51281</v>
      </c>
      <c r="U118" s="542">
        <f t="shared" ca="1" si="32"/>
        <v>146.74240510000001</v>
      </c>
      <c r="V118" s="542">
        <f t="shared" ca="1" si="32"/>
        <v>159.20314082100001</v>
      </c>
      <c r="W118" s="542">
        <f t="shared" ca="1" si="32"/>
        <v>171.89841701590998</v>
      </c>
      <c r="X118" s="542">
        <f t="shared" ca="1" si="32"/>
        <v>184.83167842063611</v>
      </c>
      <c r="Y118" s="542">
        <f t="shared" ref="Y118:AH118" ca="1" si="33">SUM(Y115:Y117)</f>
        <v>198.00641521175513</v>
      </c>
      <c r="Z118" s="542">
        <f t="shared" ca="1" si="33"/>
        <v>211.4261635708545</v>
      </c>
      <c r="AA118" s="542">
        <f t="shared" ca="1" si="33"/>
        <v>225.09450625561468</v>
      </c>
      <c r="AB118" s="542">
        <f t="shared" ca="1" si="33"/>
        <v>239.01507317771291</v>
      </c>
      <c r="AC118" s="542">
        <f t="shared" ca="1" si="33"/>
        <v>253.1915419876276</v>
      </c>
      <c r="AD118" s="542">
        <f t="shared" ca="1" si="33"/>
        <v>267.62763866642285</v>
      </c>
      <c r="AE118" s="542">
        <f t="shared" ca="1" si="33"/>
        <v>282.32713812459514</v>
      </c>
      <c r="AF118" s="542">
        <f t="shared" ca="1" si="33"/>
        <v>297.29386480806431</v>
      </c>
      <c r="AG118" s="542">
        <f t="shared" ca="1" si="33"/>
        <v>312.53169331139037</v>
      </c>
      <c r="AH118" s="542">
        <f t="shared" ca="1" si="33"/>
        <v>328.04454899830222</v>
      </c>
    </row>
    <row r="119" spans="4:34" s="215" customFormat="1" ht="4.3499999999999996" customHeight="1" x14ac:dyDescent="0.2">
      <c r="D119" s="487"/>
      <c r="E119" s="488"/>
      <c r="J119" s="419"/>
      <c r="K119" s="419"/>
      <c r="L119" s="489"/>
      <c r="M119" s="490"/>
      <c r="N119" s="490"/>
      <c r="O119" s="490"/>
      <c r="P119" s="490"/>
      <c r="Q119" s="160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</row>
    <row r="120" spans="4:34" ht="11.25" x14ac:dyDescent="0.2">
      <c r="E120" s="517" t="s">
        <v>187</v>
      </c>
      <c r="F120" s="76"/>
      <c r="G120" s="76"/>
      <c r="H120" s="76"/>
      <c r="I120" s="76"/>
      <c r="J120" s="77">
        <v>23235.928500000002</v>
      </c>
      <c r="K120" s="77">
        <v>23650.838469999999</v>
      </c>
      <c r="L120" s="88">
        <v>25980.34693</v>
      </c>
      <c r="M120" s="78">
        <v>28930.718049999999</v>
      </c>
      <c r="N120" s="78">
        <v>30583.274699999998</v>
      </c>
      <c r="O120" s="78">
        <v>30429.69601</v>
      </c>
      <c r="P120" s="78">
        <v>33091</v>
      </c>
      <c r="Q120" s="89">
        <v>33028</v>
      </c>
      <c r="R120" s="544">
        <v>33328</v>
      </c>
      <c r="S120" s="544">
        <v>33695</v>
      </c>
      <c r="T120" s="544">
        <f t="shared" ref="T120:AH120" si="34">fee_SSF/1000*(enr_UG_total+enr_Grad_Acad+enr_Grad_Prof)</f>
        <v>137.30000000000001</v>
      </c>
      <c r="U120" s="544">
        <f t="shared" ca="1" si="34"/>
        <v>152.00749999999999</v>
      </c>
      <c r="V120" s="544">
        <f t="shared" ca="1" si="34"/>
        <v>167.36456250000001</v>
      </c>
      <c r="W120" s="544">
        <f t="shared" ca="1" si="34"/>
        <v>183.39447343749995</v>
      </c>
      <c r="X120" s="544">
        <f t="shared" ca="1" si="34"/>
        <v>200.12127707031246</v>
      </c>
      <c r="Y120" s="544">
        <f t="shared" ca="1" si="34"/>
        <v>212.26321886718748</v>
      </c>
      <c r="Z120" s="544">
        <f t="shared" ca="1" si="34"/>
        <v>224.40516066406246</v>
      </c>
      <c r="AA120" s="544">
        <f t="shared" ca="1" si="34"/>
        <v>244.99521326311375</v>
      </c>
      <c r="AB120" s="544">
        <f t="shared" ca="1" si="34"/>
        <v>267.91962245695765</v>
      </c>
      <c r="AC120" s="544">
        <f t="shared" ca="1" si="34"/>
        <v>293.54513799179483</v>
      </c>
      <c r="AD120" s="544">
        <f t="shared" ca="1" si="34"/>
        <v>322.29615929663697</v>
      </c>
      <c r="AE120" s="544">
        <f t="shared" ca="1" si="34"/>
        <v>354.66587565947657</v>
      </c>
      <c r="AF120" s="544">
        <f t="shared" ca="1" si="34"/>
        <v>391.22957653541698</v>
      </c>
      <c r="AG120" s="544">
        <f t="shared" ca="1" si="34"/>
        <v>432.66061435873456</v>
      </c>
      <c r="AH120" s="544">
        <f t="shared" ca="1" si="34"/>
        <v>479.74961192862793</v>
      </c>
    </row>
    <row r="121" spans="4:34" s="42" customFormat="1" ht="11.25" x14ac:dyDescent="0.2">
      <c r="D121" s="85"/>
      <c r="E121" s="44"/>
      <c r="J121" s="36"/>
      <c r="K121" s="36"/>
      <c r="L121" s="491"/>
      <c r="M121" s="37"/>
      <c r="N121" s="37"/>
      <c r="O121" s="37"/>
      <c r="P121" s="37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</row>
    <row r="122" spans="4:34" ht="14.45" customHeight="1" x14ac:dyDescent="0.2">
      <c r="E122" s="518" t="s">
        <v>308</v>
      </c>
      <c r="F122" s="483"/>
      <c r="G122" s="483"/>
      <c r="H122" s="483"/>
      <c r="I122" s="483"/>
      <c r="J122" s="484"/>
      <c r="K122" s="484"/>
      <c r="L122" s="484"/>
      <c r="M122" s="485"/>
      <c r="N122" s="484"/>
      <c r="O122" s="484"/>
      <c r="P122" s="486">
        <f>-P127/SUM(P124:P126)</f>
        <v>0</v>
      </c>
      <c r="Q122" s="486">
        <f>-Q127/SUM(Q124:Q126)</f>
        <v>0</v>
      </c>
      <c r="R122" s="486">
        <f>-R127/SUM(R124:R126)</f>
        <v>0</v>
      </c>
      <c r="S122" s="486">
        <v>7.9963931790705794E-2</v>
      </c>
      <c r="T122" s="486">
        <f t="shared" ref="T122:AH122" ca="1" si="35">Prior_Year</f>
        <v>7.9963931790705794E-2</v>
      </c>
      <c r="U122" s="486">
        <f t="shared" ca="1" si="35"/>
        <v>7.9963931790705794E-2</v>
      </c>
      <c r="V122" s="486">
        <f t="shared" ca="1" si="35"/>
        <v>7.9963931790705794E-2</v>
      </c>
      <c r="W122" s="486">
        <f t="shared" ca="1" si="35"/>
        <v>7.9963931790705794E-2</v>
      </c>
      <c r="X122" s="486">
        <f t="shared" ca="1" si="35"/>
        <v>7.9963931790705794E-2</v>
      </c>
      <c r="Y122" s="486">
        <f t="shared" ca="1" si="35"/>
        <v>7.9963931790705794E-2</v>
      </c>
      <c r="Z122" s="486">
        <f t="shared" ca="1" si="35"/>
        <v>7.9963931790705794E-2</v>
      </c>
      <c r="AA122" s="486">
        <f t="shared" ca="1" si="35"/>
        <v>7.9963931790705794E-2</v>
      </c>
      <c r="AB122" s="486">
        <f t="shared" ca="1" si="35"/>
        <v>7.9963931790705794E-2</v>
      </c>
      <c r="AC122" s="486">
        <f t="shared" ca="1" si="35"/>
        <v>7.9963931790705794E-2</v>
      </c>
      <c r="AD122" s="486">
        <f t="shared" ca="1" si="35"/>
        <v>7.9963931790705794E-2</v>
      </c>
      <c r="AE122" s="486">
        <f t="shared" ca="1" si="35"/>
        <v>7.9963931790705794E-2</v>
      </c>
      <c r="AF122" s="486">
        <f t="shared" ca="1" si="35"/>
        <v>7.9963931790705794E-2</v>
      </c>
      <c r="AG122" s="486">
        <f t="shared" ca="1" si="35"/>
        <v>7.9963931790705794E-2</v>
      </c>
      <c r="AH122" s="486">
        <f t="shared" ca="1" si="35"/>
        <v>7.9963931790705794E-2</v>
      </c>
    </row>
    <row r="123" spans="4:34" ht="11.25" x14ac:dyDescent="0.2">
      <c r="E123" s="519" t="s">
        <v>340</v>
      </c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467"/>
      <c r="Q123" s="467"/>
      <c r="R123" s="467"/>
      <c r="S123" s="467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</row>
    <row r="124" spans="4:34" ht="11.25" x14ac:dyDescent="0.2">
      <c r="E124" s="72" t="s">
        <v>35</v>
      </c>
      <c r="F124" s="73"/>
      <c r="G124" s="73"/>
      <c r="H124" s="73"/>
      <c r="I124" s="73"/>
      <c r="J124" s="82"/>
      <c r="K124" s="82"/>
      <c r="L124" s="82"/>
      <c r="M124" s="82"/>
      <c r="N124" s="82"/>
      <c r="O124" s="82">
        <v>300</v>
      </c>
      <c r="P124" s="82">
        <f>enr_UG_NR*fee_NRT_UG/1000</f>
        <v>10</v>
      </c>
      <c r="Q124" s="82">
        <f>enr_UG_NR*fee_NRT_UG/1000</f>
        <v>10</v>
      </c>
      <c r="R124" s="545">
        <f>enr_UG_NR*fee_NRT_UG/1000</f>
        <v>10</v>
      </c>
      <c r="S124" s="545">
        <f t="shared" ref="S124:AH124" si="36">enr_UG_NR*fee_NRT_UG/1000</f>
        <v>11</v>
      </c>
      <c r="T124" s="545">
        <f t="shared" ca="1" si="36"/>
        <v>12.12</v>
      </c>
      <c r="U124" s="545">
        <f t="shared" ca="1" si="36"/>
        <v>13.2613</v>
      </c>
      <c r="V124" s="545">
        <f t="shared" ca="1" si="36"/>
        <v>14.424213999999999</v>
      </c>
      <c r="W124" s="545">
        <f t="shared" ca="1" si="36"/>
        <v>15.609060150000001</v>
      </c>
      <c r="X124" s="545">
        <f t="shared" ca="1" si="36"/>
        <v>16.816160801599999</v>
      </c>
      <c r="Y124" s="545">
        <f t="shared" ca="1" si="36"/>
        <v>18.045842560217004</v>
      </c>
      <c r="Z124" s="545">
        <f t="shared" ca="1" si="36"/>
        <v>19.29843633792618</v>
      </c>
      <c r="AA124" s="545">
        <f t="shared" ca="1" si="36"/>
        <v>20.574277406933525</v>
      </c>
      <c r="AB124" s="545">
        <f t="shared" ca="1" si="36"/>
        <v>21.873705453687219</v>
      </c>
      <c r="AC124" s="545">
        <f t="shared" ca="1" si="36"/>
        <v>23.1970646336353</v>
      </c>
      <c r="AD124" s="545">
        <f t="shared" ca="1" si="36"/>
        <v>24.54470362663697</v>
      </c>
      <c r="AE124" s="545">
        <f t="shared" ca="1" si="36"/>
        <v>25.916975693035308</v>
      </c>
      <c r="AF124" s="545">
        <f t="shared" ca="1" si="36"/>
        <v>27.314238730398948</v>
      </c>
      <c r="AG124" s="545">
        <f t="shared" ca="1" si="36"/>
        <v>28.736855330940561</v>
      </c>
      <c r="AH124" s="545">
        <f t="shared" ca="1" si="36"/>
        <v>30.185192839619965</v>
      </c>
    </row>
    <row r="125" spans="4:34" ht="11.25" x14ac:dyDescent="0.2">
      <c r="E125" s="72" t="s">
        <v>44</v>
      </c>
      <c r="F125" s="73"/>
      <c r="G125" s="73"/>
      <c r="H125" s="73"/>
      <c r="I125" s="73"/>
      <c r="J125" s="74"/>
      <c r="K125" s="74"/>
      <c r="L125" s="74"/>
      <c r="M125" s="74"/>
      <c r="N125" s="74"/>
      <c r="O125" s="74"/>
      <c r="P125" s="74">
        <f>enr_Grad_Acad_NR*fee_NRT_Grad_Acad/1000</f>
        <v>18.100000000000001</v>
      </c>
      <c r="Q125" s="74">
        <f>enr_Grad_Acad_NR*fee_NRT_Grad_Acad/1000</f>
        <v>13.26</v>
      </c>
      <c r="R125" s="545">
        <f t="shared" ref="R125:AH125" si="37">enr_Grad_Acad_NR*fee_NRT_Grad_Acad/1000</f>
        <v>1</v>
      </c>
      <c r="S125" s="545">
        <f t="shared" si="37"/>
        <v>1</v>
      </c>
      <c r="T125" s="545">
        <f t="shared" ca="1" si="37"/>
        <v>1</v>
      </c>
      <c r="U125" s="545">
        <f t="shared" ca="1" si="37"/>
        <v>1</v>
      </c>
      <c r="V125" s="545">
        <f t="shared" ca="1" si="37"/>
        <v>1</v>
      </c>
      <c r="W125" s="545">
        <f t="shared" ca="1" si="37"/>
        <v>1</v>
      </c>
      <c r="X125" s="545">
        <f t="shared" ca="1" si="37"/>
        <v>1</v>
      </c>
      <c r="Y125" s="545">
        <f t="shared" ca="1" si="37"/>
        <v>1</v>
      </c>
      <c r="Z125" s="545">
        <f t="shared" ca="1" si="37"/>
        <v>1</v>
      </c>
      <c r="AA125" s="545">
        <f t="shared" ca="1" si="37"/>
        <v>1</v>
      </c>
      <c r="AB125" s="545">
        <f t="shared" ca="1" si="37"/>
        <v>1</v>
      </c>
      <c r="AC125" s="545">
        <f t="shared" ca="1" si="37"/>
        <v>1</v>
      </c>
      <c r="AD125" s="545">
        <f t="shared" ca="1" si="37"/>
        <v>1</v>
      </c>
      <c r="AE125" s="545">
        <f t="shared" ca="1" si="37"/>
        <v>1</v>
      </c>
      <c r="AF125" s="545">
        <f t="shared" ca="1" si="37"/>
        <v>1</v>
      </c>
      <c r="AG125" s="545">
        <f t="shared" ca="1" si="37"/>
        <v>1</v>
      </c>
      <c r="AH125" s="545">
        <f t="shared" ca="1" si="37"/>
        <v>1</v>
      </c>
    </row>
    <row r="126" spans="4:34" ht="11.25" x14ac:dyDescent="0.2">
      <c r="E126" s="72" t="s">
        <v>36</v>
      </c>
      <c r="F126" s="73"/>
      <c r="G126" s="73"/>
      <c r="H126" s="73"/>
      <c r="I126" s="73"/>
      <c r="J126" s="74"/>
      <c r="K126" s="74"/>
      <c r="L126" s="74"/>
      <c r="M126" s="74"/>
      <c r="N126" s="74"/>
      <c r="O126" s="74"/>
      <c r="P126" s="74">
        <f>enr_Grad_Prof_NR*fee_NRT_Grad_Prof/1000</f>
        <v>1.8</v>
      </c>
      <c r="Q126" s="74">
        <f>enr_Grad_Prof_NR*fee_NRT_Grad_Prof/1000</f>
        <v>1.8</v>
      </c>
      <c r="R126" s="545">
        <f t="shared" ref="R126:AH126" si="38">enr_Grad_Prof_NR*fee_NRT_Grad_Prof/1000</f>
        <v>1.4</v>
      </c>
      <c r="S126" s="545">
        <f>enr_Grad_Prof_NR*fee_NRT_Grad_Prof/1000</f>
        <v>1.4</v>
      </c>
      <c r="T126" s="545">
        <f t="shared" ca="1" si="38"/>
        <v>1.4</v>
      </c>
      <c r="U126" s="545">
        <f t="shared" ca="1" si="38"/>
        <v>1.4</v>
      </c>
      <c r="V126" s="545">
        <f t="shared" ca="1" si="38"/>
        <v>1.4</v>
      </c>
      <c r="W126" s="545">
        <f t="shared" ca="1" si="38"/>
        <v>1.4</v>
      </c>
      <c r="X126" s="545">
        <f t="shared" ca="1" si="38"/>
        <v>1.4</v>
      </c>
      <c r="Y126" s="545">
        <f t="shared" ca="1" si="38"/>
        <v>1.4</v>
      </c>
      <c r="Z126" s="545">
        <f t="shared" ca="1" si="38"/>
        <v>1.4</v>
      </c>
      <c r="AA126" s="545">
        <f t="shared" ca="1" si="38"/>
        <v>1.4</v>
      </c>
      <c r="AB126" s="545">
        <f t="shared" ca="1" si="38"/>
        <v>1.4</v>
      </c>
      <c r="AC126" s="545">
        <f t="shared" ca="1" si="38"/>
        <v>1.4</v>
      </c>
      <c r="AD126" s="545">
        <f t="shared" ca="1" si="38"/>
        <v>1.4</v>
      </c>
      <c r="AE126" s="545">
        <f t="shared" ca="1" si="38"/>
        <v>1.4</v>
      </c>
      <c r="AF126" s="545">
        <f t="shared" ca="1" si="38"/>
        <v>1.4</v>
      </c>
      <c r="AG126" s="545">
        <f t="shared" ca="1" si="38"/>
        <v>1.4</v>
      </c>
      <c r="AH126" s="545">
        <f t="shared" ca="1" si="38"/>
        <v>1.4</v>
      </c>
    </row>
    <row r="127" spans="4:34" ht="11.25" x14ac:dyDescent="0.2">
      <c r="E127" s="72" t="s">
        <v>299</v>
      </c>
      <c r="F127" s="73"/>
      <c r="G127" s="73"/>
      <c r="H127" s="73"/>
      <c r="I127" s="73"/>
      <c r="J127" s="74"/>
      <c r="K127" s="74"/>
      <c r="L127" s="74"/>
      <c r="M127" s="74"/>
      <c r="N127" s="74"/>
      <c r="O127" s="74"/>
      <c r="P127" s="74">
        <v>0</v>
      </c>
      <c r="Q127" s="74">
        <v>0</v>
      </c>
      <c r="R127" s="545">
        <v>0</v>
      </c>
      <c r="S127" s="545">
        <f t="shared" ref="S127:X127" si="39">-SUM(S124:S126)*fee_NR_discount_factor</f>
        <v>-1.0715166859954577</v>
      </c>
      <c r="T127" s="545">
        <f t="shared" ca="1" si="39"/>
        <v>-1.161076289601048</v>
      </c>
      <c r="U127" s="545">
        <f t="shared" ca="1" si="39"/>
        <v>-1.2523391249537807</v>
      </c>
      <c r="V127" s="545">
        <f t="shared" ca="1" si="39"/>
        <v>-1.3453303007282373</v>
      </c>
      <c r="W127" s="545">
        <f t="shared" ca="1" si="39"/>
        <v>-1.4400752574493179</v>
      </c>
      <c r="X127" s="545">
        <f t="shared" ca="1" si="39"/>
        <v>-1.5365997716183766</v>
      </c>
      <c r="Y127" s="545">
        <f t="shared" ref="Y127:AH127" ca="1" si="40">-SUM(Y124:Y126)*fee_NR_discount_factor</f>
        <v>-1.6349299598887019</v>
      </c>
      <c r="Z127" s="545">
        <f t="shared" ca="1" si="40"/>
        <v>-1.735092283290901</v>
      </c>
      <c r="AA127" s="545">
        <f t="shared" ca="1" si="40"/>
        <v>-1.8371135515087855</v>
      </c>
      <c r="AB127" s="545">
        <f t="shared" ca="1" si="40"/>
        <v>-1.9410209272063279</v>
      </c>
      <c r="AC127" s="545">
        <f t="shared" ca="1" si="40"/>
        <v>-2.0468419304063006</v>
      </c>
      <c r="AD127" s="545">
        <f t="shared" ca="1" si="40"/>
        <v>-2.1546044429211815</v>
      </c>
      <c r="AE127" s="545">
        <f t="shared" ca="1" si="40"/>
        <v>-2.2643367128369492</v>
      </c>
      <c r="AF127" s="545">
        <f t="shared" ca="1" si="40"/>
        <v>-2.3760673590503698</v>
      </c>
      <c r="AG127" s="545">
        <f t="shared" ca="1" si="40"/>
        <v>-2.4898253758604048</v>
      </c>
      <c r="AH127" s="545">
        <f t="shared" ca="1" si="40"/>
        <v>-2.6056401376143659</v>
      </c>
    </row>
    <row r="128" spans="4:34" ht="11.25" x14ac:dyDescent="0.2">
      <c r="E128" s="519" t="s">
        <v>339</v>
      </c>
      <c r="F128" s="73"/>
      <c r="G128" s="73"/>
      <c r="H128" s="73"/>
      <c r="I128" s="73"/>
      <c r="J128" s="546">
        <f t="shared" ref="J128:R128" si="41">SUM(J124:J127)</f>
        <v>0</v>
      </c>
      <c r="K128" s="546">
        <f t="shared" si="41"/>
        <v>0</v>
      </c>
      <c r="L128" s="546">
        <f t="shared" si="41"/>
        <v>0</v>
      </c>
      <c r="M128" s="546">
        <f t="shared" si="41"/>
        <v>0</v>
      </c>
      <c r="N128" s="546">
        <f t="shared" si="41"/>
        <v>0</v>
      </c>
      <c r="O128" s="546">
        <f t="shared" si="41"/>
        <v>300</v>
      </c>
      <c r="P128" s="546">
        <f t="shared" si="41"/>
        <v>29.900000000000002</v>
      </c>
      <c r="Q128" s="546">
        <f t="shared" si="41"/>
        <v>25.06</v>
      </c>
      <c r="R128" s="546">
        <f t="shared" si="41"/>
        <v>12.4</v>
      </c>
      <c r="S128" s="546">
        <f t="shared" ref="S128:X128" si="42">SUM(S124:S127)</f>
        <v>12.328483314004544</v>
      </c>
      <c r="T128" s="546">
        <f t="shared" ca="1" si="42"/>
        <v>13.358923710398951</v>
      </c>
      <c r="U128" s="546">
        <f t="shared" ca="1" si="42"/>
        <v>14.408960875046219</v>
      </c>
      <c r="V128" s="546">
        <f t="shared" ca="1" si="42"/>
        <v>15.47888369927176</v>
      </c>
      <c r="W128" s="546">
        <f t="shared" ca="1" si="42"/>
        <v>16.568984892550681</v>
      </c>
      <c r="X128" s="546">
        <f t="shared" ca="1" si="42"/>
        <v>17.67956102998162</v>
      </c>
      <c r="Y128" s="546">
        <f t="shared" ref="Y128:AH128" ca="1" si="43">SUM(Y124:Y127)</f>
        <v>18.810912600328301</v>
      </c>
      <c r="Z128" s="546">
        <f t="shared" ca="1" si="43"/>
        <v>19.963344054635279</v>
      </c>
      <c r="AA128" s="546">
        <f t="shared" ca="1" si="43"/>
        <v>21.137163855424738</v>
      </c>
      <c r="AB128" s="546">
        <f t="shared" ca="1" si="43"/>
        <v>22.33268452648089</v>
      </c>
      <c r="AC128" s="546">
        <f t="shared" ca="1" si="43"/>
        <v>23.550222703228997</v>
      </c>
      <c r="AD128" s="546">
        <f t="shared" ca="1" si="43"/>
        <v>24.790099183715789</v>
      </c>
      <c r="AE128" s="546">
        <f t="shared" ca="1" si="43"/>
        <v>26.052638980198356</v>
      </c>
      <c r="AF128" s="546">
        <f t="shared" ca="1" si="43"/>
        <v>27.338171371348576</v>
      </c>
      <c r="AG128" s="546">
        <f t="shared" ca="1" si="43"/>
        <v>28.647029955080153</v>
      </c>
      <c r="AH128" s="546">
        <f t="shared" ca="1" si="43"/>
        <v>29.979552702005599</v>
      </c>
    </row>
    <row r="129" spans="5:34" ht="3" customHeight="1" x14ac:dyDescent="0.2">
      <c r="E129" s="30"/>
      <c r="F129" s="12"/>
      <c r="G129" s="12"/>
      <c r="H129" s="12"/>
      <c r="I129" s="12"/>
      <c r="J129" s="25"/>
      <c r="K129" s="25"/>
      <c r="L129" s="25"/>
      <c r="M129" s="25"/>
      <c r="N129" s="25"/>
      <c r="O129" s="25"/>
      <c r="P129" s="25"/>
      <c r="Q129" s="25"/>
      <c r="R129" s="547"/>
      <c r="S129" s="547"/>
      <c r="T129" s="547"/>
      <c r="U129" s="547"/>
      <c r="V129" s="547"/>
      <c r="W129" s="547"/>
      <c r="X129" s="547"/>
      <c r="Y129" s="547"/>
      <c r="Z129" s="547"/>
      <c r="AA129" s="547"/>
      <c r="AB129" s="547"/>
      <c r="AC129" s="547"/>
      <c r="AD129" s="547"/>
      <c r="AE129" s="547"/>
      <c r="AF129" s="547"/>
      <c r="AG129" s="547"/>
      <c r="AH129" s="547"/>
    </row>
    <row r="130" spans="5:34" ht="11.25" x14ac:dyDescent="0.2">
      <c r="E130" s="520" t="s">
        <v>36</v>
      </c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548"/>
      <c r="S130" s="548"/>
      <c r="T130" s="548"/>
      <c r="U130" s="548"/>
      <c r="V130" s="548"/>
      <c r="W130" s="548"/>
      <c r="X130" s="548"/>
      <c r="Y130" s="548"/>
      <c r="Z130" s="548"/>
      <c r="AA130" s="548"/>
      <c r="AB130" s="548"/>
      <c r="AC130" s="548"/>
      <c r="AD130" s="548"/>
      <c r="AE130" s="548"/>
      <c r="AF130" s="548"/>
      <c r="AG130" s="548"/>
      <c r="AH130" s="548"/>
    </row>
    <row r="131" spans="5:34" ht="11.25" x14ac:dyDescent="0.2">
      <c r="E131" s="75" t="s">
        <v>104</v>
      </c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80">
        <f>P22/1000*(P68+P69)*fee_Discount_Factor</f>
        <v>0.19720000000000001</v>
      </c>
      <c r="Q131" s="80">
        <f>Q22/1000*(Q68+Q69)*fee_Discount_Factor</f>
        <v>4.2000000000000006E-3</v>
      </c>
      <c r="R131" s="548">
        <f t="shared" ref="R131:X131" si="44">R22/1000*(R68+R69)</f>
        <v>0.2</v>
      </c>
      <c r="S131" s="548">
        <f t="shared" si="44"/>
        <v>0.2</v>
      </c>
      <c r="T131" s="548">
        <f t="shared" ca="1" si="44"/>
        <v>0.21000000000000002</v>
      </c>
      <c r="U131" s="548">
        <f t="shared" ca="1" si="44"/>
        <v>0.2205</v>
      </c>
      <c r="V131" s="548">
        <f t="shared" ca="1" si="44"/>
        <v>0.22601250000000001</v>
      </c>
      <c r="W131" s="548">
        <f t="shared" ca="1" si="44"/>
        <v>0.23166281249999998</v>
      </c>
      <c r="X131" s="548">
        <f t="shared" ca="1" si="44"/>
        <v>0.23745438281249998</v>
      </c>
      <c r="Y131" s="548">
        <f t="shared" ref="Y131:AH131" ca="1" si="45">Y22/1000*(Y68+Y69)</f>
        <v>0.24339074238281241</v>
      </c>
      <c r="Z131" s="548">
        <f t="shared" ca="1" si="45"/>
        <v>0.24947551094238271</v>
      </c>
      <c r="AA131" s="548">
        <f t="shared" ca="1" si="45"/>
        <v>0.25571239871594226</v>
      </c>
      <c r="AB131" s="548">
        <f t="shared" ca="1" si="45"/>
        <v>0.2621052086838408</v>
      </c>
      <c r="AC131" s="548">
        <f t="shared" ca="1" si="45"/>
        <v>0.26865783890093681</v>
      </c>
      <c r="AD131" s="548">
        <f t="shared" ca="1" si="45"/>
        <v>0.27537428487346022</v>
      </c>
      <c r="AE131" s="548">
        <f t="shared" ca="1" si="45"/>
        <v>0.28225864199529666</v>
      </c>
      <c r="AF131" s="548">
        <f t="shared" ca="1" si="45"/>
        <v>0.28931510804517901</v>
      </c>
      <c r="AG131" s="548">
        <f t="shared" ca="1" si="45"/>
        <v>0.29654798574630853</v>
      </c>
      <c r="AH131" s="548">
        <f t="shared" ca="1" si="45"/>
        <v>0.30396168538996621</v>
      </c>
    </row>
    <row r="132" spans="5:34" ht="11.25" x14ac:dyDescent="0.2">
      <c r="E132" s="75" t="s">
        <v>103</v>
      </c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81">
        <f>P23/1000*(P70+P71)*fee_Discount_Factor</f>
        <v>0.19720000000000001</v>
      </c>
      <c r="Q132" s="81">
        <f>Q23/1000*(Q70+Q71)*fee_Discount_Factor</f>
        <v>4.2000000000000006E-3</v>
      </c>
      <c r="R132" s="548">
        <f t="shared" ref="R132:X132" si="46">R23/1000*(R70+R71)*0.67</f>
        <v>0.13400000000000001</v>
      </c>
      <c r="S132" s="548">
        <f t="shared" si="46"/>
        <v>0.13400000000000001</v>
      </c>
      <c r="T132" s="548">
        <f t="shared" ca="1" si="46"/>
        <v>0.14070000000000002</v>
      </c>
      <c r="U132" s="548">
        <f t="shared" ca="1" si="46"/>
        <v>0.14773500000000001</v>
      </c>
      <c r="V132" s="548">
        <f t="shared" ca="1" si="46"/>
        <v>0.151428375</v>
      </c>
      <c r="W132" s="548">
        <f t="shared" ca="1" si="46"/>
        <v>0.15521408437500001</v>
      </c>
      <c r="X132" s="548">
        <f t="shared" ca="1" si="46"/>
        <v>0.15909443648437499</v>
      </c>
      <c r="Y132" s="548">
        <f t="shared" ref="Y132:AH132" ca="1" si="47">Y23/1000*(Y70+Y71)*0.67</f>
        <v>0.16307179739648434</v>
      </c>
      <c r="Z132" s="548">
        <f t="shared" ca="1" si="47"/>
        <v>0.16714859233139642</v>
      </c>
      <c r="AA132" s="548">
        <f t="shared" ca="1" si="47"/>
        <v>0.17132730713968133</v>
      </c>
      <c r="AB132" s="548">
        <f t="shared" ca="1" si="47"/>
        <v>0.17561048981817334</v>
      </c>
      <c r="AC132" s="548">
        <f t="shared" ca="1" si="47"/>
        <v>0.18000075206362767</v>
      </c>
      <c r="AD132" s="548">
        <f t="shared" ca="1" si="47"/>
        <v>0.18450077086521835</v>
      </c>
      <c r="AE132" s="548">
        <f t="shared" ca="1" si="47"/>
        <v>0.18911329013684877</v>
      </c>
      <c r="AF132" s="548">
        <f t="shared" ca="1" si="47"/>
        <v>0.19384112239026996</v>
      </c>
      <c r="AG132" s="548">
        <f t="shared" ca="1" si="47"/>
        <v>0.19868715045002672</v>
      </c>
      <c r="AH132" s="548">
        <f t="shared" ca="1" si="47"/>
        <v>0.20365432921127738</v>
      </c>
    </row>
    <row r="133" spans="5:34" ht="11.25" x14ac:dyDescent="0.2">
      <c r="E133" s="75" t="s">
        <v>275</v>
      </c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81">
        <f>P24/1000*(P72+P73)*fee_Discount_Factor</f>
        <v>0.19720000000000001</v>
      </c>
      <c r="Q133" s="81">
        <f>Q24/1000*(Q72+Q73)*fee_Discount_Factor</f>
        <v>4.2000000000000006E-3</v>
      </c>
      <c r="R133" s="548">
        <f t="shared" ref="R133:X133" si="48">R24/1000*(R72+R73)</f>
        <v>0.2</v>
      </c>
      <c r="S133" s="548">
        <f t="shared" si="48"/>
        <v>0.2</v>
      </c>
      <c r="T133" s="548">
        <f t="shared" ca="1" si="48"/>
        <v>0.21000000000000002</v>
      </c>
      <c r="U133" s="548">
        <f t="shared" ca="1" si="48"/>
        <v>0.2205</v>
      </c>
      <c r="V133" s="548">
        <f t="shared" ca="1" si="48"/>
        <v>0.22601250000000001</v>
      </c>
      <c r="W133" s="548">
        <f t="shared" ca="1" si="48"/>
        <v>0.23166281249999998</v>
      </c>
      <c r="X133" s="548">
        <f t="shared" ca="1" si="48"/>
        <v>0.23745438281249998</v>
      </c>
      <c r="Y133" s="548">
        <f t="shared" ref="Y133:AH133" ca="1" si="49">Y24/1000*(Y72+Y73)</f>
        <v>0.24339074238281241</v>
      </c>
      <c r="Z133" s="548">
        <f t="shared" ca="1" si="49"/>
        <v>0.24947551094238271</v>
      </c>
      <c r="AA133" s="548">
        <f t="shared" ca="1" si="49"/>
        <v>0.25571239871594226</v>
      </c>
      <c r="AB133" s="548">
        <f t="shared" ca="1" si="49"/>
        <v>0.2621052086838408</v>
      </c>
      <c r="AC133" s="548">
        <f t="shared" ca="1" si="49"/>
        <v>0.26865783890093681</v>
      </c>
      <c r="AD133" s="548">
        <f t="shared" ca="1" si="49"/>
        <v>0.27537428487346022</v>
      </c>
      <c r="AE133" s="548">
        <f t="shared" ca="1" si="49"/>
        <v>0.28225864199529666</v>
      </c>
      <c r="AF133" s="548">
        <f t="shared" ca="1" si="49"/>
        <v>0.28931510804517901</v>
      </c>
      <c r="AG133" s="548">
        <f t="shared" ca="1" si="49"/>
        <v>0.29654798574630853</v>
      </c>
      <c r="AH133" s="548">
        <f t="shared" ca="1" si="49"/>
        <v>0.30396168538996621</v>
      </c>
    </row>
    <row r="134" spans="5:34" ht="11.25" x14ac:dyDescent="0.2">
      <c r="E134" s="75" t="s">
        <v>271</v>
      </c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81">
        <f>P25/1000*(P74+P75)*fee_Discount_Factor</f>
        <v>0.19720000000000001</v>
      </c>
      <c r="Q134" s="81">
        <f>Q25/1000*(Q74+Q75)*fee_Discount_Factor</f>
        <v>4.2000000000000006E-3</v>
      </c>
      <c r="R134" s="548">
        <f t="shared" ref="R134:X134" si="50">R25/1000*(R74+R75)</f>
        <v>0.2</v>
      </c>
      <c r="S134" s="548">
        <f t="shared" si="50"/>
        <v>0.2</v>
      </c>
      <c r="T134" s="548">
        <f t="shared" ca="1" si="50"/>
        <v>0.21000000000000002</v>
      </c>
      <c r="U134" s="548">
        <f t="shared" ca="1" si="50"/>
        <v>0.2205</v>
      </c>
      <c r="V134" s="548">
        <f t="shared" ca="1" si="50"/>
        <v>0.22601250000000001</v>
      </c>
      <c r="W134" s="548">
        <f t="shared" ca="1" si="50"/>
        <v>0.23166281249999998</v>
      </c>
      <c r="X134" s="548">
        <f t="shared" ca="1" si="50"/>
        <v>0.23745438281249998</v>
      </c>
      <c r="Y134" s="548">
        <f t="shared" ref="Y134:AH134" ca="1" si="51">Y25/1000*(Y74+Y75)</f>
        <v>0.24339074238281241</v>
      </c>
      <c r="Z134" s="548">
        <f t="shared" ca="1" si="51"/>
        <v>0.24947551094238271</v>
      </c>
      <c r="AA134" s="548">
        <f t="shared" ca="1" si="51"/>
        <v>0.25571239871594226</v>
      </c>
      <c r="AB134" s="548">
        <f t="shared" ca="1" si="51"/>
        <v>0.2621052086838408</v>
      </c>
      <c r="AC134" s="548">
        <f t="shared" ca="1" si="51"/>
        <v>0.26865783890093681</v>
      </c>
      <c r="AD134" s="548">
        <f t="shared" ca="1" si="51"/>
        <v>0.27537428487346022</v>
      </c>
      <c r="AE134" s="548">
        <f t="shared" ca="1" si="51"/>
        <v>0.28225864199529666</v>
      </c>
      <c r="AF134" s="548">
        <f t="shared" ca="1" si="51"/>
        <v>0.28931510804517901</v>
      </c>
      <c r="AG134" s="548">
        <f t="shared" ca="1" si="51"/>
        <v>0.29654798574630853</v>
      </c>
      <c r="AH134" s="548">
        <f t="shared" ca="1" si="51"/>
        <v>0.30396168538996621</v>
      </c>
    </row>
    <row r="135" spans="5:34" ht="11.25" x14ac:dyDescent="0.2">
      <c r="E135" s="75" t="s">
        <v>38</v>
      </c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81">
        <f>P26/1000*(P76+P77)*fee_Discount_Factor</f>
        <v>0.19720000000000001</v>
      </c>
      <c r="Q135" s="81">
        <f>Q26/1000*(Q76+Q77)*fee_Discount_Factor</f>
        <v>4.2000000000000006E-3</v>
      </c>
      <c r="R135" s="548">
        <f t="shared" ref="R135:X135" si="52">R26/1000*(R76+R77)</f>
        <v>0.2</v>
      </c>
      <c r="S135" s="548">
        <f t="shared" si="52"/>
        <v>0.2</v>
      </c>
      <c r="T135" s="548">
        <f t="shared" ca="1" si="52"/>
        <v>0.21000000000000002</v>
      </c>
      <c r="U135" s="548">
        <f t="shared" ca="1" si="52"/>
        <v>0.2205</v>
      </c>
      <c r="V135" s="548">
        <f t="shared" ca="1" si="52"/>
        <v>0.22601250000000001</v>
      </c>
      <c r="W135" s="548">
        <f t="shared" ca="1" si="52"/>
        <v>0.23166281249999998</v>
      </c>
      <c r="X135" s="548">
        <f t="shared" ca="1" si="52"/>
        <v>0.23745438281249998</v>
      </c>
      <c r="Y135" s="548">
        <f t="shared" ref="Y135:AH135" ca="1" si="53">Y26/1000*(Y76+Y77)</f>
        <v>0.24339074238281241</v>
      </c>
      <c r="Z135" s="548">
        <f t="shared" ca="1" si="53"/>
        <v>0.24947551094238271</v>
      </c>
      <c r="AA135" s="548">
        <f t="shared" ca="1" si="53"/>
        <v>0.25571239871594226</v>
      </c>
      <c r="AB135" s="548">
        <f t="shared" ca="1" si="53"/>
        <v>0.2621052086838408</v>
      </c>
      <c r="AC135" s="548">
        <f t="shared" ca="1" si="53"/>
        <v>0.26865783890093681</v>
      </c>
      <c r="AD135" s="548">
        <f t="shared" ca="1" si="53"/>
        <v>0.27537428487346022</v>
      </c>
      <c r="AE135" s="548">
        <f t="shared" ca="1" si="53"/>
        <v>0.28225864199529666</v>
      </c>
      <c r="AF135" s="548">
        <f t="shared" ca="1" si="53"/>
        <v>0.28931510804517901</v>
      </c>
      <c r="AG135" s="548">
        <f t="shared" ca="1" si="53"/>
        <v>0.29654798574630853</v>
      </c>
      <c r="AH135" s="548">
        <f t="shared" ca="1" si="53"/>
        <v>0.30396168538996621</v>
      </c>
    </row>
    <row r="136" spans="5:34" ht="11.25" x14ac:dyDescent="0.2">
      <c r="E136" s="75" t="s">
        <v>270</v>
      </c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81">
        <f>P27/1000*(P78+P79)*fee_Discount_Factor</f>
        <v>0.19720000000000001</v>
      </c>
      <c r="Q136" s="81">
        <f>Q27/1000*(Q78+Q79)*fee_Discount_Factor</f>
        <v>4.2000000000000006E-3</v>
      </c>
      <c r="R136" s="548">
        <f t="shared" ref="R136:X136" si="54">R27/1000*(R78+R79)</f>
        <v>0.2</v>
      </c>
      <c r="S136" s="548">
        <f t="shared" si="54"/>
        <v>0.2</v>
      </c>
      <c r="T136" s="548">
        <f t="shared" ca="1" si="54"/>
        <v>0.21000000000000002</v>
      </c>
      <c r="U136" s="548">
        <f t="shared" ca="1" si="54"/>
        <v>0.2205</v>
      </c>
      <c r="V136" s="548">
        <f t="shared" ca="1" si="54"/>
        <v>0.22601250000000001</v>
      </c>
      <c r="W136" s="548">
        <f t="shared" ca="1" si="54"/>
        <v>0.23166281249999998</v>
      </c>
      <c r="X136" s="548">
        <f t="shared" ca="1" si="54"/>
        <v>0.23745438281249998</v>
      </c>
      <c r="Y136" s="548">
        <f t="shared" ref="Y136:AH136" ca="1" si="55">Y27/1000*(Y78+Y79)</f>
        <v>0.24339074238281241</v>
      </c>
      <c r="Z136" s="548">
        <f t="shared" ca="1" si="55"/>
        <v>0.24947551094238271</v>
      </c>
      <c r="AA136" s="548">
        <f t="shared" ca="1" si="55"/>
        <v>0.25571239871594226</v>
      </c>
      <c r="AB136" s="548">
        <f t="shared" ca="1" si="55"/>
        <v>0.2621052086838408</v>
      </c>
      <c r="AC136" s="548">
        <f t="shared" ca="1" si="55"/>
        <v>0.26865783890093681</v>
      </c>
      <c r="AD136" s="548">
        <f t="shared" ca="1" si="55"/>
        <v>0.27537428487346022</v>
      </c>
      <c r="AE136" s="548">
        <f t="shared" ca="1" si="55"/>
        <v>0.28225864199529666</v>
      </c>
      <c r="AF136" s="548">
        <f t="shared" ca="1" si="55"/>
        <v>0.28931510804517901</v>
      </c>
      <c r="AG136" s="548">
        <f t="shared" ca="1" si="55"/>
        <v>0.29654798574630853</v>
      </c>
      <c r="AH136" s="548">
        <f t="shared" ca="1" si="55"/>
        <v>0.30396168538996621</v>
      </c>
    </row>
    <row r="137" spans="5:34" ht="11.25" x14ac:dyDescent="0.2">
      <c r="E137" s="75" t="s">
        <v>274</v>
      </c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81">
        <f>P28/1000*(P80+P81)*fee_Discount_Factor</f>
        <v>0.19720000000000001</v>
      </c>
      <c r="Q137" s="81">
        <f>Q28/1000*(Q80+Q81)*fee_Discount_Factor</f>
        <v>4.2000000000000006E-3</v>
      </c>
      <c r="R137" s="548">
        <f t="shared" ref="R137:X137" si="56">R28/1000*(R80+R81)*0.5</f>
        <v>0.1</v>
      </c>
      <c r="S137" s="548">
        <f t="shared" si="56"/>
        <v>0.1</v>
      </c>
      <c r="T137" s="548">
        <f t="shared" ca="1" si="56"/>
        <v>0.10500000000000001</v>
      </c>
      <c r="U137" s="548">
        <f t="shared" ca="1" si="56"/>
        <v>0.11025</v>
      </c>
      <c r="V137" s="548">
        <f t="shared" ca="1" si="56"/>
        <v>0.11300625</v>
      </c>
      <c r="W137" s="548">
        <f t="shared" ca="1" si="56"/>
        <v>0.11583140624999999</v>
      </c>
      <c r="X137" s="548">
        <f t="shared" ca="1" si="56"/>
        <v>0.11872719140624999</v>
      </c>
      <c r="Y137" s="548">
        <f t="shared" ref="Y137:AH137" ca="1" si="57">Y28/1000*(Y80+Y81)*0.5</f>
        <v>0.12169537119140621</v>
      </c>
      <c r="Z137" s="548">
        <f t="shared" ca="1" si="57"/>
        <v>0.12473775547119136</v>
      </c>
      <c r="AA137" s="548">
        <f t="shared" ca="1" si="57"/>
        <v>0.12785619935797113</v>
      </c>
      <c r="AB137" s="548">
        <f t="shared" ca="1" si="57"/>
        <v>0.1310526043419204</v>
      </c>
      <c r="AC137" s="548">
        <f t="shared" ca="1" si="57"/>
        <v>0.1343289194504684</v>
      </c>
      <c r="AD137" s="548">
        <f t="shared" ca="1" si="57"/>
        <v>0.13768714243673011</v>
      </c>
      <c r="AE137" s="548">
        <f t="shared" ca="1" si="57"/>
        <v>0.14112932099764833</v>
      </c>
      <c r="AF137" s="548">
        <f t="shared" ca="1" si="57"/>
        <v>0.14465755402258951</v>
      </c>
      <c r="AG137" s="548">
        <f t="shared" ca="1" si="57"/>
        <v>0.14827399287315426</v>
      </c>
      <c r="AH137" s="548">
        <f t="shared" ca="1" si="57"/>
        <v>0.1519808426949831</v>
      </c>
    </row>
    <row r="138" spans="5:34" ht="11.25" x14ac:dyDescent="0.2">
      <c r="E138" s="75" t="s">
        <v>66</v>
      </c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81">
        <f>P29/1000*(P82+P83)*fee_Discount_Factor</f>
        <v>0.19720000000000001</v>
      </c>
      <c r="Q138" s="81">
        <f>Q29/1000*(Q82+Q83)*fee_Discount_Factor</f>
        <v>4.2000000000000006E-3</v>
      </c>
      <c r="R138" s="548">
        <f t="shared" ref="R138:X138" si="58">R29/1000*(R82+R83)</f>
        <v>0.2</v>
      </c>
      <c r="S138" s="548">
        <f t="shared" si="58"/>
        <v>0.2</v>
      </c>
      <c r="T138" s="548">
        <f t="shared" ca="1" si="58"/>
        <v>0.21000000000000002</v>
      </c>
      <c r="U138" s="548">
        <f t="shared" ca="1" si="58"/>
        <v>0.2205</v>
      </c>
      <c r="V138" s="548">
        <f t="shared" ca="1" si="58"/>
        <v>0.22601250000000001</v>
      </c>
      <c r="W138" s="548">
        <f t="shared" ca="1" si="58"/>
        <v>0.23166281249999998</v>
      </c>
      <c r="X138" s="548">
        <f t="shared" ca="1" si="58"/>
        <v>0.23745438281249998</v>
      </c>
      <c r="Y138" s="548">
        <f t="shared" ref="Y138:AH138" ca="1" si="59">Y29/1000*(Y82+Y83)</f>
        <v>0.24339074238281241</v>
      </c>
      <c r="Z138" s="548">
        <f t="shared" ca="1" si="59"/>
        <v>0.24947551094238271</v>
      </c>
      <c r="AA138" s="548">
        <f t="shared" ca="1" si="59"/>
        <v>0.25571239871594226</v>
      </c>
      <c r="AB138" s="548">
        <f t="shared" ca="1" si="59"/>
        <v>0.2621052086838408</v>
      </c>
      <c r="AC138" s="548">
        <f t="shared" ca="1" si="59"/>
        <v>0.26865783890093681</v>
      </c>
      <c r="AD138" s="548">
        <f t="shared" ca="1" si="59"/>
        <v>0.27537428487346022</v>
      </c>
      <c r="AE138" s="548">
        <f t="shared" ca="1" si="59"/>
        <v>0.28225864199529666</v>
      </c>
      <c r="AF138" s="548">
        <f t="shared" ca="1" si="59"/>
        <v>0.28931510804517901</v>
      </c>
      <c r="AG138" s="548">
        <f t="shared" ca="1" si="59"/>
        <v>0.29654798574630853</v>
      </c>
      <c r="AH138" s="548">
        <f t="shared" ca="1" si="59"/>
        <v>0.30396168538996621</v>
      </c>
    </row>
    <row r="139" spans="5:34" ht="11.25" x14ac:dyDescent="0.2">
      <c r="E139" s="75" t="s">
        <v>105</v>
      </c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81">
        <f>P30/1000*(P84+P85)*fee_Discount_Factor</f>
        <v>0.19720000000000001</v>
      </c>
      <c r="Q139" s="81">
        <f>Q30/1000*(Q84+Q85)*fee_Discount_Factor</f>
        <v>4.2000000000000006E-3</v>
      </c>
      <c r="R139" s="548">
        <f t="shared" ref="R139:X139" si="60">R30/1000*(R84+R85)</f>
        <v>0.2</v>
      </c>
      <c r="S139" s="548">
        <f t="shared" si="60"/>
        <v>0.2</v>
      </c>
      <c r="T139" s="548">
        <f t="shared" ca="1" si="60"/>
        <v>0.21000000000000002</v>
      </c>
      <c r="U139" s="548">
        <f t="shared" ca="1" si="60"/>
        <v>0.2205</v>
      </c>
      <c r="V139" s="548">
        <f t="shared" ca="1" si="60"/>
        <v>0.22601250000000001</v>
      </c>
      <c r="W139" s="548">
        <f t="shared" ca="1" si="60"/>
        <v>0.23166281249999998</v>
      </c>
      <c r="X139" s="548">
        <f t="shared" ca="1" si="60"/>
        <v>0.23745438281249998</v>
      </c>
      <c r="Y139" s="548">
        <f t="shared" ref="Y139:AH139" ca="1" si="61">Y30/1000*(Y84+Y85)</f>
        <v>0.24339074238281241</v>
      </c>
      <c r="Z139" s="548">
        <f t="shared" ca="1" si="61"/>
        <v>0.24947551094238271</v>
      </c>
      <c r="AA139" s="548">
        <f t="shared" ca="1" si="61"/>
        <v>0.25571239871594226</v>
      </c>
      <c r="AB139" s="548">
        <f t="shared" ca="1" si="61"/>
        <v>0.2621052086838408</v>
      </c>
      <c r="AC139" s="548">
        <f t="shared" ca="1" si="61"/>
        <v>0.26865783890093681</v>
      </c>
      <c r="AD139" s="548">
        <f t="shared" ca="1" si="61"/>
        <v>0.27537428487346022</v>
      </c>
      <c r="AE139" s="548">
        <f t="shared" ca="1" si="61"/>
        <v>0.28225864199529666</v>
      </c>
      <c r="AF139" s="548">
        <f t="shared" ca="1" si="61"/>
        <v>0.28931510804517901</v>
      </c>
      <c r="AG139" s="548">
        <f t="shared" ca="1" si="61"/>
        <v>0.29654798574630853</v>
      </c>
      <c r="AH139" s="548">
        <f t="shared" ca="1" si="61"/>
        <v>0.30396168538996621</v>
      </c>
    </row>
    <row r="140" spans="5:34" ht="11.25" x14ac:dyDescent="0.2">
      <c r="E140" s="75" t="s">
        <v>102</v>
      </c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81">
        <f>P31/1000*P86*fee_Discount_Factor</f>
        <v>9.8600000000000007E-2</v>
      </c>
      <c r="Q140" s="81">
        <f>Q31/1000*Q86*fee_Discount_Factor</f>
        <v>2.1000000000000003E-3</v>
      </c>
      <c r="R140" s="548">
        <f t="shared" ref="R140:X140" si="62">(R31/1000*R86)+(R32/1000*R87)</f>
        <v>0.2</v>
      </c>
      <c r="S140" s="548">
        <f t="shared" si="62"/>
        <v>0.2</v>
      </c>
      <c r="T140" s="548">
        <f t="shared" ca="1" si="62"/>
        <v>0.21000000000000002</v>
      </c>
      <c r="U140" s="548">
        <f t="shared" ca="1" si="62"/>
        <v>0.2205</v>
      </c>
      <c r="V140" s="548">
        <f t="shared" ca="1" si="62"/>
        <v>0.22601250000000001</v>
      </c>
      <c r="W140" s="548">
        <f t="shared" ca="1" si="62"/>
        <v>0.23166281249999998</v>
      </c>
      <c r="X140" s="548">
        <f t="shared" ca="1" si="62"/>
        <v>0.23745438281249998</v>
      </c>
      <c r="Y140" s="548">
        <f t="shared" ref="Y140:AH140" ca="1" si="63">(Y31/1000*Y86)+(Y32/1000*Y87)</f>
        <v>0.24339074238281241</v>
      </c>
      <c r="Z140" s="548">
        <f t="shared" ca="1" si="63"/>
        <v>0.24947551094238271</v>
      </c>
      <c r="AA140" s="548">
        <f t="shared" ca="1" si="63"/>
        <v>0.25571239871594226</v>
      </c>
      <c r="AB140" s="548">
        <f t="shared" ca="1" si="63"/>
        <v>0.2621052086838408</v>
      </c>
      <c r="AC140" s="548">
        <f t="shared" ca="1" si="63"/>
        <v>0.26865783890093681</v>
      </c>
      <c r="AD140" s="548">
        <f t="shared" ca="1" si="63"/>
        <v>0.27537428487346022</v>
      </c>
      <c r="AE140" s="548">
        <f t="shared" ca="1" si="63"/>
        <v>0.28225864199529666</v>
      </c>
      <c r="AF140" s="548">
        <f t="shared" ca="1" si="63"/>
        <v>0.28931510804517901</v>
      </c>
      <c r="AG140" s="548">
        <f t="shared" ca="1" si="63"/>
        <v>0.29654798574630853</v>
      </c>
      <c r="AH140" s="548">
        <f t="shared" ca="1" si="63"/>
        <v>0.30396168538996621</v>
      </c>
    </row>
    <row r="141" spans="5:34" ht="11.25" x14ac:dyDescent="0.2">
      <c r="E141" s="75" t="s">
        <v>37</v>
      </c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81">
        <f>P34/1000*P89*fee_Discount_Factor</f>
        <v>9.8600000000000007E-2</v>
      </c>
      <c r="Q141" s="81">
        <f>Q34/1000*Q89*fee_Discount_Factor</f>
        <v>2.1000000000000003E-3</v>
      </c>
      <c r="R141" s="548">
        <f t="shared" ref="R141:X141" si="64">(R33/1000*R88)+(R34/1000*R89)</f>
        <v>0.2</v>
      </c>
      <c r="S141" s="548">
        <f t="shared" si="64"/>
        <v>0.2</v>
      </c>
      <c r="T141" s="548">
        <f t="shared" ca="1" si="64"/>
        <v>0.21000000000000002</v>
      </c>
      <c r="U141" s="548">
        <f t="shared" ca="1" si="64"/>
        <v>0.2205</v>
      </c>
      <c r="V141" s="548">
        <f t="shared" ca="1" si="64"/>
        <v>0.22601250000000001</v>
      </c>
      <c r="W141" s="548">
        <f t="shared" ca="1" si="64"/>
        <v>0.23166281249999998</v>
      </c>
      <c r="X141" s="548">
        <f t="shared" ca="1" si="64"/>
        <v>0.23745438281249998</v>
      </c>
      <c r="Y141" s="548">
        <f t="shared" ref="Y141:AH141" ca="1" si="65">(Y33/1000*Y88)+(Y34/1000*Y89)</f>
        <v>0.24339074238281241</v>
      </c>
      <c r="Z141" s="548">
        <f t="shared" ca="1" si="65"/>
        <v>0.24947551094238271</v>
      </c>
      <c r="AA141" s="548">
        <f t="shared" ca="1" si="65"/>
        <v>0.25571239871594226</v>
      </c>
      <c r="AB141" s="548">
        <f t="shared" ca="1" si="65"/>
        <v>0.2621052086838408</v>
      </c>
      <c r="AC141" s="548">
        <f t="shared" ca="1" si="65"/>
        <v>0.26865783890093681</v>
      </c>
      <c r="AD141" s="548">
        <f t="shared" ca="1" si="65"/>
        <v>0.27537428487346022</v>
      </c>
      <c r="AE141" s="548">
        <f t="shared" ca="1" si="65"/>
        <v>0.28225864199529666</v>
      </c>
      <c r="AF141" s="548">
        <f t="shared" ca="1" si="65"/>
        <v>0.28931510804517901</v>
      </c>
      <c r="AG141" s="548">
        <f t="shared" ca="1" si="65"/>
        <v>0.29654798574630853</v>
      </c>
      <c r="AH141" s="548">
        <f t="shared" ca="1" si="65"/>
        <v>0.30396168538996621</v>
      </c>
    </row>
    <row r="142" spans="5:34" ht="11.25" x14ac:dyDescent="0.2">
      <c r="E142" s="75" t="s">
        <v>320</v>
      </c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81">
        <f>P36/1000*P91*fee_Discount_Factor</f>
        <v>9.8600000000000007E-2</v>
      </c>
      <c r="Q142" s="81">
        <f>Q36/1000*Q91*fee_Discount_Factor</f>
        <v>2.1000000000000003E-3</v>
      </c>
      <c r="R142" s="548">
        <f t="shared" ref="R142:X142" si="66">(R35/1000*R90)+(R36/1000*R91)</f>
        <v>0.2</v>
      </c>
      <c r="S142" s="548">
        <f t="shared" si="66"/>
        <v>0.2</v>
      </c>
      <c r="T142" s="548">
        <f t="shared" ca="1" si="66"/>
        <v>0.21000000000000002</v>
      </c>
      <c r="U142" s="548">
        <f t="shared" ca="1" si="66"/>
        <v>0.2205</v>
      </c>
      <c r="V142" s="548">
        <f t="shared" ca="1" si="66"/>
        <v>0.22601250000000001</v>
      </c>
      <c r="W142" s="548">
        <f t="shared" ca="1" si="66"/>
        <v>0.23166281249999998</v>
      </c>
      <c r="X142" s="548">
        <f t="shared" ca="1" si="66"/>
        <v>0.23745438281249998</v>
      </c>
      <c r="Y142" s="548">
        <f t="shared" ref="Y142:AH142" ca="1" si="67">(Y35/1000*Y90)+(Y36/1000*Y91)</f>
        <v>0.24339074238281241</v>
      </c>
      <c r="Z142" s="548">
        <f t="shared" ca="1" si="67"/>
        <v>0.24947551094238271</v>
      </c>
      <c r="AA142" s="548">
        <f t="shared" ca="1" si="67"/>
        <v>0.25571239871594226</v>
      </c>
      <c r="AB142" s="548">
        <f t="shared" ca="1" si="67"/>
        <v>0.2621052086838408</v>
      </c>
      <c r="AC142" s="548">
        <f t="shared" ca="1" si="67"/>
        <v>0.26865783890093681</v>
      </c>
      <c r="AD142" s="548">
        <f t="shared" ca="1" si="67"/>
        <v>0.27537428487346022</v>
      </c>
      <c r="AE142" s="548">
        <f t="shared" ca="1" si="67"/>
        <v>0.28225864199529666</v>
      </c>
      <c r="AF142" s="548">
        <f t="shared" ca="1" si="67"/>
        <v>0.28931510804517901</v>
      </c>
      <c r="AG142" s="548">
        <f t="shared" ca="1" si="67"/>
        <v>0.29654798574630853</v>
      </c>
      <c r="AH142" s="548">
        <f t="shared" ca="1" si="67"/>
        <v>0.30396168538996621</v>
      </c>
    </row>
    <row r="143" spans="5:34" ht="11.25" x14ac:dyDescent="0.2">
      <c r="E143" s="75" t="s">
        <v>269</v>
      </c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81"/>
      <c r="Q143" s="81"/>
      <c r="R143" s="548">
        <f t="shared" ref="R143:X143" si="68">(R37/1000*R92)+(R38/1000*R93)</f>
        <v>0.2</v>
      </c>
      <c r="S143" s="548">
        <f t="shared" si="68"/>
        <v>0.2</v>
      </c>
      <c r="T143" s="548">
        <f t="shared" ca="1" si="68"/>
        <v>0.21000000000000002</v>
      </c>
      <c r="U143" s="548">
        <f t="shared" ca="1" si="68"/>
        <v>0.2205</v>
      </c>
      <c r="V143" s="548">
        <f t="shared" ca="1" si="68"/>
        <v>0.22601250000000001</v>
      </c>
      <c r="W143" s="548">
        <f t="shared" ca="1" si="68"/>
        <v>0.23166281249999998</v>
      </c>
      <c r="X143" s="548">
        <f t="shared" ca="1" si="68"/>
        <v>0.23745438281249998</v>
      </c>
      <c r="Y143" s="548">
        <f t="shared" ref="Y143:AH143" ca="1" si="69">(Y37/1000*Y92)+(Y38/1000*Y93)</f>
        <v>0.24339074238281241</v>
      </c>
      <c r="Z143" s="548">
        <f t="shared" ca="1" si="69"/>
        <v>0.24947551094238271</v>
      </c>
      <c r="AA143" s="548">
        <f t="shared" ca="1" si="69"/>
        <v>0.25571239871594226</v>
      </c>
      <c r="AB143" s="548">
        <f t="shared" ca="1" si="69"/>
        <v>0.2621052086838408</v>
      </c>
      <c r="AC143" s="548">
        <f t="shared" ca="1" si="69"/>
        <v>0.26865783890093681</v>
      </c>
      <c r="AD143" s="548">
        <f t="shared" ca="1" si="69"/>
        <v>0.27537428487346022</v>
      </c>
      <c r="AE143" s="548">
        <f t="shared" ca="1" si="69"/>
        <v>0.28225864199529666</v>
      </c>
      <c r="AF143" s="548">
        <f t="shared" ca="1" si="69"/>
        <v>0.28931510804517901</v>
      </c>
      <c r="AG143" s="548">
        <f t="shared" ca="1" si="69"/>
        <v>0.29654798574630853</v>
      </c>
      <c r="AH143" s="548">
        <f t="shared" ca="1" si="69"/>
        <v>0.30396168538996621</v>
      </c>
    </row>
    <row r="144" spans="5:34" ht="11.25" x14ac:dyDescent="0.2">
      <c r="E144" s="75" t="s">
        <v>39</v>
      </c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81">
        <f>P40/1000*P95*fee_Discount_Factor</f>
        <v>9.8600000000000007E-2</v>
      </c>
      <c r="Q144" s="81">
        <f>Q40/1000*Q95*fee_Discount_Factor</f>
        <v>2.1000000000000003E-3</v>
      </c>
      <c r="R144" s="548">
        <f t="shared" ref="R144:X144" si="70">(R39/1000*R94)+(R40/1000*R95)</f>
        <v>0.2</v>
      </c>
      <c r="S144" s="548">
        <f t="shared" si="70"/>
        <v>0.2</v>
      </c>
      <c r="T144" s="548">
        <f t="shared" ca="1" si="70"/>
        <v>0.21000000000000002</v>
      </c>
      <c r="U144" s="548">
        <f t="shared" ca="1" si="70"/>
        <v>0.2205</v>
      </c>
      <c r="V144" s="548">
        <f t="shared" ca="1" si="70"/>
        <v>0.22601250000000001</v>
      </c>
      <c r="W144" s="548">
        <f t="shared" ca="1" si="70"/>
        <v>0.23166281249999998</v>
      </c>
      <c r="X144" s="548">
        <f t="shared" ca="1" si="70"/>
        <v>0.23745438281249998</v>
      </c>
      <c r="Y144" s="548">
        <f t="shared" ref="Y144:AH144" ca="1" si="71">(Y39/1000*Y94)+(Y40/1000*Y95)</f>
        <v>0.24339074238281241</v>
      </c>
      <c r="Z144" s="548">
        <f t="shared" ca="1" si="71"/>
        <v>0.24947551094238271</v>
      </c>
      <c r="AA144" s="548">
        <f t="shared" ca="1" si="71"/>
        <v>0.25571239871594226</v>
      </c>
      <c r="AB144" s="548">
        <f t="shared" ca="1" si="71"/>
        <v>0.2621052086838408</v>
      </c>
      <c r="AC144" s="548">
        <f t="shared" ca="1" si="71"/>
        <v>0.26865783890093681</v>
      </c>
      <c r="AD144" s="548">
        <f t="shared" ca="1" si="71"/>
        <v>0.27537428487346022</v>
      </c>
      <c r="AE144" s="548">
        <f t="shared" ca="1" si="71"/>
        <v>0.28225864199529666</v>
      </c>
      <c r="AF144" s="548">
        <f t="shared" ca="1" si="71"/>
        <v>0.28931510804517901</v>
      </c>
      <c r="AG144" s="548">
        <f t="shared" ca="1" si="71"/>
        <v>0.29654798574630853</v>
      </c>
      <c r="AH144" s="548">
        <f t="shared" ca="1" si="71"/>
        <v>0.30396168538996621</v>
      </c>
    </row>
    <row r="145" spans="1:34" ht="11.25" x14ac:dyDescent="0.2">
      <c r="E145" s="520" t="s">
        <v>107</v>
      </c>
      <c r="F145" s="79"/>
      <c r="G145" s="79"/>
      <c r="H145" s="79"/>
      <c r="I145" s="79"/>
      <c r="J145" s="81">
        <f>SUM(S131:S144)</f>
        <v>2.6340000000000003</v>
      </c>
      <c r="K145" s="81">
        <f t="shared" ref="K145:P145" ca="1" si="72">SUM(T131:T144)</f>
        <v>2.7656999999999998</v>
      </c>
      <c r="L145" s="81">
        <f t="shared" ca="1" si="72"/>
        <v>2.9039849999999996</v>
      </c>
      <c r="M145" s="81">
        <f t="shared" ca="1" si="72"/>
        <v>2.9765846249999997</v>
      </c>
      <c r="N145" s="81">
        <f t="shared" ca="1" si="72"/>
        <v>3.0509992406249991</v>
      </c>
      <c r="O145" s="81">
        <f t="shared" ca="1" si="72"/>
        <v>3.1272742216406249</v>
      </c>
      <c r="P145" s="81">
        <f t="shared" ca="1" si="72"/>
        <v>3.2054560771816387</v>
      </c>
      <c r="Q145" s="81">
        <f ca="1">SUM(Z131:Z144)</f>
        <v>3.285592479111179</v>
      </c>
      <c r="R145" s="81">
        <f t="shared" ref="R145" ca="1" si="73">SUM(AA131:AA144)</f>
        <v>3.3677322910889602</v>
      </c>
      <c r="S145" s="549">
        <f>SUM(S131:S144)</f>
        <v>2.6340000000000003</v>
      </c>
      <c r="T145" s="549">
        <f ca="1">SUM(T131:T144)</f>
        <v>2.7656999999999998</v>
      </c>
      <c r="U145" s="549">
        <f ca="1">SUM(U131:U144)</f>
        <v>2.9039849999999996</v>
      </c>
      <c r="V145" s="549">
        <f ca="1">SUM(V131:V144)</f>
        <v>2.9765846249999997</v>
      </c>
      <c r="W145" s="549">
        <f ca="1">SUM(W131:W144)</f>
        <v>3.0509992406249991</v>
      </c>
      <c r="X145" s="549">
        <f ca="1">SUM(X131:X144)</f>
        <v>3.1272742216406249</v>
      </c>
      <c r="Y145" s="549">
        <f t="shared" ref="Y145:AH145" ca="1" si="74">SUM(Y131:Y144)</f>
        <v>3.2054560771816387</v>
      </c>
      <c r="Z145" s="549">
        <f t="shared" ca="1" si="74"/>
        <v>3.285592479111179</v>
      </c>
      <c r="AA145" s="549">
        <f t="shared" ca="1" si="74"/>
        <v>3.3677322910889602</v>
      </c>
      <c r="AB145" s="549">
        <f t="shared" ca="1" si="74"/>
        <v>3.4519255983661843</v>
      </c>
      <c r="AC145" s="549">
        <f t="shared" ca="1" si="74"/>
        <v>3.5382237383253381</v>
      </c>
      <c r="AD145" s="549">
        <f t="shared" ca="1" si="74"/>
        <v>3.6266793317834707</v>
      </c>
      <c r="AE145" s="549">
        <f t="shared" ca="1" si="74"/>
        <v>3.7173463150780566</v>
      </c>
      <c r="AF145" s="549">
        <f t="shared" ca="1" si="74"/>
        <v>3.8102799729550094</v>
      </c>
      <c r="AG145" s="549">
        <f t="shared" ca="1" si="74"/>
        <v>3.9055369722788829</v>
      </c>
      <c r="AH145" s="549">
        <f t="shared" ca="1" si="74"/>
        <v>4.0031753965858554</v>
      </c>
    </row>
    <row r="146" spans="1:34" ht="3" customHeight="1" x14ac:dyDescent="0.2"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39"/>
      <c r="Q146" s="12"/>
      <c r="R146" s="547"/>
      <c r="S146" s="547"/>
      <c r="T146" s="547"/>
      <c r="U146" s="547"/>
      <c r="V146" s="547"/>
      <c r="W146" s="547"/>
      <c r="X146" s="547"/>
      <c r="Y146" s="547"/>
      <c r="Z146" s="547"/>
      <c r="AA146" s="547"/>
      <c r="AB146" s="547"/>
      <c r="AC146" s="547"/>
      <c r="AD146" s="547"/>
      <c r="AE146" s="547"/>
      <c r="AF146" s="547"/>
      <c r="AG146" s="547"/>
      <c r="AH146" s="547"/>
    </row>
    <row r="147" spans="1:34" ht="11.25" x14ac:dyDescent="0.2">
      <c r="E147" s="521" t="s">
        <v>189</v>
      </c>
      <c r="F147" s="125"/>
      <c r="G147" s="125"/>
      <c r="H147" s="138"/>
      <c r="I147" s="125"/>
      <c r="J147" s="125"/>
      <c r="K147" s="125"/>
      <c r="L147" s="125"/>
      <c r="M147" s="125"/>
      <c r="N147" s="125"/>
      <c r="O147" s="125"/>
      <c r="P147" s="125"/>
      <c r="Q147" s="125"/>
      <c r="R147" s="550"/>
      <c r="S147" s="550"/>
      <c r="T147" s="550"/>
      <c r="U147" s="550"/>
      <c r="V147" s="550"/>
      <c r="W147" s="550"/>
      <c r="X147" s="550"/>
      <c r="Y147" s="550"/>
      <c r="Z147" s="550"/>
      <c r="AA147" s="550"/>
      <c r="AB147" s="550"/>
      <c r="AC147" s="550"/>
      <c r="AD147" s="550"/>
      <c r="AE147" s="550"/>
      <c r="AF147" s="550"/>
      <c r="AG147" s="550"/>
      <c r="AH147" s="550"/>
    </row>
    <row r="148" spans="1:34" ht="11.25" x14ac:dyDescent="0.2">
      <c r="E148" s="522" t="s">
        <v>40</v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6">
        <f t="shared" ref="P148:Q150" si="75">P43/1000*P101*fee_Discount_Factor</f>
        <v>9.8600000000000007E-2</v>
      </c>
      <c r="Q148" s="126">
        <f t="shared" si="75"/>
        <v>2.1000000000000003E-3</v>
      </c>
      <c r="R148" s="550">
        <f t="shared" ref="R148:X151" si="76">R43/1000*R101</f>
        <v>0.1</v>
      </c>
      <c r="S148" s="550">
        <f t="shared" si="76"/>
        <v>0.1</v>
      </c>
      <c r="T148" s="550">
        <f t="shared" si="76"/>
        <v>0.1</v>
      </c>
      <c r="U148" s="550">
        <f t="shared" ca="1" si="76"/>
        <v>0.1</v>
      </c>
      <c r="V148" s="550">
        <f t="shared" ca="1" si="76"/>
        <v>0.1</v>
      </c>
      <c r="W148" s="550">
        <f t="shared" ca="1" si="76"/>
        <v>0.1</v>
      </c>
      <c r="X148" s="550">
        <f t="shared" ca="1" si="76"/>
        <v>0.1</v>
      </c>
      <c r="Y148" s="550">
        <f t="shared" ref="Y148:AH148" ca="1" si="77">Y43/1000*Y101</f>
        <v>0.1</v>
      </c>
      <c r="Z148" s="550">
        <f t="shared" ca="1" si="77"/>
        <v>0.1</v>
      </c>
      <c r="AA148" s="550">
        <f t="shared" ca="1" si="77"/>
        <v>0.1</v>
      </c>
      <c r="AB148" s="550">
        <f t="shared" ca="1" si="77"/>
        <v>0.1</v>
      </c>
      <c r="AC148" s="550">
        <f t="shared" ca="1" si="77"/>
        <v>0.1</v>
      </c>
      <c r="AD148" s="550">
        <f t="shared" ca="1" si="77"/>
        <v>0.1</v>
      </c>
      <c r="AE148" s="550">
        <f t="shared" ca="1" si="77"/>
        <v>0.1</v>
      </c>
      <c r="AF148" s="550">
        <f t="shared" ca="1" si="77"/>
        <v>0.1</v>
      </c>
      <c r="AG148" s="550">
        <f t="shared" ca="1" si="77"/>
        <v>0.1</v>
      </c>
      <c r="AH148" s="550">
        <f t="shared" ca="1" si="77"/>
        <v>0.1</v>
      </c>
    </row>
    <row r="149" spans="1:34" ht="11.25" x14ac:dyDescent="0.2">
      <c r="E149" s="522" t="s">
        <v>41</v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7">
        <f t="shared" si="75"/>
        <v>9.8600000000000007E-2</v>
      </c>
      <c r="Q149" s="127">
        <f t="shared" si="75"/>
        <v>2.1000000000000003E-3</v>
      </c>
      <c r="R149" s="550">
        <f t="shared" si="76"/>
        <v>0.1</v>
      </c>
      <c r="S149" s="550">
        <f t="shared" si="76"/>
        <v>0.1</v>
      </c>
      <c r="T149" s="550">
        <f t="shared" ca="1" si="76"/>
        <v>0.10500000000000001</v>
      </c>
      <c r="U149" s="550">
        <f t="shared" ca="1" si="76"/>
        <v>0.11025</v>
      </c>
      <c r="V149" s="550">
        <f t="shared" ca="1" si="76"/>
        <v>0.11300625</v>
      </c>
      <c r="W149" s="550">
        <f t="shared" ca="1" si="76"/>
        <v>0.11583140624999999</v>
      </c>
      <c r="X149" s="550">
        <f t="shared" ca="1" si="76"/>
        <v>0.11872719140624999</v>
      </c>
      <c r="Y149" s="550">
        <f t="shared" ref="Y149:AH149" ca="1" si="78">Y44/1000*Y102</f>
        <v>0.12169537119140621</v>
      </c>
      <c r="Z149" s="550">
        <f t="shared" ca="1" si="78"/>
        <v>0.12473775547119136</v>
      </c>
      <c r="AA149" s="550">
        <f t="shared" ca="1" si="78"/>
        <v>0.12785619935797113</v>
      </c>
      <c r="AB149" s="550">
        <f t="shared" ca="1" si="78"/>
        <v>0.1310526043419204</v>
      </c>
      <c r="AC149" s="550">
        <f t="shared" ca="1" si="78"/>
        <v>0.1343289194504684</v>
      </c>
      <c r="AD149" s="550">
        <f t="shared" ca="1" si="78"/>
        <v>0.13768714243673011</v>
      </c>
      <c r="AE149" s="550">
        <f t="shared" ca="1" si="78"/>
        <v>0.14112932099764833</v>
      </c>
      <c r="AF149" s="550">
        <f t="shared" ca="1" si="78"/>
        <v>0.14465755402258951</v>
      </c>
      <c r="AG149" s="550">
        <f t="shared" ca="1" si="78"/>
        <v>0.14827399287315426</v>
      </c>
      <c r="AH149" s="550">
        <f t="shared" ca="1" si="78"/>
        <v>0.1519808426949831</v>
      </c>
    </row>
    <row r="150" spans="1:34" ht="11.25" x14ac:dyDescent="0.2">
      <c r="E150" s="522" t="s">
        <v>42</v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7">
        <f t="shared" si="75"/>
        <v>9.8600000000000007E-2</v>
      </c>
      <c r="Q150" s="127">
        <f t="shared" si="75"/>
        <v>2.1000000000000003E-3</v>
      </c>
      <c r="R150" s="550">
        <f t="shared" si="76"/>
        <v>0.1</v>
      </c>
      <c r="S150" s="550">
        <f t="shared" si="76"/>
        <v>0.1</v>
      </c>
      <c r="T150" s="550">
        <f t="shared" si="76"/>
        <v>0.1</v>
      </c>
      <c r="U150" s="550">
        <f t="shared" ca="1" si="76"/>
        <v>0.10500000000000001</v>
      </c>
      <c r="V150" s="550">
        <f t="shared" ca="1" si="76"/>
        <v>0.107625</v>
      </c>
      <c r="W150" s="550">
        <f t="shared" ca="1" si="76"/>
        <v>0.11031562499999997</v>
      </c>
      <c r="X150" s="550">
        <f t="shared" ca="1" si="76"/>
        <v>0.11307351562499998</v>
      </c>
      <c r="Y150" s="550">
        <f t="shared" ref="Y150:AH150" ca="1" si="79">Y45/1000*Y103</f>
        <v>0.11590035351562497</v>
      </c>
      <c r="Z150" s="550">
        <f t="shared" ca="1" si="79"/>
        <v>0.11879786235351558</v>
      </c>
      <c r="AA150" s="550">
        <f t="shared" ca="1" si="79"/>
        <v>0.12176780891235346</v>
      </c>
      <c r="AB150" s="550">
        <f t="shared" ca="1" si="79"/>
        <v>0.1248120041351623</v>
      </c>
      <c r="AC150" s="550">
        <f t="shared" ca="1" si="79"/>
        <v>0.12793230423854132</v>
      </c>
      <c r="AD150" s="550">
        <f t="shared" ca="1" si="79"/>
        <v>0.13113061184450486</v>
      </c>
      <c r="AE150" s="550">
        <f t="shared" ca="1" si="79"/>
        <v>0.13440887714061744</v>
      </c>
      <c r="AF150" s="550">
        <f t="shared" ca="1" si="79"/>
        <v>0.1377690990691329</v>
      </c>
      <c r="AG150" s="550">
        <f t="shared" ca="1" si="79"/>
        <v>0.14121332654586122</v>
      </c>
      <c r="AH150" s="550">
        <f t="shared" ca="1" si="79"/>
        <v>0.14474365970950773</v>
      </c>
    </row>
    <row r="151" spans="1:34" ht="11.25" x14ac:dyDescent="0.2">
      <c r="E151" s="522" t="s">
        <v>277</v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7">
        <f>P24/1000*P104*fee_Discount_Factor</f>
        <v>9.8600000000000007E-2</v>
      </c>
      <c r="Q151" s="127">
        <f>Q24/1000*Q104*fee_Discount_Factor</f>
        <v>2.1000000000000003E-3</v>
      </c>
      <c r="R151" s="550">
        <f t="shared" si="76"/>
        <v>0.1</v>
      </c>
      <c r="S151" s="550">
        <f t="shared" si="76"/>
        <v>0.1</v>
      </c>
      <c r="T151" s="550">
        <f t="shared" ca="1" si="76"/>
        <v>0.10500000000000001</v>
      </c>
      <c r="U151" s="550">
        <f t="shared" ca="1" si="76"/>
        <v>0.11025</v>
      </c>
      <c r="V151" s="550">
        <f t="shared" ca="1" si="76"/>
        <v>0.11300625</v>
      </c>
      <c r="W151" s="550">
        <f t="shared" ca="1" si="76"/>
        <v>0.11583140624999999</v>
      </c>
      <c r="X151" s="550">
        <f t="shared" ca="1" si="76"/>
        <v>0.11872719140624999</v>
      </c>
      <c r="Y151" s="550">
        <f t="shared" ref="Y151:AH151" ca="1" si="80">Y46/1000*Y104</f>
        <v>0.12169537119140621</v>
      </c>
      <c r="Z151" s="550">
        <f t="shared" ca="1" si="80"/>
        <v>0.12473775547119136</v>
      </c>
      <c r="AA151" s="550">
        <f t="shared" ca="1" si="80"/>
        <v>0.12785619935797113</v>
      </c>
      <c r="AB151" s="550">
        <f t="shared" ca="1" si="80"/>
        <v>0.1310526043419204</v>
      </c>
      <c r="AC151" s="550">
        <f t="shared" ca="1" si="80"/>
        <v>0.1343289194504684</v>
      </c>
      <c r="AD151" s="550">
        <f t="shared" ca="1" si="80"/>
        <v>0.13768714243673011</v>
      </c>
      <c r="AE151" s="550">
        <f t="shared" ca="1" si="80"/>
        <v>0.14112932099764833</v>
      </c>
      <c r="AF151" s="550">
        <f t="shared" ca="1" si="80"/>
        <v>0.14465755402258951</v>
      </c>
      <c r="AG151" s="550">
        <f t="shared" ca="1" si="80"/>
        <v>0.14827399287315426</v>
      </c>
      <c r="AH151" s="550">
        <f t="shared" ca="1" si="80"/>
        <v>0.1519808426949831</v>
      </c>
    </row>
    <row r="152" spans="1:34" ht="11.25" x14ac:dyDescent="0.2">
      <c r="E152" s="522" t="s">
        <v>319</v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7"/>
      <c r="Q152" s="127"/>
      <c r="R152" s="550">
        <f t="shared" ref="R152:X153" si="81">R105*R47/1000</f>
        <v>0.1</v>
      </c>
      <c r="S152" s="550">
        <f t="shared" si="81"/>
        <v>0.1</v>
      </c>
      <c r="T152" s="550">
        <f t="shared" ca="1" si="81"/>
        <v>0.105</v>
      </c>
      <c r="U152" s="550">
        <f t="shared" ca="1" si="81"/>
        <v>0.11025</v>
      </c>
      <c r="V152" s="550">
        <f t="shared" ca="1" si="81"/>
        <v>0.11300624999999999</v>
      </c>
      <c r="W152" s="550">
        <f t="shared" ca="1" si="81"/>
        <v>0.11583140624999999</v>
      </c>
      <c r="X152" s="550">
        <f t="shared" ca="1" si="81"/>
        <v>0.11872719140624997</v>
      </c>
      <c r="Y152" s="550">
        <f t="shared" ref="Y152:AH152" ca="1" si="82">Y105*Y47/1000</f>
        <v>0.12169537119140621</v>
      </c>
      <c r="Z152" s="550">
        <f t="shared" ca="1" si="82"/>
        <v>0.12473775547119136</v>
      </c>
      <c r="AA152" s="550">
        <f t="shared" ca="1" si="82"/>
        <v>0.12785619935797113</v>
      </c>
      <c r="AB152" s="550">
        <f t="shared" ca="1" si="82"/>
        <v>0.13105260434192043</v>
      </c>
      <c r="AC152" s="550">
        <f t="shared" ca="1" si="82"/>
        <v>0.1343289194504684</v>
      </c>
      <c r="AD152" s="550">
        <f t="shared" ca="1" si="82"/>
        <v>0.13768714243673008</v>
      </c>
      <c r="AE152" s="550">
        <f t="shared" ca="1" si="82"/>
        <v>0.14112932099764833</v>
      </c>
      <c r="AF152" s="550">
        <f t="shared" ca="1" si="82"/>
        <v>0.14465755402258954</v>
      </c>
      <c r="AG152" s="550">
        <f t="shared" ca="1" si="82"/>
        <v>0.14827399287315426</v>
      </c>
      <c r="AH152" s="550">
        <f t="shared" ca="1" si="82"/>
        <v>0.15198084269498313</v>
      </c>
    </row>
    <row r="153" spans="1:34" ht="11.25" x14ac:dyDescent="0.2">
      <c r="E153" s="522" t="s">
        <v>321</v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7"/>
      <c r="Q153" s="127"/>
      <c r="R153" s="550">
        <f t="shared" si="81"/>
        <v>0.1</v>
      </c>
      <c r="S153" s="550">
        <f t="shared" si="81"/>
        <v>0.1</v>
      </c>
      <c r="T153" s="550">
        <f t="shared" ca="1" si="81"/>
        <v>0.105</v>
      </c>
      <c r="U153" s="550">
        <f t="shared" ca="1" si="81"/>
        <v>0</v>
      </c>
      <c r="V153" s="550">
        <f t="shared" ca="1" si="81"/>
        <v>0</v>
      </c>
      <c r="W153" s="550">
        <f t="shared" ca="1" si="81"/>
        <v>0</v>
      </c>
      <c r="X153" s="550">
        <f t="shared" ca="1" si="81"/>
        <v>0</v>
      </c>
      <c r="Y153" s="550">
        <f t="shared" ref="Y153:AH153" ca="1" si="83">Y106*Y48/1000</f>
        <v>0</v>
      </c>
      <c r="Z153" s="550">
        <f t="shared" ca="1" si="83"/>
        <v>0</v>
      </c>
      <c r="AA153" s="550">
        <f t="shared" ca="1" si="83"/>
        <v>0</v>
      </c>
      <c r="AB153" s="550">
        <f t="shared" ca="1" si="83"/>
        <v>0</v>
      </c>
      <c r="AC153" s="550">
        <f t="shared" ca="1" si="83"/>
        <v>0</v>
      </c>
      <c r="AD153" s="550">
        <f t="shared" ca="1" si="83"/>
        <v>0</v>
      </c>
      <c r="AE153" s="550">
        <f t="shared" ca="1" si="83"/>
        <v>0</v>
      </c>
      <c r="AF153" s="550">
        <f t="shared" ca="1" si="83"/>
        <v>0</v>
      </c>
      <c r="AG153" s="550">
        <f t="shared" ca="1" si="83"/>
        <v>0</v>
      </c>
      <c r="AH153" s="550">
        <f t="shared" ca="1" si="83"/>
        <v>0</v>
      </c>
    </row>
    <row r="154" spans="1:34" ht="11.25" x14ac:dyDescent="0.2">
      <c r="E154" s="522" t="s">
        <v>280</v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7">
        <f>P49/1000*P107*fee_Discount_Factor</f>
        <v>9.8600000000000007E-2</v>
      </c>
      <c r="Q154" s="127">
        <f>Q49/1000*Q107*fee_Discount_Factor</f>
        <v>2.1000000000000003E-3</v>
      </c>
      <c r="R154" s="550">
        <f t="shared" ref="R154:X156" si="84">R49/1000*R107</f>
        <v>0.1</v>
      </c>
      <c r="S154" s="550">
        <f t="shared" si="84"/>
        <v>0.1</v>
      </c>
      <c r="T154" s="550">
        <f t="shared" si="84"/>
        <v>0.1</v>
      </c>
      <c r="U154" s="550">
        <f t="shared" ca="1" si="84"/>
        <v>0.10500000000000001</v>
      </c>
      <c r="V154" s="550">
        <f t="shared" ca="1" si="84"/>
        <v>0.107625</v>
      </c>
      <c r="W154" s="550">
        <f t="shared" ca="1" si="84"/>
        <v>0.11031562499999997</v>
      </c>
      <c r="X154" s="550">
        <f t="shared" ca="1" si="84"/>
        <v>0.11307351562499998</v>
      </c>
      <c r="Y154" s="550">
        <f t="shared" ref="Y154:AH154" ca="1" si="85">Y49/1000*Y107</f>
        <v>0.11590035351562497</v>
      </c>
      <c r="Z154" s="550">
        <f t="shared" ca="1" si="85"/>
        <v>0.11879786235351558</v>
      </c>
      <c r="AA154" s="550">
        <f t="shared" ca="1" si="85"/>
        <v>0.12176780891235346</v>
      </c>
      <c r="AB154" s="550">
        <f t="shared" ca="1" si="85"/>
        <v>0.1248120041351623</v>
      </c>
      <c r="AC154" s="550">
        <f t="shared" ca="1" si="85"/>
        <v>0.12793230423854132</v>
      </c>
      <c r="AD154" s="550">
        <f t="shared" ca="1" si="85"/>
        <v>0.13113061184450486</v>
      </c>
      <c r="AE154" s="550">
        <f t="shared" ca="1" si="85"/>
        <v>0.13440887714061744</v>
      </c>
      <c r="AF154" s="550">
        <f t="shared" ca="1" si="85"/>
        <v>0.1377690990691329</v>
      </c>
      <c r="AG154" s="550">
        <f t="shared" ca="1" si="85"/>
        <v>0.14121332654586122</v>
      </c>
      <c r="AH154" s="550">
        <f t="shared" ca="1" si="85"/>
        <v>0.14474365970950773</v>
      </c>
    </row>
    <row r="155" spans="1:34" ht="11.25" x14ac:dyDescent="0.2">
      <c r="E155" s="522" t="s">
        <v>278</v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7"/>
      <c r="Q155" s="127"/>
      <c r="R155" s="550">
        <f t="shared" si="84"/>
        <v>0.1</v>
      </c>
      <c r="S155" s="550">
        <f t="shared" si="84"/>
        <v>0.1</v>
      </c>
      <c r="T155" s="550">
        <f t="shared" si="84"/>
        <v>0.1</v>
      </c>
      <c r="U155" s="550">
        <f t="shared" ca="1" si="84"/>
        <v>0.10500000000000001</v>
      </c>
      <c r="V155" s="550">
        <f t="shared" ca="1" si="84"/>
        <v>0.107625</v>
      </c>
      <c r="W155" s="550">
        <f t="shared" ca="1" si="84"/>
        <v>0.11031562499999997</v>
      </c>
      <c r="X155" s="550">
        <f t="shared" ca="1" si="84"/>
        <v>0.11307351562499998</v>
      </c>
      <c r="Y155" s="550">
        <f t="shared" ref="Y155:AH155" ca="1" si="86">Y50/1000*Y108</f>
        <v>0.11590035351562497</v>
      </c>
      <c r="Z155" s="550">
        <f t="shared" ca="1" si="86"/>
        <v>0.11879786235351558</v>
      </c>
      <c r="AA155" s="550">
        <f t="shared" ca="1" si="86"/>
        <v>0.12176780891235346</v>
      </c>
      <c r="AB155" s="550">
        <f t="shared" ca="1" si="86"/>
        <v>0.1248120041351623</v>
      </c>
      <c r="AC155" s="550">
        <f t="shared" ca="1" si="86"/>
        <v>0.12793230423854132</v>
      </c>
      <c r="AD155" s="550">
        <f t="shared" ca="1" si="86"/>
        <v>0.13113061184450486</v>
      </c>
      <c r="AE155" s="550">
        <f t="shared" ca="1" si="86"/>
        <v>0.13440887714061744</v>
      </c>
      <c r="AF155" s="550">
        <f t="shared" ca="1" si="86"/>
        <v>0.1377690990691329</v>
      </c>
      <c r="AG155" s="550">
        <f t="shared" ca="1" si="86"/>
        <v>0.14121332654586122</v>
      </c>
      <c r="AH155" s="550">
        <f t="shared" ca="1" si="86"/>
        <v>0.14474365970950773</v>
      </c>
    </row>
    <row r="156" spans="1:34" ht="11.25" x14ac:dyDescent="0.2">
      <c r="E156" s="522" t="s">
        <v>106</v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7">
        <f>P51/1000*P109*fee_Discount_Factor</f>
        <v>9.8600000000000007E-2</v>
      </c>
      <c r="Q156" s="127">
        <f>Q51/1000*Q109*fee_Discount_Factor</f>
        <v>2.1000000000000003E-3</v>
      </c>
      <c r="R156" s="550">
        <f t="shared" si="84"/>
        <v>0.1</v>
      </c>
      <c r="S156" s="550">
        <f t="shared" si="84"/>
        <v>0.1</v>
      </c>
      <c r="T156" s="550">
        <f t="shared" ca="1" si="84"/>
        <v>0.10500000000000001</v>
      </c>
      <c r="U156" s="550">
        <f t="shared" ca="1" si="84"/>
        <v>0.11025</v>
      </c>
      <c r="V156" s="550">
        <f t="shared" ca="1" si="84"/>
        <v>0.11300625</v>
      </c>
      <c r="W156" s="550">
        <f t="shared" ca="1" si="84"/>
        <v>0.11583140624999999</v>
      </c>
      <c r="X156" s="550">
        <f t="shared" ca="1" si="84"/>
        <v>0.11872719140624999</v>
      </c>
      <c r="Y156" s="550">
        <f t="shared" ref="Y156:AH156" ca="1" si="87">Y51/1000*Y109</f>
        <v>0.12169537119140621</v>
      </c>
      <c r="Z156" s="550">
        <f t="shared" ca="1" si="87"/>
        <v>0.12473775547119136</v>
      </c>
      <c r="AA156" s="550">
        <f t="shared" ca="1" si="87"/>
        <v>0.12785619935797113</v>
      </c>
      <c r="AB156" s="550">
        <f t="shared" ca="1" si="87"/>
        <v>0.1310526043419204</v>
      </c>
      <c r="AC156" s="550">
        <f t="shared" ca="1" si="87"/>
        <v>0.1343289194504684</v>
      </c>
      <c r="AD156" s="550">
        <f t="shared" ca="1" si="87"/>
        <v>0.13768714243673011</v>
      </c>
      <c r="AE156" s="550">
        <f t="shared" ca="1" si="87"/>
        <v>0.14112932099764833</v>
      </c>
      <c r="AF156" s="550">
        <f t="shared" ca="1" si="87"/>
        <v>0.14465755402258951</v>
      </c>
      <c r="AG156" s="550">
        <f t="shared" ca="1" si="87"/>
        <v>0.14827399287315426</v>
      </c>
      <c r="AH156" s="550">
        <f t="shared" ca="1" si="87"/>
        <v>0.1519808426949831</v>
      </c>
    </row>
    <row r="157" spans="1:34" ht="11.25" x14ac:dyDescent="0.2">
      <c r="E157" s="521" t="s">
        <v>101</v>
      </c>
      <c r="F157" s="125"/>
      <c r="G157" s="125"/>
      <c r="H157" s="125"/>
      <c r="I157" s="125"/>
      <c r="J157" s="127">
        <f>SUM(S148:S156)</f>
        <v>0.89999999999999991</v>
      </c>
      <c r="K157" s="127">
        <f t="shared" ref="K157:R157" ca="1" si="88">SUM(T148:T156)</f>
        <v>0.92499999999999993</v>
      </c>
      <c r="L157" s="127">
        <f t="shared" ca="1" si="88"/>
        <v>0.85599999999999998</v>
      </c>
      <c r="M157" s="127">
        <f t="shared" ca="1" si="88"/>
        <v>0.8748999999999999</v>
      </c>
      <c r="N157" s="127">
        <f t="shared" ca="1" si="88"/>
        <v>0.89427249999999991</v>
      </c>
      <c r="O157" s="127">
        <f t="shared" ca="1" si="88"/>
        <v>0.91412931249999996</v>
      </c>
      <c r="P157" s="127">
        <f t="shared" ca="1" si="88"/>
        <v>0.93448254531249975</v>
      </c>
      <c r="Q157" s="127">
        <f t="shared" ca="1" si="88"/>
        <v>0.95534460894531203</v>
      </c>
      <c r="R157" s="127">
        <f t="shared" ca="1" si="88"/>
        <v>0.97672822416894489</v>
      </c>
      <c r="S157" s="551">
        <f>SUM(S148:S156)</f>
        <v>0.89999999999999991</v>
      </c>
      <c r="T157" s="551">
        <f ca="1">SUM(T148:T156)</f>
        <v>0.92499999999999993</v>
      </c>
      <c r="U157" s="551">
        <f ca="1">SUM(U148:U156)</f>
        <v>0.85599999999999998</v>
      </c>
      <c r="V157" s="551">
        <f ca="1">SUM(V148:V156)</f>
        <v>0.8748999999999999</v>
      </c>
      <c r="W157" s="551">
        <f ca="1">SUM(W148:W156)</f>
        <v>0.89427249999999991</v>
      </c>
      <c r="X157" s="551">
        <f ca="1">SUM(X148:X156)</f>
        <v>0.91412931249999996</v>
      </c>
      <c r="Y157" s="551">
        <f t="shared" ref="Y157:AH157" ca="1" si="89">SUM(Y148:Y156)</f>
        <v>0.93448254531249975</v>
      </c>
      <c r="Z157" s="551">
        <f t="shared" ca="1" si="89"/>
        <v>0.95534460894531203</v>
      </c>
      <c r="AA157" s="551">
        <f t="shared" ca="1" si="89"/>
        <v>0.97672822416894489</v>
      </c>
      <c r="AB157" s="551">
        <f t="shared" ca="1" si="89"/>
        <v>0.99864642977316853</v>
      </c>
      <c r="AC157" s="551">
        <f t="shared" ca="1" si="89"/>
        <v>1.0211125905174976</v>
      </c>
      <c r="AD157" s="551">
        <f t="shared" ca="1" si="89"/>
        <v>1.0441404052804348</v>
      </c>
      <c r="AE157" s="551">
        <f t="shared" ca="1" si="89"/>
        <v>1.0677439154124457</v>
      </c>
      <c r="AF157" s="551">
        <f t="shared" ca="1" si="89"/>
        <v>1.0919375132977569</v>
      </c>
      <c r="AG157" s="551">
        <f t="shared" ca="1" si="89"/>
        <v>1.1167359511302006</v>
      </c>
      <c r="AH157" s="551">
        <f t="shared" ca="1" si="89"/>
        <v>1.1421543499084557</v>
      </c>
    </row>
    <row r="158" spans="1:34" ht="3" customHeight="1" x14ac:dyDescent="0.2">
      <c r="E158" s="514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64"/>
      <c r="Q158" s="12"/>
      <c r="R158" s="547"/>
      <c r="S158" s="547"/>
      <c r="T158" s="547"/>
      <c r="U158" s="547"/>
      <c r="V158" s="547"/>
      <c r="W158" s="547"/>
      <c r="X158" s="547"/>
      <c r="Y158" s="547"/>
      <c r="Z158" s="547"/>
      <c r="AA158" s="547"/>
      <c r="AB158" s="547"/>
      <c r="AC158" s="547"/>
      <c r="AD158" s="547"/>
      <c r="AE158" s="547"/>
      <c r="AF158" s="547"/>
      <c r="AG158" s="547"/>
      <c r="AH158" s="547"/>
    </row>
    <row r="159" spans="1:34" ht="12.75" customHeight="1" x14ac:dyDescent="0.2">
      <c r="E159" s="566" t="s">
        <v>65</v>
      </c>
      <c r="F159" s="567"/>
      <c r="G159" s="567"/>
      <c r="H159" s="567"/>
      <c r="I159" s="567"/>
      <c r="J159" s="568">
        <v>10</v>
      </c>
      <c r="K159" s="568">
        <v>10</v>
      </c>
      <c r="L159" s="568">
        <v>10</v>
      </c>
      <c r="M159" s="568">
        <v>10</v>
      </c>
      <c r="N159" s="568">
        <v>10</v>
      </c>
      <c r="O159" s="568">
        <v>10</v>
      </c>
      <c r="P159" s="568">
        <v>10</v>
      </c>
      <c r="Q159" s="568">
        <v>10</v>
      </c>
      <c r="R159" s="568">
        <v>10</v>
      </c>
      <c r="S159" s="568">
        <v>10</v>
      </c>
      <c r="T159" s="568">
        <v>10</v>
      </c>
      <c r="U159" s="569">
        <f ca="1">Prior_Year*(1+U160)</f>
        <v>10.709999999999999</v>
      </c>
      <c r="V159" s="569">
        <f ca="1">Prior_Year*(1+V160)</f>
        <v>11.470409999999999</v>
      </c>
      <c r="W159" s="569">
        <f ca="1">Prior_Year*(1+W160)</f>
        <v>12.284809109999999</v>
      </c>
      <c r="X159" s="569">
        <f ca="1">Prior_Year*(1+X160)</f>
        <v>13.15703055681</v>
      </c>
      <c r="Y159" s="569">
        <f t="shared" ref="Y159:AH159" ca="1" si="90">Prior_Year*(1+Y160)</f>
        <v>14.091179726343508</v>
      </c>
      <c r="Z159" s="569">
        <f t="shared" ca="1" si="90"/>
        <v>15.091653486913897</v>
      </c>
      <c r="AA159" s="569">
        <f t="shared" ca="1" si="90"/>
        <v>16.163160884484782</v>
      </c>
      <c r="AB159" s="569">
        <f t="shared" ca="1" si="90"/>
        <v>17.310745307283202</v>
      </c>
      <c r="AC159" s="569">
        <f t="shared" ca="1" si="90"/>
        <v>18.539808224100309</v>
      </c>
      <c r="AD159" s="569">
        <f t="shared" ca="1" si="90"/>
        <v>19.85613460801143</v>
      </c>
      <c r="AE159" s="569">
        <f t="shared" ca="1" si="90"/>
        <v>21.265920165180241</v>
      </c>
      <c r="AF159" s="569">
        <f t="shared" ca="1" si="90"/>
        <v>22.775800496908037</v>
      </c>
      <c r="AG159" s="569">
        <f t="shared" ca="1" si="90"/>
        <v>24.392882332188506</v>
      </c>
      <c r="AH159" s="569">
        <f t="shared" ca="1" si="90"/>
        <v>26.124776977773887</v>
      </c>
    </row>
    <row r="160" spans="1:34" s="42" customFormat="1" ht="11.25" x14ac:dyDescent="0.2">
      <c r="A160" s="480"/>
      <c r="B160" s="480"/>
      <c r="C160" s="480"/>
      <c r="D160" s="493"/>
      <c r="E160" s="570" t="s">
        <v>313</v>
      </c>
      <c r="F160" s="571"/>
      <c r="G160" s="571"/>
      <c r="H160" s="571"/>
      <c r="I160" s="571"/>
      <c r="J160" s="572"/>
      <c r="K160" s="572">
        <f t="shared" ref="K160:S160" si="91">(K159-J159)/J159</f>
        <v>0</v>
      </c>
      <c r="L160" s="572">
        <f t="shared" si="91"/>
        <v>0</v>
      </c>
      <c r="M160" s="572">
        <f t="shared" si="91"/>
        <v>0</v>
      </c>
      <c r="N160" s="572">
        <f t="shared" si="91"/>
        <v>0</v>
      </c>
      <c r="O160" s="572">
        <f t="shared" si="91"/>
        <v>0</v>
      </c>
      <c r="P160" s="572">
        <f t="shared" si="91"/>
        <v>0</v>
      </c>
      <c r="Q160" s="572">
        <f t="shared" si="91"/>
        <v>0</v>
      </c>
      <c r="R160" s="572">
        <f t="shared" si="91"/>
        <v>0</v>
      </c>
      <c r="S160" s="572">
        <f t="shared" si="91"/>
        <v>0</v>
      </c>
      <c r="T160" s="573">
        <v>7.0999999999999994E-2</v>
      </c>
      <c r="U160" s="573">
        <f>T160</f>
        <v>7.0999999999999994E-2</v>
      </c>
      <c r="V160" s="573">
        <f>U160</f>
        <v>7.0999999999999994E-2</v>
      </c>
      <c r="W160" s="573">
        <f>V160</f>
        <v>7.0999999999999994E-2</v>
      </c>
      <c r="X160" s="573">
        <f>W160</f>
        <v>7.0999999999999994E-2</v>
      </c>
      <c r="Y160" s="573">
        <f t="shared" ref="Y160:AH160" si="92">X160</f>
        <v>7.0999999999999994E-2</v>
      </c>
      <c r="Z160" s="573">
        <f t="shared" si="92"/>
        <v>7.0999999999999994E-2</v>
      </c>
      <c r="AA160" s="573">
        <f t="shared" si="92"/>
        <v>7.0999999999999994E-2</v>
      </c>
      <c r="AB160" s="573">
        <f t="shared" si="92"/>
        <v>7.0999999999999994E-2</v>
      </c>
      <c r="AC160" s="573">
        <f t="shared" si="92"/>
        <v>7.0999999999999994E-2</v>
      </c>
      <c r="AD160" s="573">
        <f t="shared" si="92"/>
        <v>7.0999999999999994E-2</v>
      </c>
      <c r="AE160" s="573">
        <f t="shared" si="92"/>
        <v>7.0999999999999994E-2</v>
      </c>
      <c r="AF160" s="573">
        <f t="shared" si="92"/>
        <v>7.0999999999999994E-2</v>
      </c>
      <c r="AG160" s="573">
        <f t="shared" si="92"/>
        <v>7.0999999999999994E-2</v>
      </c>
      <c r="AH160" s="573">
        <f t="shared" si="92"/>
        <v>7.0999999999999994E-2</v>
      </c>
    </row>
    <row r="161" spans="1:34" ht="11.25" x14ac:dyDescent="0.2">
      <c r="E161" s="492"/>
      <c r="F161" s="12"/>
      <c r="G161" s="12"/>
      <c r="H161" s="12"/>
      <c r="I161" s="12"/>
      <c r="J161" s="12"/>
      <c r="K161" s="12"/>
      <c r="L161" s="12"/>
      <c r="M161" s="12"/>
      <c r="N161" s="12"/>
      <c r="O161" s="22"/>
      <c r="P161" s="22"/>
      <c r="Q161" s="22"/>
      <c r="R161" s="22"/>
      <c r="S161" s="22">
        <f>S157+S145</f>
        <v>3.5340000000000003</v>
      </c>
      <c r="T161" s="22">
        <f ca="1">T157+T145</f>
        <v>3.6906999999999996</v>
      </c>
      <c r="U161" s="22">
        <f ca="1">U157+U145</f>
        <v>3.7599849999999995</v>
      </c>
      <c r="V161" s="22">
        <f ca="1">V157+V145</f>
        <v>3.8514846249999994</v>
      </c>
      <c r="W161" s="22">
        <f ca="1">W157+W145</f>
        <v>3.9452717406249991</v>
      </c>
      <c r="X161" s="22">
        <f ca="1">X157+X145+25000</f>
        <v>25004.041403534142</v>
      </c>
      <c r="Y161" s="22">
        <f t="shared" ref="Y161:AH161" ca="1" si="93">Y157+Y145+25000</f>
        <v>25004.139938622495</v>
      </c>
      <c r="Z161" s="22">
        <f t="shared" ca="1" si="93"/>
        <v>25004.240937088056</v>
      </c>
      <c r="AA161" s="22">
        <f t="shared" ca="1" si="93"/>
        <v>25004.344460515258</v>
      </c>
      <c r="AB161" s="22">
        <f t="shared" ca="1" si="93"/>
        <v>25004.450572028138</v>
      </c>
      <c r="AC161" s="22">
        <f t="shared" ca="1" si="93"/>
        <v>25004.559336328843</v>
      </c>
      <c r="AD161" s="22">
        <f t="shared" ca="1" si="93"/>
        <v>25004.670819737064</v>
      </c>
      <c r="AE161" s="22">
        <f t="shared" ca="1" si="93"/>
        <v>25004.785090230489</v>
      </c>
      <c r="AF161" s="22">
        <f t="shared" ca="1" si="93"/>
        <v>25004.902217486251</v>
      </c>
      <c r="AG161" s="22">
        <f t="shared" ca="1" si="93"/>
        <v>25005.022272923408</v>
      </c>
      <c r="AH161" s="22">
        <f t="shared" ca="1" si="93"/>
        <v>25005.145329746494</v>
      </c>
    </row>
    <row r="162" spans="1:34" ht="11.25" x14ac:dyDescent="0.2">
      <c r="E162" s="15" t="s">
        <v>180</v>
      </c>
      <c r="L162" s="43"/>
      <c r="M162" s="12"/>
      <c r="P162" s="5"/>
    </row>
    <row r="163" spans="1:34" ht="11.25" x14ac:dyDescent="0.2">
      <c r="E163" s="5" t="s">
        <v>311</v>
      </c>
    </row>
    <row r="164" spans="1:34" ht="12.75" customHeight="1" x14ac:dyDescent="0.2">
      <c r="E164" s="557" t="s">
        <v>124</v>
      </c>
      <c r="F164" s="556"/>
      <c r="G164" s="556"/>
      <c r="H164" s="556"/>
      <c r="I164" s="556"/>
      <c r="J164" s="558"/>
      <c r="K164" s="558"/>
      <c r="L164" s="558"/>
      <c r="M164" s="558"/>
      <c r="N164" s="558"/>
      <c r="O164" s="559">
        <f>'1. SRECNA'!N20-'1. SRECNA'!O20</f>
        <v>5000</v>
      </c>
      <c r="P164" s="559">
        <f>'1. SRECNA'!O20-'1. SRECNA'!P20</f>
        <v>5000</v>
      </c>
      <c r="Q164" s="559">
        <f>'1. SRECNA'!P20-'1. SRECNA'!Q20</f>
        <v>5000</v>
      </c>
      <c r="R164" s="560">
        <f>'1. SRECNA'!Q20-'1. SRECNA'!R20</f>
        <v>5000</v>
      </c>
      <c r="S164" s="560">
        <f t="shared" ref="S164:X164" ca="1" si="94">(((S115*(1-S114))-(R115*(1-R114)))/3)+(((S116*(1-S114))-(R116*(1-R114)))/2)+((S120-R120)/3)+((S145-R145)/3)</f>
        <v>83.743258953267159</v>
      </c>
      <c r="T164" s="560">
        <f t="shared" ca="1" si="94"/>
        <v>-11181.699766287988</v>
      </c>
      <c r="U164" s="560">
        <f t="shared" ca="1" si="94"/>
        <v>9.033780716666671</v>
      </c>
      <c r="V164" s="560">
        <f t="shared" ca="1" si="94"/>
        <v>9.3055398388333401</v>
      </c>
      <c r="W164" s="560">
        <f t="shared" ca="1" si="94"/>
        <v>9.6086952117466407</v>
      </c>
      <c r="X164" s="560">
        <f t="shared" ca="1" si="94"/>
        <v>9.9210295815437615</v>
      </c>
      <c r="Y164" s="560">
        <f t="shared" ref="Y164:AH164" ca="1" si="95">(((Y115*(1-Y114))-(X115*(1-X114)))/3)+(((Y116*(1-Y114))-(X116*(1-X114)))/2)+((Y120-X120)/3)+((Y145-X145)/3)</f>
        <v>8.4739588856242918</v>
      </c>
      <c r="Z164" s="560">
        <f t="shared" ca="1" si="95"/>
        <v>8.5563709777917047</v>
      </c>
      <c r="AA164" s="560">
        <f t="shared" ca="1" si="95"/>
        <v>11.456031445005046</v>
      </c>
      <c r="AB164" s="560">
        <f t="shared" ca="1" si="95"/>
        <v>12.319001418279178</v>
      </c>
      <c r="AC164" s="560">
        <f t="shared" ca="1" si="95"/>
        <v>13.305465221548467</v>
      </c>
      <c r="AD164" s="560">
        <f t="shared" ca="1" si="95"/>
        <v>14.434655962943047</v>
      </c>
      <c r="AE164" s="560">
        <f t="shared" ca="1" si="95"/>
        <v>15.729520353052521</v>
      </c>
      <c r="AF164" s="560">
        <f t="shared" ca="1" si="95"/>
        <v>17.217442084895346</v>
      </c>
      <c r="AG164" s="560">
        <f t="shared" ca="1" si="95"/>
        <v>18.931126004580342</v>
      </c>
      <c r="AH164" s="560">
        <f t="shared" ca="1" si="95"/>
        <v>20.909679638587807</v>
      </c>
    </row>
    <row r="165" spans="1:34" ht="11.25" x14ac:dyDescent="0.2">
      <c r="E165" s="561" t="s">
        <v>64</v>
      </c>
      <c r="F165" s="562"/>
      <c r="G165" s="562"/>
      <c r="H165" s="562"/>
      <c r="I165" s="562"/>
      <c r="J165" s="563">
        <v>-93772.186000000002</v>
      </c>
      <c r="K165" s="563">
        <v>-97568.865000000005</v>
      </c>
      <c r="L165" s="563">
        <v>-116860.33848999999</v>
      </c>
      <c r="M165" s="563">
        <v>-121055.436</v>
      </c>
      <c r="N165" s="563">
        <v>-144300</v>
      </c>
      <c r="O165" s="563">
        <v>-152922</v>
      </c>
      <c r="P165" s="563">
        <v>-154550</v>
      </c>
      <c r="Q165" s="564">
        <v>-166403</v>
      </c>
      <c r="R165" s="565">
        <v>-173251</v>
      </c>
      <c r="S165" s="565">
        <v>-180470</v>
      </c>
      <c r="T165" s="565">
        <f ca="1">Prior_Year-T164</f>
        <v>-169288.30023371201</v>
      </c>
      <c r="U165" s="565">
        <f ca="1">Prior_Year-U164</f>
        <v>-169297.33401442869</v>
      </c>
      <c r="V165" s="565">
        <f ca="1">Prior_Year-V164</f>
        <v>-169306.63955426752</v>
      </c>
      <c r="W165" s="565">
        <f ca="1">Prior_Year-W164</f>
        <v>-169316.24824947925</v>
      </c>
      <c r="X165" s="565">
        <f ca="1">Prior_Year-X164</f>
        <v>-169326.16927906079</v>
      </c>
      <c r="Y165" s="565">
        <f t="shared" ref="Y165:AH165" ca="1" si="96">Prior_Year-Y164</f>
        <v>-169334.64323794641</v>
      </c>
      <c r="Z165" s="565">
        <f t="shared" ca="1" si="96"/>
        <v>-169343.19960892419</v>
      </c>
      <c r="AA165" s="565">
        <f t="shared" ca="1" si="96"/>
        <v>-169354.65564036919</v>
      </c>
      <c r="AB165" s="565">
        <f t="shared" ca="1" si="96"/>
        <v>-169366.97464178747</v>
      </c>
      <c r="AC165" s="565">
        <f t="shared" ca="1" si="96"/>
        <v>-169380.28010700902</v>
      </c>
      <c r="AD165" s="565">
        <f t="shared" ca="1" si="96"/>
        <v>-169394.71476297197</v>
      </c>
      <c r="AE165" s="565">
        <f t="shared" ca="1" si="96"/>
        <v>-169410.44428332502</v>
      </c>
      <c r="AF165" s="565">
        <f t="shared" ca="1" si="96"/>
        <v>-169427.66172540991</v>
      </c>
      <c r="AG165" s="565">
        <f t="shared" ca="1" si="96"/>
        <v>-169446.59285141449</v>
      </c>
      <c r="AH165" s="565">
        <f t="shared" ca="1" si="96"/>
        <v>-169467.50253105309</v>
      </c>
    </row>
    <row r="166" spans="1:34" ht="12" thickBot="1" x14ac:dyDescent="0.25">
      <c r="J166" s="288"/>
      <c r="K166" s="288"/>
      <c r="L166" s="288"/>
      <c r="M166" s="288"/>
      <c r="N166" s="288"/>
      <c r="O166" s="288"/>
      <c r="P166" s="288"/>
      <c r="Q166" s="288"/>
      <c r="R166" s="460"/>
      <c r="S166" s="461"/>
    </row>
    <row r="167" spans="1:34" ht="12" thickBot="1" x14ac:dyDescent="0.25">
      <c r="E167" s="574" t="s">
        <v>312</v>
      </c>
      <c r="F167" s="575"/>
      <c r="G167" s="576"/>
      <c r="H167" s="576"/>
      <c r="I167" s="576"/>
      <c r="J167" s="577"/>
      <c r="K167" s="577"/>
      <c r="L167" s="577"/>
      <c r="M167" s="577"/>
      <c r="N167" s="577"/>
      <c r="O167" s="577"/>
      <c r="P167" s="577"/>
      <c r="Q167" s="577">
        <f t="shared" ref="Q167:X167" ca="1" si="97">Q165+Q159+Q157+Q145+Q128+Q120+Q118</f>
        <v>244440.30093708806</v>
      </c>
      <c r="R167" s="578">
        <f t="shared" ca="1" si="97"/>
        <v>241275.74446051524</v>
      </c>
      <c r="S167" s="578">
        <f t="shared" si="97"/>
        <v>-146627.05893001662</v>
      </c>
      <c r="T167" s="578">
        <f t="shared" ca="1" si="97"/>
        <v>-168989.43780000167</v>
      </c>
      <c r="U167" s="578">
        <f t="shared" ca="1" si="97"/>
        <v>-168969.70516345365</v>
      </c>
      <c r="V167" s="578">
        <f t="shared" ca="1" si="97"/>
        <v>-168949.27107262224</v>
      </c>
      <c r="W167" s="578">
        <f t="shared" ca="1" si="97"/>
        <v>-168928.15629328266</v>
      </c>
      <c r="X167" s="578">
        <f t="shared" ca="1" si="97"/>
        <v>-168906.33832844891</v>
      </c>
      <c r="Y167" s="578">
        <f t="shared" ref="Y167:AH167" ca="1" si="98">Y165+Y159+Y157+Y145+Y128+Y120+Y118</f>
        <v>-168887.33157291831</v>
      </c>
      <c r="Z167" s="578">
        <f t="shared" ca="1" si="98"/>
        <v>-168868.07235005964</v>
      </c>
      <c r="AA167" s="578">
        <f t="shared" ca="1" si="98"/>
        <v>-168842.9211355953</v>
      </c>
      <c r="AB167" s="578">
        <f t="shared" ca="1" si="98"/>
        <v>-168815.9459442909</v>
      </c>
      <c r="AC167" s="578">
        <f t="shared" ca="1" si="98"/>
        <v>-168786.89405977345</v>
      </c>
      <c r="AD167" s="578">
        <f t="shared" ca="1" si="98"/>
        <v>-168755.47391148011</v>
      </c>
      <c r="AE167" s="578">
        <f t="shared" ca="1" si="98"/>
        <v>-168721.34762016509</v>
      </c>
      <c r="AF167" s="578">
        <f t="shared" ca="1" si="98"/>
        <v>-168684.1220947119</v>
      </c>
      <c r="AG167" s="578">
        <f t="shared" ca="1" si="98"/>
        <v>-168643.33835853371</v>
      </c>
      <c r="AH167" s="578">
        <f t="shared" ca="1" si="98"/>
        <v>-168598.45871069987</v>
      </c>
    </row>
    <row r="168" spans="1:34" ht="11.25" x14ac:dyDescent="0.2">
      <c r="J168" s="288"/>
      <c r="K168" s="288"/>
      <c r="L168" s="288"/>
      <c r="M168" s="288"/>
      <c r="N168" s="288"/>
      <c r="O168" s="288"/>
      <c r="P168" s="288"/>
      <c r="Q168" s="288"/>
      <c r="R168" s="460"/>
      <c r="S168" s="164"/>
    </row>
    <row r="169" spans="1:34" ht="12.6" customHeight="1" x14ac:dyDescent="0.2">
      <c r="A169" s="526"/>
      <c r="B169" s="527"/>
      <c r="C169" s="527"/>
      <c r="D169" s="528"/>
      <c r="E169" s="503" t="s">
        <v>309</v>
      </c>
      <c r="F169" s="504"/>
      <c r="G169" s="504"/>
      <c r="H169" s="504"/>
      <c r="I169" s="504"/>
      <c r="J169" s="504"/>
      <c r="K169" s="504"/>
      <c r="L169" s="504"/>
      <c r="M169" s="504"/>
      <c r="N169" s="504"/>
      <c r="O169" s="504"/>
      <c r="P169" s="505"/>
      <c r="Q169" s="506">
        <f>AVERAGE((Q22-P22)/P22,(Q23-P23)/P23,(Q24-P24)/P24,(Q26-P26)/P26,(Q29-P29)/P29,(Q30-P30)/P30,(Q31-P31)/P31,(Q33-P33)/P33,(Q35-P35)/P35,(Q39-P39)/P39,(Q32-P32)/P32,(Q34-P34)/P34,(Q36-P36)/P36,(Q40-P40)/P40)</f>
        <v>0</v>
      </c>
      <c r="R169" s="594">
        <f>AVERAGE((R22-Q22)/Q22,(R23-Q23)/Q23,(R24-Q24)/Q24,(R25-Q25)/Q25,(R26-Q26)/Q26,(R29-Q29)/Q29,(R30-Q30)/Q30,(R31-Q31)/Q31,(R33-Q33)/Q33,(R35-Q35)/Q35,(R39-Q39)/Q39,(R32-Q32)/Q32,(R34-Q34)/Q34,(R36-Q36)/Q36,(R40-Q40)/Q40)</f>
        <v>0</v>
      </c>
      <c r="S169" s="594">
        <f>AVERAGE((S22-R22)/R22,(S23-R23)/R23,(S24-R24)/R24,(S25-R25)/R25,(S26-R26)/R26,(S27-R27)/R27,(S28-R28)/R28,(S29-R29)/R29,(S30-R30)/R30,(S31-R31)/R31,(S33-R33)/R33,(S35-R35)/R35,(S37-R37)/R37,(S39-R39)/R39,(S32-R32)/R32,(S34-R34)/R34,(S36-R36)/R36,(S38-R38)/R38,(S40-R40)/R40)</f>
        <v>0</v>
      </c>
      <c r="T169" s="595">
        <v>0.05</v>
      </c>
      <c r="U169" s="595">
        <v>0.05</v>
      </c>
      <c r="V169" s="595">
        <v>2.5000000000000001E-2</v>
      </c>
      <c r="W169" s="595">
        <v>2.5000000000000001E-2</v>
      </c>
      <c r="X169" s="595">
        <v>2.5000000000000001E-2</v>
      </c>
      <c r="Y169" s="595">
        <v>2.5000000000000001E-2</v>
      </c>
      <c r="Z169" s="595">
        <v>2.5000000000000001E-2</v>
      </c>
      <c r="AA169" s="595">
        <v>2.5000000000000001E-2</v>
      </c>
      <c r="AB169" s="595">
        <v>2.5000000000000001E-2</v>
      </c>
      <c r="AC169" s="595">
        <v>2.5000000000000001E-2</v>
      </c>
      <c r="AD169" s="595">
        <v>2.5000000000000001E-2</v>
      </c>
      <c r="AE169" s="595">
        <v>2.5000000000000001E-2</v>
      </c>
      <c r="AF169" s="595">
        <v>2.5000000000000001E-2</v>
      </c>
      <c r="AG169" s="595">
        <v>2.5000000000000001E-2</v>
      </c>
      <c r="AH169" s="595">
        <v>2.5000000000000001E-2</v>
      </c>
    </row>
    <row r="170" spans="1:34" ht="12.6" customHeight="1" x14ac:dyDescent="0.2">
      <c r="A170" s="529"/>
      <c r="B170" s="118"/>
      <c r="C170" s="118"/>
      <c r="E170" s="507" t="s">
        <v>310</v>
      </c>
      <c r="F170" s="252"/>
      <c r="G170" s="508"/>
      <c r="H170" s="508"/>
      <c r="I170" s="508"/>
      <c r="J170" s="508"/>
      <c r="K170" s="508"/>
      <c r="L170" s="508"/>
      <c r="M170" s="508"/>
      <c r="N170" s="508"/>
      <c r="O170" s="508"/>
      <c r="P170" s="509"/>
      <c r="Q170" s="510">
        <f>AVERAGE((Q43-P43)/P43, (Q45-P45)/P45,(Q49-P49)/P49)</f>
        <v>0</v>
      </c>
      <c r="R170" s="596">
        <f>AVERAGE((R43-Q43)/Q43, (R45-Q45)/Q45,(R49-Q49)/Q49)</f>
        <v>0</v>
      </c>
      <c r="S170" s="596">
        <f>AVERAGE((S43-R43)/R43,(S45-R45)/R45,(S49-R49)/R49,(S50-R50)/R50,(S51-R51)/R51,(S44-R44)/R44)</f>
        <v>0</v>
      </c>
      <c r="T170" s="597">
        <v>0.05</v>
      </c>
      <c r="U170" s="597">
        <f ca="1">Prior_Year</f>
        <v>0.05</v>
      </c>
      <c r="V170" s="597">
        <v>2.5000000000000001E-2</v>
      </c>
      <c r="W170" s="597">
        <f t="shared" ref="W170:AH170" ca="1" si="99">Prior_Year</f>
        <v>2.5000000000000001E-2</v>
      </c>
      <c r="X170" s="597">
        <f t="shared" ca="1" si="99"/>
        <v>2.5000000000000001E-2</v>
      </c>
      <c r="Y170" s="597">
        <f t="shared" ca="1" si="99"/>
        <v>2.5000000000000001E-2</v>
      </c>
      <c r="Z170" s="597">
        <f t="shared" ca="1" si="99"/>
        <v>2.5000000000000001E-2</v>
      </c>
      <c r="AA170" s="597">
        <f t="shared" ca="1" si="99"/>
        <v>2.5000000000000001E-2</v>
      </c>
      <c r="AB170" s="597">
        <f t="shared" ca="1" si="99"/>
        <v>2.5000000000000001E-2</v>
      </c>
      <c r="AC170" s="597">
        <f t="shared" ca="1" si="99"/>
        <v>2.5000000000000001E-2</v>
      </c>
      <c r="AD170" s="597">
        <f t="shared" ca="1" si="99"/>
        <v>2.5000000000000001E-2</v>
      </c>
      <c r="AE170" s="597">
        <f t="shared" ca="1" si="99"/>
        <v>2.5000000000000001E-2</v>
      </c>
      <c r="AF170" s="597">
        <f t="shared" ca="1" si="99"/>
        <v>2.5000000000000001E-2</v>
      </c>
      <c r="AG170" s="597">
        <f t="shared" ca="1" si="99"/>
        <v>2.5000000000000001E-2</v>
      </c>
      <c r="AH170" s="597">
        <f t="shared" ca="1" si="99"/>
        <v>2.5000000000000001E-2</v>
      </c>
    </row>
    <row r="171" spans="1:34" ht="12.6" customHeight="1" x14ac:dyDescent="0.2">
      <c r="A171" s="529"/>
      <c r="B171" s="118"/>
      <c r="C171" s="118"/>
      <c r="E171" s="507" t="s">
        <v>347</v>
      </c>
      <c r="F171" s="252"/>
      <c r="G171" s="508"/>
      <c r="H171" s="508"/>
      <c r="I171" s="508"/>
      <c r="J171" s="508"/>
      <c r="K171" s="508"/>
      <c r="L171" s="508"/>
      <c r="M171" s="508"/>
      <c r="N171" s="508"/>
      <c r="O171" s="508"/>
      <c r="P171" s="509"/>
      <c r="Q171" s="510"/>
      <c r="R171" s="596">
        <v>0</v>
      </c>
      <c r="S171" s="596">
        <v>0</v>
      </c>
      <c r="T171" s="596">
        <v>0</v>
      </c>
      <c r="U171" s="596">
        <v>0</v>
      </c>
      <c r="V171" s="596">
        <v>0</v>
      </c>
      <c r="W171" s="596">
        <v>0</v>
      </c>
      <c r="X171" s="596">
        <v>0</v>
      </c>
      <c r="Y171" s="596">
        <v>0</v>
      </c>
      <c r="Z171" s="596">
        <v>0</v>
      </c>
      <c r="AA171" s="596">
        <v>0</v>
      </c>
      <c r="AB171" s="596">
        <v>0</v>
      </c>
      <c r="AC171" s="596">
        <v>0</v>
      </c>
      <c r="AD171" s="596">
        <v>0</v>
      </c>
      <c r="AE171" s="596">
        <v>0</v>
      </c>
      <c r="AF171" s="596">
        <v>0</v>
      </c>
      <c r="AG171" s="596">
        <v>0</v>
      </c>
      <c r="AH171" s="596">
        <v>0</v>
      </c>
    </row>
    <row r="172" spans="1:34" ht="12.6" customHeight="1" x14ac:dyDescent="0.2">
      <c r="A172" s="529"/>
      <c r="B172" s="118"/>
      <c r="C172" s="118"/>
      <c r="E172" s="3" t="s">
        <v>317</v>
      </c>
      <c r="F172" s="22"/>
      <c r="G172" s="12"/>
      <c r="H172" s="12"/>
      <c r="I172" s="12"/>
      <c r="J172" s="12"/>
      <c r="K172" s="12"/>
      <c r="L172" s="12"/>
      <c r="M172" s="12"/>
      <c r="N172" s="12"/>
      <c r="O172" s="12"/>
      <c r="P172" s="511">
        <f>P58/P59</f>
        <v>9.0909090909090912E-2</v>
      </c>
      <c r="Q172" s="511">
        <f>Q58/Q59</f>
        <v>9.0909090909090912E-2</v>
      </c>
      <c r="R172" s="598">
        <f>R58/R59</f>
        <v>9.0909090909090912E-2</v>
      </c>
      <c r="S172" s="598">
        <f>S58/S59</f>
        <v>9.0909090909090912E-2</v>
      </c>
      <c r="T172" s="597">
        <v>0.26715841962686609</v>
      </c>
      <c r="U172" s="597">
        <f t="shared" ref="U172:AH172" si="100">pct_NonResident/0.925</f>
        <v>0.21621621621621623</v>
      </c>
      <c r="V172" s="597">
        <f t="shared" si="100"/>
        <v>0.21621621621621623</v>
      </c>
      <c r="W172" s="597">
        <f t="shared" si="100"/>
        <v>0.21621621621621623</v>
      </c>
      <c r="X172" s="597">
        <f t="shared" si="100"/>
        <v>0.21621621621621623</v>
      </c>
      <c r="Y172" s="597">
        <f t="shared" si="100"/>
        <v>0.21621621621621623</v>
      </c>
      <c r="Z172" s="597">
        <f t="shared" si="100"/>
        <v>0.21621621621621623</v>
      </c>
      <c r="AA172" s="597">
        <f t="shared" si="100"/>
        <v>0.21621621621621623</v>
      </c>
      <c r="AB172" s="597">
        <f t="shared" si="100"/>
        <v>0.21621621621621623</v>
      </c>
      <c r="AC172" s="597">
        <f t="shared" si="100"/>
        <v>0.21621621621621623</v>
      </c>
      <c r="AD172" s="597">
        <f t="shared" si="100"/>
        <v>0.21621621621621623</v>
      </c>
      <c r="AE172" s="597">
        <f t="shared" si="100"/>
        <v>0.21621621621621623</v>
      </c>
      <c r="AF172" s="597">
        <f t="shared" si="100"/>
        <v>0.21621621621621623</v>
      </c>
      <c r="AG172" s="597">
        <f t="shared" si="100"/>
        <v>0.21621621621621623</v>
      </c>
      <c r="AH172" s="597">
        <f t="shared" si="100"/>
        <v>0.21621621621621623</v>
      </c>
    </row>
    <row r="173" spans="1:34" ht="12.6" customHeight="1" x14ac:dyDescent="0.2">
      <c r="A173" s="530"/>
      <c r="B173" s="531"/>
      <c r="C173" s="531"/>
      <c r="D173" s="532"/>
      <c r="E173" s="532" t="s">
        <v>318</v>
      </c>
      <c r="F173" s="533"/>
      <c r="G173" s="534"/>
      <c r="H173" s="534"/>
      <c r="I173" s="534"/>
      <c r="J173" s="534"/>
      <c r="K173" s="534"/>
      <c r="L173" s="534"/>
      <c r="M173" s="534"/>
      <c r="N173" s="534"/>
      <c r="O173" s="534"/>
      <c r="P173" s="535">
        <f t="shared" ref="P173:X173" si="101">(P59-O59)/O59</f>
        <v>0</v>
      </c>
      <c r="Q173" s="535">
        <f t="shared" si="101"/>
        <v>0</v>
      </c>
      <c r="R173" s="599">
        <f t="shared" si="101"/>
        <v>0</v>
      </c>
      <c r="S173" s="599">
        <f t="shared" si="101"/>
        <v>0.1</v>
      </c>
      <c r="T173" s="599">
        <f t="shared" si="101"/>
        <v>9.0909090909090912E-2</v>
      </c>
      <c r="U173" s="599">
        <f t="shared" si="101"/>
        <v>8.3333333333333329E-2</v>
      </c>
      <c r="V173" s="599">
        <f t="shared" si="101"/>
        <v>7.6923076923076927E-2</v>
      </c>
      <c r="W173" s="599">
        <f t="shared" si="101"/>
        <v>7.1428571428571425E-2</v>
      </c>
      <c r="X173" s="599">
        <f t="shared" si="101"/>
        <v>6.6666666666666666E-2</v>
      </c>
      <c r="Y173" s="599">
        <f t="shared" ref="Y173:AH173" si="102">(Y59-X59)/X59</f>
        <v>6.25E-2</v>
      </c>
      <c r="Z173" s="599">
        <f t="shared" si="102"/>
        <v>5.8823529411764705E-2</v>
      </c>
      <c r="AA173" s="599">
        <f t="shared" si="102"/>
        <v>5.5555555555555552E-2</v>
      </c>
      <c r="AB173" s="599">
        <f t="shared" si="102"/>
        <v>5.2631578947368418E-2</v>
      </c>
      <c r="AC173" s="599">
        <f t="shared" si="102"/>
        <v>0.05</v>
      </c>
      <c r="AD173" s="599">
        <f t="shared" si="102"/>
        <v>4.7619047619047616E-2</v>
      </c>
      <c r="AE173" s="599">
        <f t="shared" si="102"/>
        <v>4.5454545454545456E-2</v>
      </c>
      <c r="AF173" s="599">
        <f t="shared" si="102"/>
        <v>4.3478260869565216E-2</v>
      </c>
      <c r="AG173" s="599">
        <f t="shared" si="102"/>
        <v>4.1666666666666664E-2</v>
      </c>
      <c r="AH173" s="599">
        <f t="shared" si="102"/>
        <v>0.04</v>
      </c>
    </row>
    <row r="176" spans="1:34" ht="12.75" customHeight="1" x14ac:dyDescent="0.2">
      <c r="S176" s="22"/>
      <c r="T176" s="164"/>
      <c r="U176" s="164"/>
      <c r="V176" s="164"/>
      <c r="W176" s="164"/>
      <c r="X176" s="164"/>
    </row>
    <row r="177" spans="19:20" ht="12.75" customHeight="1" x14ac:dyDescent="0.2">
      <c r="S177" s="16"/>
      <c r="T177" s="16"/>
    </row>
  </sheetData>
  <phoneticPr fontId="22" type="noConversion"/>
  <printOptions horizontalCentered="1"/>
  <pageMargins left="0.25" right="0.25" top="0.32" bottom="0.27" header="0.3" footer="0.3"/>
  <pageSetup paperSize="5" scale="53" orientation="portrait" r:id="rId1"/>
  <headerFooter alignWithMargins="0"/>
  <rowBreaks count="1" manualBreakCount="1">
    <brk id="5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H83"/>
  <sheetViews>
    <sheetView showGridLines="0" topLeftCell="D3" zoomScale="110" zoomScaleNormal="110" workbookViewId="0">
      <selection activeCell="V14" sqref="V14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3" customWidth="1" collapsed="1"/>
    <col min="5" max="5" width="16.85546875" style="5" customWidth="1"/>
    <col min="6" max="8" width="8.7109375" style="5" customWidth="1"/>
    <col min="9" max="9" width="13.28515625" style="5" hidden="1" customWidth="1" outlineLevel="1"/>
    <col min="10" max="14" width="12.7109375" style="5" hidden="1" customWidth="1" outlineLevel="1"/>
    <col min="15" max="15" width="12.7109375" style="5" hidden="1" customWidth="1" outlineLevel="1" collapsed="1"/>
    <col min="16" max="16" width="12.7109375" style="5" hidden="1" customWidth="1" outlineLevel="1"/>
    <col min="17" max="17" width="12.7109375" style="5" customWidth="1" collapsed="1"/>
    <col min="18" max="24" width="12.7109375" style="5" customWidth="1"/>
    <col min="25" max="27" width="12.42578125" style="5" bestFit="1" customWidth="1"/>
    <col min="28" max="30" width="11.5703125" style="5" bestFit="1" customWidth="1"/>
    <col min="31" max="31" width="11.5703125" style="114" bestFit="1" customWidth="1"/>
    <col min="32" max="34" width="18.85546875" style="5" bestFit="1" customWidth="1"/>
    <col min="35" max="16384" width="18.7109375" style="5"/>
  </cols>
  <sheetData>
    <row r="1" spans="1:34" s="1" customFormat="1" ht="11.25" hidden="1" outlineLevel="1" x14ac:dyDescent="0.2">
      <c r="AE1" s="56"/>
    </row>
    <row r="2" spans="1:34" s="2" customFormat="1" ht="11.25" hidden="1" outlineLevel="1" x14ac:dyDescent="0.2">
      <c r="A2" s="1"/>
      <c r="B2" s="1"/>
      <c r="C2" s="1"/>
      <c r="V2" s="226"/>
      <c r="W2" s="226"/>
      <c r="AE2" s="57"/>
    </row>
    <row r="3" spans="1:34" s="114" customFormat="1" ht="11.25" collapsed="1" x14ac:dyDescent="0.2">
      <c r="A3" s="56"/>
      <c r="B3" s="56"/>
      <c r="C3" s="56"/>
      <c r="D3" s="112"/>
      <c r="E3" s="113">
        <f t="shared" ref="E3:X3" si="0">D3+1</f>
        <v>1</v>
      </c>
      <c r="F3" s="113">
        <f t="shared" si="0"/>
        <v>2</v>
      </c>
      <c r="G3" s="113">
        <f t="shared" si="0"/>
        <v>3</v>
      </c>
      <c r="H3" s="113">
        <f t="shared" si="0"/>
        <v>4</v>
      </c>
      <c r="I3" s="113">
        <f t="shared" si="0"/>
        <v>5</v>
      </c>
      <c r="J3" s="113">
        <f t="shared" si="0"/>
        <v>6</v>
      </c>
      <c r="K3" s="113">
        <f t="shared" si="0"/>
        <v>7</v>
      </c>
      <c r="L3" s="113">
        <f t="shared" si="0"/>
        <v>8</v>
      </c>
      <c r="M3" s="113">
        <f t="shared" si="0"/>
        <v>9</v>
      </c>
      <c r="N3" s="113">
        <f t="shared" si="0"/>
        <v>10</v>
      </c>
      <c r="O3" s="113">
        <f t="shared" si="0"/>
        <v>11</v>
      </c>
      <c r="P3" s="113">
        <f t="shared" si="0"/>
        <v>12</v>
      </c>
      <c r="Q3" s="113">
        <f t="shared" si="0"/>
        <v>13</v>
      </c>
      <c r="R3" s="113">
        <f t="shared" si="0"/>
        <v>14</v>
      </c>
      <c r="S3" s="113">
        <f t="shared" si="0"/>
        <v>15</v>
      </c>
      <c r="T3" s="113">
        <f t="shared" si="0"/>
        <v>16</v>
      </c>
      <c r="U3" s="113">
        <f t="shared" si="0"/>
        <v>17</v>
      </c>
      <c r="V3" s="113">
        <f t="shared" si="0"/>
        <v>18</v>
      </c>
      <c r="W3" s="113">
        <f t="shared" si="0"/>
        <v>19</v>
      </c>
      <c r="X3" s="113">
        <f t="shared" si="0"/>
        <v>20</v>
      </c>
      <c r="Y3" s="233"/>
      <c r="Z3" s="233"/>
      <c r="AA3" s="233"/>
      <c r="AB3" s="233"/>
      <c r="AC3" s="233"/>
      <c r="AD3" s="233"/>
      <c r="AE3" s="113"/>
    </row>
    <row r="4" spans="1:34" ht="18" x14ac:dyDescent="0.25">
      <c r="E4" s="4" t="s">
        <v>8</v>
      </c>
    </row>
    <row r="5" spans="1:34" ht="11.25" x14ac:dyDescent="0.2">
      <c r="E5" s="6" t="s">
        <v>0</v>
      </c>
      <c r="M5" s="140"/>
    </row>
    <row r="6" spans="1:34" ht="3" customHeight="1" x14ac:dyDescent="0.2">
      <c r="E6" s="6"/>
    </row>
    <row r="7" spans="1:34" ht="11.25" x14ac:dyDescent="0.2">
      <c r="B7" s="7" t="str">
        <f>E4</f>
        <v>Benefits</v>
      </c>
      <c r="I7" s="26" t="s">
        <v>6</v>
      </c>
      <c r="J7" s="8" t="s">
        <v>1</v>
      </c>
      <c r="K7" s="8"/>
      <c r="L7" s="8"/>
      <c r="M7" s="8" t="s">
        <v>2</v>
      </c>
      <c r="N7" s="9"/>
      <c r="O7" s="9"/>
      <c r="P7" s="9"/>
      <c r="Q7" s="9"/>
      <c r="R7" s="9"/>
      <c r="S7" s="9"/>
      <c r="T7" s="9"/>
      <c r="U7" s="9"/>
      <c r="V7" s="227"/>
      <c r="W7" s="227"/>
      <c r="X7" s="9"/>
    </row>
    <row r="8" spans="1:34" ht="11.25" x14ac:dyDescent="0.2">
      <c r="B8" s="7"/>
      <c r="I8" s="26"/>
      <c r="J8" s="60">
        <v>-5</v>
      </c>
      <c r="K8" s="60">
        <v>-4</v>
      </c>
      <c r="L8" s="60">
        <v>-3</v>
      </c>
      <c r="M8" s="60">
        <v>-2</v>
      </c>
      <c r="N8" s="60">
        <v>-1</v>
      </c>
      <c r="O8" s="60">
        <v>0</v>
      </c>
      <c r="P8" s="60">
        <v>1</v>
      </c>
      <c r="Q8" s="60">
        <v>2</v>
      </c>
      <c r="R8" s="60">
        <v>3</v>
      </c>
      <c r="S8" s="60">
        <v>4</v>
      </c>
      <c r="T8" s="60">
        <v>5</v>
      </c>
      <c r="U8" s="60">
        <v>6</v>
      </c>
      <c r="V8" s="60">
        <v>7</v>
      </c>
      <c r="W8" s="60">
        <v>8</v>
      </c>
      <c r="X8" s="60">
        <v>9</v>
      </c>
      <c r="Y8" s="60">
        <v>10</v>
      </c>
      <c r="Z8" s="60">
        <v>11</v>
      </c>
      <c r="AA8" s="60">
        <v>12</v>
      </c>
      <c r="AB8" s="60">
        <v>13</v>
      </c>
      <c r="AC8" s="60">
        <v>14</v>
      </c>
      <c r="AD8" s="60">
        <v>15</v>
      </c>
      <c r="AE8" s="60">
        <v>16</v>
      </c>
      <c r="AF8" s="60">
        <v>17</v>
      </c>
      <c r="AG8" s="60">
        <v>18</v>
      </c>
      <c r="AH8" s="60">
        <v>19</v>
      </c>
    </row>
    <row r="9" spans="1:34" ht="11.25" x14ac:dyDescent="0.2">
      <c r="B9" s="141">
        <v>1</v>
      </c>
      <c r="I9" s="26" t="s">
        <v>7</v>
      </c>
      <c r="J9" s="10">
        <v>2006</v>
      </c>
      <c r="K9" s="10">
        <f t="shared" ref="K9:T9" si="1">J9+1</f>
        <v>2007</v>
      </c>
      <c r="L9" s="10">
        <f t="shared" si="1"/>
        <v>2008</v>
      </c>
      <c r="M9" s="10">
        <f t="shared" si="1"/>
        <v>2009</v>
      </c>
      <c r="N9" s="10">
        <f t="shared" si="1"/>
        <v>2010</v>
      </c>
      <c r="O9" s="11">
        <f t="shared" si="1"/>
        <v>2011</v>
      </c>
      <c r="P9" s="11">
        <f>O9+1</f>
        <v>2012</v>
      </c>
      <c r="Q9" s="11">
        <f t="shared" si="1"/>
        <v>2013</v>
      </c>
      <c r="R9" s="11">
        <f t="shared" si="1"/>
        <v>2014</v>
      </c>
      <c r="S9" s="11">
        <f t="shared" si="1"/>
        <v>2015</v>
      </c>
      <c r="T9" s="11">
        <f t="shared" si="1"/>
        <v>2016</v>
      </c>
      <c r="U9" s="11">
        <f>T9+1</f>
        <v>2017</v>
      </c>
      <c r="V9" s="11">
        <f>U9+1</f>
        <v>2018</v>
      </c>
      <c r="W9" s="11">
        <f>V9+1</f>
        <v>2019</v>
      </c>
      <c r="X9" s="11">
        <f>W9+1</f>
        <v>2020</v>
      </c>
      <c r="Y9" s="11">
        <f t="shared" ref="Y9:AH9" si="2">X9+1</f>
        <v>2021</v>
      </c>
      <c r="Z9" s="11">
        <f t="shared" si="2"/>
        <v>2022</v>
      </c>
      <c r="AA9" s="11">
        <f t="shared" si="2"/>
        <v>2023</v>
      </c>
      <c r="AB9" s="11">
        <f t="shared" si="2"/>
        <v>2024</v>
      </c>
      <c r="AC9" s="11">
        <f t="shared" si="2"/>
        <v>2025</v>
      </c>
      <c r="AD9" s="11">
        <f t="shared" si="2"/>
        <v>2026</v>
      </c>
      <c r="AE9" s="11">
        <f t="shared" si="2"/>
        <v>2027</v>
      </c>
      <c r="AF9" s="11">
        <f t="shared" si="2"/>
        <v>2028</v>
      </c>
      <c r="AG9" s="11">
        <f t="shared" si="2"/>
        <v>2029</v>
      </c>
      <c r="AH9" s="11">
        <f t="shared" si="2"/>
        <v>2030</v>
      </c>
    </row>
    <row r="10" spans="1:34" ht="3" customHeight="1" x14ac:dyDescent="0.2">
      <c r="AE10" s="5"/>
    </row>
    <row r="11" spans="1:34" ht="11.25" x14ac:dyDescent="0.2">
      <c r="E11" s="13" t="s">
        <v>197</v>
      </c>
      <c r="P11" s="164"/>
      <c r="Q11" s="164"/>
      <c r="R11" s="164"/>
      <c r="AE11" s="5"/>
    </row>
    <row r="12" spans="1:34" ht="3" customHeight="1" x14ac:dyDescent="0.2">
      <c r="AE12" s="5"/>
    </row>
    <row r="13" spans="1:34" ht="11.25" x14ac:dyDescent="0.2">
      <c r="E13" s="14" t="s">
        <v>198</v>
      </c>
      <c r="J13" s="16"/>
      <c r="K13" s="16"/>
      <c r="L13" s="16"/>
      <c r="M13" s="16">
        <v>52141.582060000001</v>
      </c>
      <c r="N13" s="142">
        <v>50766.642</v>
      </c>
      <c r="O13" s="142">
        <v>51172.201999999997</v>
      </c>
      <c r="P13" s="142">
        <v>53000.7</v>
      </c>
      <c r="Q13" s="390">
        <v>56179.493000000002</v>
      </c>
      <c r="R13" s="142">
        <v>60296.150970000002</v>
      </c>
      <c r="S13" s="142">
        <v>63669.067619999994</v>
      </c>
      <c r="T13" s="142">
        <f ca="1">T38*T28/100</f>
        <v>17798.400000000001</v>
      </c>
      <c r="U13" s="142">
        <f ca="1">U38*U28/100</f>
        <v>18332.352000000003</v>
      </c>
      <c r="V13" s="142">
        <f ca="1">V38*V28/100</f>
        <v>18882.322560000004</v>
      </c>
      <c r="W13" s="142">
        <f ca="1">W38*W28/100</f>
        <v>19448.792236800004</v>
      </c>
      <c r="X13" s="142">
        <f ca="1">X38*X28/100</f>
        <v>20032.256003904004</v>
      </c>
      <c r="Y13" s="142">
        <f t="shared" ref="Y13:AH13" ca="1" si="3">Y38*Y28/100</f>
        <v>20633.223684021119</v>
      </c>
      <c r="Z13" s="142">
        <f t="shared" ca="1" si="3"/>
        <v>21252.220394541757</v>
      </c>
      <c r="AA13" s="142">
        <f t="shared" ca="1" si="3"/>
        <v>21889.787006378006</v>
      </c>
      <c r="AB13" s="142">
        <f t="shared" ca="1" si="3"/>
        <v>22546.480616569348</v>
      </c>
      <c r="AC13" s="142">
        <f t="shared" ca="1" si="3"/>
        <v>23222.875035066427</v>
      </c>
      <c r="AD13" s="142">
        <f t="shared" ca="1" si="3"/>
        <v>23919.56128611842</v>
      </c>
      <c r="AE13" s="142">
        <f t="shared" ca="1" si="3"/>
        <v>24637.148124701973</v>
      </c>
      <c r="AF13" s="142">
        <f t="shared" ca="1" si="3"/>
        <v>25376.262568443035</v>
      </c>
      <c r="AG13" s="142">
        <f t="shared" ca="1" si="3"/>
        <v>26137.550445496327</v>
      </c>
      <c r="AH13" s="142">
        <f t="shared" ca="1" si="3"/>
        <v>26921.676958861222</v>
      </c>
    </row>
    <row r="14" spans="1:34" ht="11.25" x14ac:dyDescent="0.2">
      <c r="E14" s="14" t="s">
        <v>199</v>
      </c>
      <c r="H14" s="26"/>
      <c r="I14" s="26"/>
      <c r="J14" s="27">
        <v>14724.459000000001</v>
      </c>
      <c r="K14" s="27">
        <v>13211.698</v>
      </c>
      <c r="L14" s="27">
        <v>6889.7169999999996</v>
      </c>
      <c r="M14" s="27">
        <v>3904.8090000000002</v>
      </c>
      <c r="N14" s="22">
        <v>754.48400000000004</v>
      </c>
      <c r="O14" s="142">
        <v>335.512</v>
      </c>
      <c r="P14" s="142">
        <v>2546.8449999999998</v>
      </c>
      <c r="Q14" s="390">
        <v>7673.2846799999998</v>
      </c>
      <c r="R14" s="142">
        <v>8837.6848100000007</v>
      </c>
      <c r="S14" s="142">
        <v>12045.32159</v>
      </c>
      <c r="T14" s="142">
        <f ca="1">T39*T28/100</f>
        <v>3625.6000000000004</v>
      </c>
      <c r="U14" s="142">
        <f ca="1">U39*U28/100</f>
        <v>3734.3680000000004</v>
      </c>
      <c r="V14" s="142">
        <f ca="1">V39*V28/100</f>
        <v>3846.3990400000002</v>
      </c>
      <c r="W14" s="142">
        <f ca="1">W39*W28/100</f>
        <v>3961.7910112000009</v>
      </c>
      <c r="X14" s="142">
        <f ca="1">X39*X28/100</f>
        <v>4080.6447415360003</v>
      </c>
      <c r="Y14" s="142">
        <f t="shared" ref="Y14:AH14" ca="1" si="4">Y39*Y28/100</f>
        <v>4203.0640837820802</v>
      </c>
      <c r="Z14" s="142">
        <f t="shared" ca="1" si="4"/>
        <v>4329.1560062955432</v>
      </c>
      <c r="AA14" s="142">
        <f t="shared" ca="1" si="4"/>
        <v>4459.0306864844097</v>
      </c>
      <c r="AB14" s="142">
        <f t="shared" ca="1" si="4"/>
        <v>4592.8016070789417</v>
      </c>
      <c r="AC14" s="142">
        <f t="shared" ca="1" si="4"/>
        <v>4730.5856552913101</v>
      </c>
      <c r="AD14" s="142">
        <f t="shared" ca="1" si="4"/>
        <v>4872.5032249500491</v>
      </c>
      <c r="AE14" s="142">
        <f t="shared" ca="1" si="4"/>
        <v>5018.6783216985505</v>
      </c>
      <c r="AF14" s="142">
        <f t="shared" ca="1" si="4"/>
        <v>5169.238671349508</v>
      </c>
      <c r="AG14" s="142">
        <f t="shared" ca="1" si="4"/>
        <v>5324.3158314899929</v>
      </c>
      <c r="AH14" s="142">
        <f t="shared" ca="1" si="4"/>
        <v>5484.045306434693</v>
      </c>
    </row>
    <row r="15" spans="1:34" ht="11.25" x14ac:dyDescent="0.2">
      <c r="E15" s="14" t="s">
        <v>200</v>
      </c>
      <c r="H15" s="26"/>
      <c r="I15" s="26"/>
      <c r="J15" s="27"/>
      <c r="K15" s="27"/>
      <c r="L15" s="27"/>
      <c r="M15" s="27">
        <v>1116.41309</v>
      </c>
      <c r="N15" s="22">
        <v>1078.6782996069223</v>
      </c>
      <c r="O15" s="142">
        <v>3805.6849999999999</v>
      </c>
      <c r="P15" s="142">
        <v>4530.8040000000001</v>
      </c>
      <c r="Q15" s="390">
        <v>1450.47433</v>
      </c>
      <c r="R15" s="142">
        <v>2253.51766</v>
      </c>
      <c r="S15" s="142">
        <v>2170.2899499999999</v>
      </c>
      <c r="T15" s="142">
        <f ca="1">T40*T28/100</f>
        <v>659.2</v>
      </c>
      <c r="U15" s="142">
        <f ca="1">U40*U28/100</f>
        <v>678.97600000000011</v>
      </c>
      <c r="V15" s="142">
        <f ca="1">V40*V28/100</f>
        <v>699.34528</v>
      </c>
      <c r="W15" s="142">
        <f ca="1">W40*W28/100</f>
        <v>720.3256384</v>
      </c>
      <c r="X15" s="142">
        <f ca="1">X40*X28/100</f>
        <v>741.93540755200013</v>
      </c>
      <c r="Y15" s="142">
        <f t="shared" ref="Y15:AH15" ca="1" si="5">Y40*Y28/100</f>
        <v>764.19346977855992</v>
      </c>
      <c r="Z15" s="142">
        <f t="shared" ca="1" si="5"/>
        <v>787.11927387191679</v>
      </c>
      <c r="AA15" s="142">
        <f t="shared" ca="1" si="5"/>
        <v>810.73285208807442</v>
      </c>
      <c r="AB15" s="142">
        <f t="shared" ca="1" si="5"/>
        <v>835.05483765071665</v>
      </c>
      <c r="AC15" s="142">
        <f t="shared" ca="1" si="5"/>
        <v>860.10648278023814</v>
      </c>
      <c r="AD15" s="142">
        <f t="shared" ca="1" si="5"/>
        <v>885.90967726364534</v>
      </c>
      <c r="AE15" s="142">
        <f t="shared" ca="1" si="5"/>
        <v>912.48696758155461</v>
      </c>
      <c r="AF15" s="142">
        <f t="shared" ca="1" si="5"/>
        <v>939.8615766090013</v>
      </c>
      <c r="AG15" s="142">
        <f t="shared" ca="1" si="5"/>
        <v>968.05742390727141</v>
      </c>
      <c r="AH15" s="142">
        <f t="shared" ca="1" si="5"/>
        <v>997.09914662448966</v>
      </c>
    </row>
    <row r="16" spans="1:34" ht="11.25" x14ac:dyDescent="0.2">
      <c r="E16" s="14" t="s">
        <v>201</v>
      </c>
      <c r="H16" s="26"/>
      <c r="I16" s="26"/>
      <c r="J16" s="27"/>
      <c r="K16" s="27"/>
      <c r="L16" s="27"/>
      <c r="M16" s="27">
        <v>285.40237000000002</v>
      </c>
      <c r="N16" s="25">
        <v>9401.23</v>
      </c>
      <c r="O16" s="142">
        <v>29113.963</v>
      </c>
      <c r="P16" s="142">
        <v>57928.938000000002</v>
      </c>
      <c r="Q16" s="390">
        <v>83321.87</v>
      </c>
      <c r="R16" s="390">
        <v>100274.21743</v>
      </c>
      <c r="S16" s="142">
        <v>123067.74622</v>
      </c>
      <c r="T16" s="142">
        <f ca="1">T41*$T$28/100*$O$55</f>
        <v>39631.103999999999</v>
      </c>
      <c r="U16" s="142">
        <f ca="1">U41*$U$28/100*$O$55</f>
        <v>46441.958399999996</v>
      </c>
      <c r="V16" s="142">
        <f ca="1">V41*$V$28/100*$O$55</f>
        <v>47835.217152000005</v>
      </c>
      <c r="W16" s="142">
        <f ca="1">W41*$W$28/100*$O$55</f>
        <v>49270.27366656001</v>
      </c>
      <c r="X16" s="142">
        <f ca="1">X41*$X$28/100*$O$55</f>
        <v>50748.381876556799</v>
      </c>
      <c r="Y16" s="142">
        <f t="shared" ref="Y16:AH16" ca="1" si="6">Y41*$X$28/100*$O$55</f>
        <v>50748.381876556799</v>
      </c>
      <c r="Z16" s="142">
        <f t="shared" ca="1" si="6"/>
        <v>50748.381876556799</v>
      </c>
      <c r="AA16" s="142">
        <f t="shared" ca="1" si="6"/>
        <v>50748.381876556799</v>
      </c>
      <c r="AB16" s="142">
        <f t="shared" ca="1" si="6"/>
        <v>50748.381876556799</v>
      </c>
      <c r="AC16" s="142">
        <f t="shared" ca="1" si="6"/>
        <v>50748.381876556799</v>
      </c>
      <c r="AD16" s="142">
        <f t="shared" ca="1" si="6"/>
        <v>50748.381876556799</v>
      </c>
      <c r="AE16" s="142">
        <f t="shared" ca="1" si="6"/>
        <v>50748.381876556799</v>
      </c>
      <c r="AF16" s="142">
        <f t="shared" ca="1" si="6"/>
        <v>50748.381876556799</v>
      </c>
      <c r="AG16" s="142">
        <f t="shared" ca="1" si="6"/>
        <v>50748.381876556799</v>
      </c>
      <c r="AH16" s="142">
        <f t="shared" ca="1" si="6"/>
        <v>50748.381876556799</v>
      </c>
    </row>
    <row r="17" spans="1:34" ht="3" customHeight="1" x14ac:dyDescent="0.2">
      <c r="E17" s="14"/>
      <c r="H17" s="26"/>
      <c r="I17" s="26"/>
      <c r="J17" s="27"/>
      <c r="K17" s="27"/>
      <c r="L17" s="27"/>
      <c r="M17" s="27"/>
      <c r="N17" s="22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11.25" x14ac:dyDescent="0.2">
      <c r="E18" s="13" t="s">
        <v>202</v>
      </c>
      <c r="H18" s="26"/>
      <c r="I18" s="26"/>
      <c r="J18" s="27"/>
      <c r="K18" s="27"/>
      <c r="L18" s="27"/>
      <c r="M18" s="27"/>
      <c r="N18" s="22"/>
      <c r="O18" s="25"/>
      <c r="P18" s="472"/>
      <c r="Q18" s="472"/>
      <c r="R18" s="25"/>
      <c r="S18" s="25">
        <v>0</v>
      </c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11.25" x14ac:dyDescent="0.2">
      <c r="E19" s="14" t="s">
        <v>203</v>
      </c>
      <c r="H19" s="26"/>
      <c r="I19" s="26"/>
      <c r="J19" s="16"/>
      <c r="K19" s="16"/>
      <c r="L19" s="16"/>
      <c r="M19" s="29">
        <v>100691.94682999999</v>
      </c>
      <c r="N19" s="29">
        <f>(M19*(1+(N$48/100)))</f>
        <v>105726.54417149999</v>
      </c>
      <c r="O19" s="29">
        <v>111902.302</v>
      </c>
      <c r="P19" s="16">
        <v>119478.216</v>
      </c>
      <c r="Q19" s="16">
        <v>126411.537</v>
      </c>
      <c r="R19" s="16">
        <v>136065.56967999999</v>
      </c>
      <c r="S19" s="16">
        <v>144995.73559</v>
      </c>
      <c r="T19" s="16">
        <f>(S19*(1+(T$48/100)))</f>
        <v>155145.43708130001</v>
      </c>
      <c r="U19" s="16">
        <f>(T19*(1+(U$48/100)))</f>
        <v>166005.61767699104</v>
      </c>
      <c r="V19" s="16">
        <f>(U19*(1+(V$48/100)))</f>
        <v>177626.01091438043</v>
      </c>
      <c r="W19" s="16">
        <f>(V19*(1+(W$48/100)))</f>
        <v>190059.83167838707</v>
      </c>
      <c r="X19" s="16">
        <f>(W19*(1+(X$48/100)))</f>
        <v>203364.01989587417</v>
      </c>
      <c r="Y19" s="16">
        <f t="shared" ref="Y19:AH19" si="7">(X19*(1+(Y$48/100)))</f>
        <v>217599.50128858536</v>
      </c>
      <c r="Z19" s="16">
        <f t="shared" si="7"/>
        <v>232831.46637878637</v>
      </c>
      <c r="AA19" s="16">
        <f t="shared" si="7"/>
        <v>249129.66902530144</v>
      </c>
      <c r="AB19" s="16">
        <f t="shared" si="7"/>
        <v>266568.74585707253</v>
      </c>
      <c r="AC19" s="16">
        <f t="shared" si="7"/>
        <v>285228.55806706764</v>
      </c>
      <c r="AD19" s="16">
        <f t="shared" si="7"/>
        <v>305194.55713176238</v>
      </c>
      <c r="AE19" s="16">
        <f t="shared" si="7"/>
        <v>326558.17613098578</v>
      </c>
      <c r="AF19" s="16">
        <f t="shared" si="7"/>
        <v>349417.24846015481</v>
      </c>
      <c r="AG19" s="16">
        <f t="shared" si="7"/>
        <v>373876.45585236565</v>
      </c>
      <c r="AH19" s="16">
        <f t="shared" si="7"/>
        <v>400047.80776203127</v>
      </c>
    </row>
    <row r="20" spans="1:34" ht="11.25" x14ac:dyDescent="0.2">
      <c r="E20" s="14" t="s">
        <v>204</v>
      </c>
      <c r="H20" s="26"/>
      <c r="I20" s="26"/>
      <c r="J20" s="16"/>
      <c r="K20" s="16"/>
      <c r="L20" s="16"/>
      <c r="M20" s="16">
        <v>600.58654999999999</v>
      </c>
      <c r="N20" s="16">
        <f>(M20*(1+(N$49/100)))</f>
        <v>600.58654999999999</v>
      </c>
      <c r="O20" s="16">
        <v>567</v>
      </c>
      <c r="P20" s="16">
        <v>562.70600000000002</v>
      </c>
      <c r="Q20" s="16">
        <v>577.66800000000001</v>
      </c>
      <c r="R20" s="16">
        <v>593.98807999999997</v>
      </c>
      <c r="S20" s="16">
        <v>602.75572</v>
      </c>
      <c r="T20" s="16">
        <f t="shared" ref="T20:AH20" si="8">(S20*(1+(T$49/100)))</f>
        <v>614.81083439999998</v>
      </c>
      <c r="U20" s="16">
        <f t="shared" si="8"/>
        <v>627.10705108799993</v>
      </c>
      <c r="V20" s="16">
        <f t="shared" si="8"/>
        <v>639.64919210975995</v>
      </c>
      <c r="W20" s="16">
        <f t="shared" si="8"/>
        <v>652.44217595195516</v>
      </c>
      <c r="X20" s="16">
        <f t="shared" si="8"/>
        <v>665.49101947099427</v>
      </c>
      <c r="Y20" s="16">
        <f t="shared" si="8"/>
        <v>678.80083986041416</v>
      </c>
      <c r="Z20" s="16">
        <f t="shared" si="8"/>
        <v>692.3768566576224</v>
      </c>
      <c r="AA20" s="16">
        <f t="shared" si="8"/>
        <v>706.22439379077491</v>
      </c>
      <c r="AB20" s="16">
        <f t="shared" si="8"/>
        <v>720.34888166659039</v>
      </c>
      <c r="AC20" s="16">
        <f t="shared" si="8"/>
        <v>734.75585929992224</v>
      </c>
      <c r="AD20" s="16">
        <f t="shared" si="8"/>
        <v>749.45097648592071</v>
      </c>
      <c r="AE20" s="16">
        <f t="shared" si="8"/>
        <v>764.43999601563917</v>
      </c>
      <c r="AF20" s="16">
        <f t="shared" si="8"/>
        <v>779.72879593595201</v>
      </c>
      <c r="AG20" s="16">
        <f t="shared" si="8"/>
        <v>795.32337185467111</v>
      </c>
      <c r="AH20" s="16">
        <f t="shared" si="8"/>
        <v>811.22983929176451</v>
      </c>
    </row>
    <row r="21" spans="1:34" ht="11.25" x14ac:dyDescent="0.2">
      <c r="E21" s="14" t="s">
        <v>205</v>
      </c>
      <c r="H21" s="26"/>
      <c r="I21" s="26"/>
      <c r="J21" s="16"/>
      <c r="K21" s="16"/>
      <c r="L21" s="16"/>
      <c r="M21" s="16">
        <v>902.86757</v>
      </c>
      <c r="N21" s="16">
        <f>(M21*(1+(N$50/100)))</f>
        <v>902.86757</v>
      </c>
      <c r="O21" s="16">
        <v>905.74099999999999</v>
      </c>
      <c r="P21" s="16">
        <v>916.58500000000004</v>
      </c>
      <c r="Q21" s="16">
        <v>942.27499999999998</v>
      </c>
      <c r="R21" s="16">
        <v>972.22137999999995</v>
      </c>
      <c r="S21" s="16">
        <v>993.41524000000004</v>
      </c>
      <c r="T21" s="16">
        <f t="shared" ref="T21:AH21" si="9">(S21*(1+(T$50/100)))</f>
        <v>1013.2835448000001</v>
      </c>
      <c r="U21" s="16">
        <f t="shared" si="9"/>
        <v>1033.5492156960001</v>
      </c>
      <c r="V21" s="16">
        <f t="shared" si="9"/>
        <v>1054.2202000099201</v>
      </c>
      <c r="W21" s="16">
        <f t="shared" si="9"/>
        <v>1075.3046040101185</v>
      </c>
      <c r="X21" s="16">
        <f t="shared" si="9"/>
        <v>1096.8106960903208</v>
      </c>
      <c r="Y21" s="16">
        <f t="shared" si="9"/>
        <v>1118.7469100121273</v>
      </c>
      <c r="Z21" s="16">
        <f t="shared" si="9"/>
        <v>1141.1218482123697</v>
      </c>
      <c r="AA21" s="16">
        <f t="shared" si="9"/>
        <v>1163.9442851766171</v>
      </c>
      <c r="AB21" s="16">
        <f t="shared" si="9"/>
        <v>1187.2231708801494</v>
      </c>
      <c r="AC21" s="16">
        <f t="shared" si="9"/>
        <v>1210.9676342977523</v>
      </c>
      <c r="AD21" s="16">
        <f t="shared" si="9"/>
        <v>1235.1869869837074</v>
      </c>
      <c r="AE21" s="16">
        <f t="shared" si="9"/>
        <v>1259.8907267233815</v>
      </c>
      <c r="AF21" s="16">
        <f t="shared" si="9"/>
        <v>1285.0885412578491</v>
      </c>
      <c r="AG21" s="16">
        <f t="shared" si="9"/>
        <v>1310.790312083006</v>
      </c>
      <c r="AH21" s="16">
        <f t="shared" si="9"/>
        <v>1337.0061183246662</v>
      </c>
    </row>
    <row r="22" spans="1:34" ht="11.25" x14ac:dyDescent="0.2">
      <c r="E22" s="14" t="s">
        <v>206</v>
      </c>
      <c r="H22" s="26"/>
      <c r="I22" s="26"/>
      <c r="J22" s="24"/>
      <c r="K22" s="24"/>
      <c r="L22" s="24"/>
      <c r="M22" s="24">
        <v>22921.194</v>
      </c>
      <c r="N22" s="22">
        <f>(M22*(1+(N$51/100)))</f>
        <v>24067.253700000001</v>
      </c>
      <c r="O22" s="22">
        <v>23821.631809999999</v>
      </c>
      <c r="P22" s="22">
        <v>26344.28584</v>
      </c>
      <c r="Q22" s="38">
        <v>20487.772540000002</v>
      </c>
      <c r="R22" s="38">
        <v>27381.05243</v>
      </c>
      <c r="S22" s="22">
        <v>23621.022810000002</v>
      </c>
      <c r="T22" s="22">
        <f>(S22*(1+(T$51/100)))</f>
        <v>24093.443266200004</v>
      </c>
      <c r="U22" s="22">
        <f>(T22*(1+(U$51/100)))</f>
        <v>24575.312131524002</v>
      </c>
      <c r="V22" s="22">
        <f>(U22*(1+(V$51/100)))</f>
        <v>25066.818374154482</v>
      </c>
      <c r="W22" s="22">
        <f>(V22*(1+(W$51/100)))</f>
        <v>25568.154741637572</v>
      </c>
      <c r="X22" s="22">
        <f>(W22*(1+(X$51/100)))</f>
        <v>26079.517836470324</v>
      </c>
      <c r="Y22" s="22">
        <f t="shared" ref="Y22:AH22" si="10">(X22*(1+(Y$51/100)))</f>
        <v>26601.108193199732</v>
      </c>
      <c r="Z22" s="22">
        <f t="shared" si="10"/>
        <v>27133.130357063728</v>
      </c>
      <c r="AA22" s="22">
        <f t="shared" si="10"/>
        <v>27675.792964205004</v>
      </c>
      <c r="AB22" s="22">
        <f t="shared" si="10"/>
        <v>28229.308823489104</v>
      </c>
      <c r="AC22" s="22">
        <f t="shared" si="10"/>
        <v>28793.894999958888</v>
      </c>
      <c r="AD22" s="22">
        <f t="shared" si="10"/>
        <v>29369.772899958065</v>
      </c>
      <c r="AE22" s="22">
        <f t="shared" si="10"/>
        <v>29957.168357957227</v>
      </c>
      <c r="AF22" s="22">
        <f t="shared" si="10"/>
        <v>30556.311725116371</v>
      </c>
      <c r="AG22" s="22">
        <f t="shared" si="10"/>
        <v>31167.437959618699</v>
      </c>
      <c r="AH22" s="22">
        <f t="shared" si="10"/>
        <v>31790.786718811072</v>
      </c>
    </row>
    <row r="23" spans="1:34" ht="11.25" x14ac:dyDescent="0.2">
      <c r="E23" s="14" t="s">
        <v>207</v>
      </c>
      <c r="H23" s="26"/>
      <c r="I23" s="26"/>
      <c r="J23" s="16"/>
      <c r="K23" s="16"/>
      <c r="L23" s="16"/>
      <c r="M23" s="16">
        <v>35345.302490000002</v>
      </c>
      <c r="N23" s="16">
        <f>M23*(1+N52/100)</f>
        <v>37112.567614500003</v>
      </c>
      <c r="O23" s="16">
        <v>43116.728999999999</v>
      </c>
      <c r="P23" s="16">
        <v>47375.038</v>
      </c>
      <c r="Q23" s="29">
        <v>47581.237999999998</v>
      </c>
      <c r="R23" s="16">
        <v>47703.865480000008</v>
      </c>
      <c r="S23" s="16">
        <v>48125.169060000015</v>
      </c>
      <c r="T23" s="16">
        <f t="shared" ref="T23:AH23" si="11">S23*(1+T52)</f>
        <v>48606.420750600017</v>
      </c>
      <c r="U23" s="16">
        <f t="shared" si="11"/>
        <v>49092.484958106019</v>
      </c>
      <c r="V23" s="16">
        <f t="shared" si="11"/>
        <v>49583.40980768708</v>
      </c>
      <c r="W23" s="16">
        <f t="shared" si="11"/>
        <v>50079.243905763949</v>
      </c>
      <c r="X23" s="16">
        <f t="shared" si="11"/>
        <v>50580.036344821587</v>
      </c>
      <c r="Y23" s="16">
        <f t="shared" si="11"/>
        <v>51085.836708269802</v>
      </c>
      <c r="Z23" s="16">
        <f t="shared" si="11"/>
        <v>51596.695075352502</v>
      </c>
      <c r="AA23" s="16">
        <f t="shared" si="11"/>
        <v>52112.662026106031</v>
      </c>
      <c r="AB23" s="16">
        <f t="shared" si="11"/>
        <v>52633.788646367095</v>
      </c>
      <c r="AC23" s="16">
        <f t="shared" si="11"/>
        <v>53160.126532830764</v>
      </c>
      <c r="AD23" s="16">
        <f t="shared" si="11"/>
        <v>53691.727798159074</v>
      </c>
      <c r="AE23" s="16">
        <f t="shared" si="11"/>
        <v>54228.645076140667</v>
      </c>
      <c r="AF23" s="16">
        <f t="shared" si="11"/>
        <v>54770.931526902074</v>
      </c>
      <c r="AG23" s="16">
        <f t="shared" si="11"/>
        <v>55318.640842171095</v>
      </c>
      <c r="AH23" s="16">
        <f t="shared" si="11"/>
        <v>55871.827250592803</v>
      </c>
    </row>
    <row r="24" spans="1:34" ht="11.25" x14ac:dyDescent="0.2">
      <c r="E24" s="14" t="s">
        <v>301</v>
      </c>
      <c r="H24" s="26"/>
      <c r="I24" s="26"/>
      <c r="J24" s="16"/>
      <c r="K24" s="16"/>
      <c r="L24" s="16"/>
      <c r="M24" s="16"/>
      <c r="N24" s="16"/>
      <c r="O24" s="16">
        <v>468.06</v>
      </c>
      <c r="P24" s="16">
        <v>2718.1970000000001</v>
      </c>
      <c r="Q24" s="16">
        <v>952.46699999999998</v>
      </c>
      <c r="R24" s="16">
        <v>5267.2241199998853</v>
      </c>
      <c r="S24" s="29">
        <v>8385.4761999999282</v>
      </c>
      <c r="T24" s="16">
        <f>S24*(1+T53/100)</f>
        <v>10062.571439999914</v>
      </c>
      <c r="U24" s="16">
        <f>T24*(1+U53/100)</f>
        <v>11068.828583999906</v>
      </c>
      <c r="V24" s="16">
        <f>U24*(1+V53/100)</f>
        <v>12175.711442399897</v>
      </c>
      <c r="W24" s="16">
        <f>V24*(1+W53/100)</f>
        <v>13393.282586639889</v>
      </c>
      <c r="X24" s="16">
        <f>W24*(1+X53/100)</f>
        <v>14732.61084530388</v>
      </c>
      <c r="Y24" s="16">
        <f t="shared" ref="Y24:AH24" si="12">X24*(1+Y53/100)</f>
        <v>16353.198038287308</v>
      </c>
      <c r="Z24" s="16">
        <f t="shared" si="12"/>
        <v>18315.581802881788</v>
      </c>
      <c r="AA24" s="16">
        <f t="shared" si="12"/>
        <v>20696.607437256418</v>
      </c>
      <c r="AB24" s="16">
        <f t="shared" si="12"/>
        <v>23594.132478472318</v>
      </c>
      <c r="AC24" s="16">
        <f t="shared" si="12"/>
        <v>27133.252350243165</v>
      </c>
      <c r="AD24" s="16">
        <f t="shared" si="12"/>
        <v>31474.572726282069</v>
      </c>
      <c r="AE24" s="16">
        <f t="shared" si="12"/>
        <v>36825.250089750021</v>
      </c>
      <c r="AF24" s="16">
        <f t="shared" si="12"/>
        <v>43453.795105905025</v>
      </c>
      <c r="AG24" s="16">
        <f t="shared" si="12"/>
        <v>51710.016176026977</v>
      </c>
      <c r="AH24" s="16">
        <f t="shared" si="12"/>
        <v>62052.019411232366</v>
      </c>
    </row>
    <row r="25" spans="1:34" ht="3" customHeight="1" x14ac:dyDescent="0.2">
      <c r="H25" s="26"/>
      <c r="I25" s="26"/>
      <c r="AE25" s="5"/>
    </row>
    <row r="26" spans="1:34" ht="11.25" x14ac:dyDescent="0.2">
      <c r="E26" s="143" t="s">
        <v>208</v>
      </c>
      <c r="F26" s="62"/>
      <c r="G26" s="62"/>
      <c r="H26" s="144"/>
      <c r="I26" s="144"/>
      <c r="J26" s="145"/>
      <c r="K26" s="145"/>
      <c r="L26" s="145"/>
      <c r="M26" s="145">
        <f>SUM(M13:M24)</f>
        <v>217910.10395999998</v>
      </c>
      <c r="N26" s="145">
        <f>SUM(N13:N24)</f>
        <v>230410.85390560693</v>
      </c>
      <c r="O26" s="145">
        <f>'1. SRECNA'!O45</f>
        <v>105000</v>
      </c>
      <c r="P26" s="145">
        <f>'1. SRECNA'!P45</f>
        <v>110000</v>
      </c>
      <c r="Q26" s="145">
        <f>'1. SRECNA'!Q45</f>
        <v>115000</v>
      </c>
      <c r="R26" s="145">
        <f>'1. SRECNA'!R45</f>
        <v>120000</v>
      </c>
      <c r="S26" s="145">
        <f t="shared" ref="S26:X26" si="13">SUM(S13:S24)</f>
        <v>427675.99999999988</v>
      </c>
      <c r="T26" s="145">
        <f t="shared" ca="1" si="13"/>
        <v>301250.27091729996</v>
      </c>
      <c r="U26" s="145">
        <f t="shared" ca="1" si="13"/>
        <v>321590.55401740497</v>
      </c>
      <c r="V26" s="145">
        <f t="shared" ca="1" si="13"/>
        <v>337409.10396274156</v>
      </c>
      <c r="W26" s="145">
        <f t="shared" ca="1" si="13"/>
        <v>354229.44224535057</v>
      </c>
      <c r="X26" s="145">
        <f t="shared" ca="1" si="13"/>
        <v>372121.70466758002</v>
      </c>
      <c r="Y26" s="145">
        <f t="shared" ref="Y26:AH26" ca="1" si="14">SUM(Y13:Y24)</f>
        <v>389786.05509235326</v>
      </c>
      <c r="Z26" s="145">
        <f t="shared" ca="1" si="14"/>
        <v>408827.24987022037</v>
      </c>
      <c r="AA26" s="145">
        <f t="shared" ca="1" si="14"/>
        <v>429392.83255334361</v>
      </c>
      <c r="AB26" s="145">
        <f t="shared" ca="1" si="14"/>
        <v>451656.26679580362</v>
      </c>
      <c r="AC26" s="145">
        <f t="shared" ca="1" si="14"/>
        <v>475823.50449339283</v>
      </c>
      <c r="AD26" s="145">
        <f t="shared" ca="1" si="14"/>
        <v>502141.62458452006</v>
      </c>
      <c r="AE26" s="145">
        <f t="shared" ca="1" si="14"/>
        <v>530910.2656681115</v>
      </c>
      <c r="AF26" s="145">
        <f t="shared" ca="1" si="14"/>
        <v>562496.84884823044</v>
      </c>
      <c r="AG26" s="145">
        <f t="shared" ca="1" si="14"/>
        <v>597356.97009157052</v>
      </c>
      <c r="AH26" s="145">
        <f t="shared" ca="1" si="14"/>
        <v>636061.88038876106</v>
      </c>
    </row>
    <row r="27" spans="1:34" ht="3" customHeight="1" x14ac:dyDescent="0.2">
      <c r="E27" s="32"/>
      <c r="F27" s="12"/>
      <c r="G27" s="12"/>
      <c r="H27" s="65"/>
      <c r="I27" s="65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</row>
    <row r="28" spans="1:34" ht="11.25" x14ac:dyDescent="0.2">
      <c r="E28" s="5" t="s">
        <v>209</v>
      </c>
      <c r="H28" s="26"/>
      <c r="I28" s="26"/>
      <c r="J28" s="16"/>
      <c r="K28" s="16"/>
      <c r="L28" s="16"/>
      <c r="M28" s="49">
        <v>973010.78902999987</v>
      </c>
      <c r="N28" s="49">
        <v>940123</v>
      </c>
      <c r="O28" s="49">
        <f t="shared" ref="O28:AH28" si="15">exp_Salaries</f>
        <v>305000</v>
      </c>
      <c r="P28" s="49">
        <f t="shared" si="15"/>
        <v>310000</v>
      </c>
      <c r="Q28" s="49">
        <f t="shared" si="15"/>
        <v>315000</v>
      </c>
      <c r="R28" s="49">
        <f t="shared" si="15"/>
        <v>320000</v>
      </c>
      <c r="S28" s="49">
        <f t="shared" si="15"/>
        <v>320000</v>
      </c>
      <c r="T28" s="49">
        <f t="shared" ca="1" si="15"/>
        <v>329600</v>
      </c>
      <c r="U28" s="49">
        <f t="shared" ca="1" si="15"/>
        <v>339488</v>
      </c>
      <c r="V28" s="49">
        <f t="shared" ca="1" si="15"/>
        <v>349672.64</v>
      </c>
      <c r="W28" s="49">
        <f t="shared" ca="1" si="15"/>
        <v>360162.81920000003</v>
      </c>
      <c r="X28" s="49">
        <f t="shared" ca="1" si="15"/>
        <v>370967.70377600001</v>
      </c>
      <c r="Y28" s="49">
        <f t="shared" ca="1" si="15"/>
        <v>382096.73488927999</v>
      </c>
      <c r="Z28" s="49">
        <f t="shared" ca="1" si="15"/>
        <v>393559.63693595841</v>
      </c>
      <c r="AA28" s="49">
        <f t="shared" ca="1" si="15"/>
        <v>405366.42604403716</v>
      </c>
      <c r="AB28" s="49">
        <f t="shared" ca="1" si="15"/>
        <v>417527.41882535827</v>
      </c>
      <c r="AC28" s="49">
        <f t="shared" ca="1" si="15"/>
        <v>430053.24139011902</v>
      </c>
      <c r="AD28" s="49">
        <f t="shared" ca="1" si="15"/>
        <v>442954.83863182261</v>
      </c>
      <c r="AE28" s="49">
        <f t="shared" ca="1" si="15"/>
        <v>456243.48379077727</v>
      </c>
      <c r="AF28" s="49">
        <f t="shared" ca="1" si="15"/>
        <v>469930.78830450063</v>
      </c>
      <c r="AG28" s="49">
        <f t="shared" ca="1" si="15"/>
        <v>484028.71195363568</v>
      </c>
      <c r="AH28" s="49">
        <f t="shared" ca="1" si="15"/>
        <v>498549.57331224479</v>
      </c>
    </row>
    <row r="29" spans="1:34" ht="11.25" x14ac:dyDescent="0.2">
      <c r="E29" s="143" t="s">
        <v>210</v>
      </c>
      <c r="F29" s="62"/>
      <c r="G29" s="62"/>
      <c r="H29" s="144"/>
      <c r="I29" s="144"/>
      <c r="J29" s="145"/>
      <c r="K29" s="145"/>
      <c r="L29" s="145"/>
      <c r="M29" s="147">
        <f>(M26/M28)*100</f>
        <v>22.39544580767042</v>
      </c>
      <c r="N29" s="147">
        <f>(N26/N28)*100</f>
        <v>24.508585994131295</v>
      </c>
      <c r="O29" s="156">
        <f>(O26/O28)</f>
        <v>0.34426229508196721</v>
      </c>
      <c r="P29" s="156">
        <f t="shared" ref="P29:X29" si="16">(P26/P28)</f>
        <v>0.35483870967741937</v>
      </c>
      <c r="Q29" s="156">
        <f t="shared" si="16"/>
        <v>0.36507936507936506</v>
      </c>
      <c r="R29" s="156">
        <f t="shared" si="16"/>
        <v>0.375</v>
      </c>
      <c r="S29" s="156">
        <f t="shared" si="16"/>
        <v>1.3364874999999996</v>
      </c>
      <c r="T29" s="156">
        <f t="shared" ca="1" si="16"/>
        <v>0.91398747244326439</v>
      </c>
      <c r="U29" s="156">
        <f t="shared" ca="1" si="16"/>
        <v>0.94728106447769866</v>
      </c>
      <c r="V29" s="156">
        <f ca="1">(V26/V28)</f>
        <v>0.96492852275414387</v>
      </c>
      <c r="W29" s="156">
        <f ca="1">(W26/W28)</f>
        <v>0.98352584820435163</v>
      </c>
      <c r="X29" s="156">
        <f t="shared" ca="1" si="16"/>
        <v>1.0031107853320753</v>
      </c>
      <c r="Y29" s="156">
        <f t="shared" ref="Y29:AH29" ca="1" si="17">(Y26/Y28)</f>
        <v>1.0201240144208545</v>
      </c>
      <c r="Z29" s="156">
        <f t="shared" ca="1" si="17"/>
        <v>1.0387936452353888</v>
      </c>
      <c r="AA29" s="156">
        <f t="shared" ca="1" si="17"/>
        <v>1.0592708348932094</v>
      </c>
      <c r="AB29" s="156">
        <f t="shared" ca="1" si="17"/>
        <v>1.0817403754380035</v>
      </c>
      <c r="AC29" s="156">
        <f t="shared" ca="1" si="17"/>
        <v>1.1064292945574004</v>
      </c>
      <c r="AD29" s="156">
        <f t="shared" ca="1" si="17"/>
        <v>1.1336181045803917</v>
      </c>
      <c r="AE29" s="156">
        <f t="shared" ca="1" si="17"/>
        <v>1.1636555578984986</v>
      </c>
      <c r="AF29" s="156">
        <f t="shared" ca="1" si="17"/>
        <v>1.1969780717660701</v>
      </c>
      <c r="AG29" s="156">
        <f t="shared" ca="1" si="17"/>
        <v>1.2341354042418673</v>
      </c>
      <c r="AH29" s="156">
        <f t="shared" ca="1" si="17"/>
        <v>1.275824741284838</v>
      </c>
    </row>
    <row r="30" spans="1:34" ht="11.25" x14ac:dyDescent="0.2">
      <c r="E30" s="143" t="s">
        <v>244</v>
      </c>
      <c r="F30" s="143"/>
      <c r="G30" s="62"/>
      <c r="H30" s="62"/>
      <c r="I30" s="144"/>
      <c r="J30" s="21"/>
      <c r="K30" s="21"/>
      <c r="L30" s="21"/>
      <c r="M30" s="148"/>
      <c r="N30" s="21"/>
      <c r="O30" s="156">
        <f>(O26+((O42-O41)/100)*O28)/Benefits!O28</f>
        <v>0.34426229508196721</v>
      </c>
      <c r="P30" s="156">
        <f>(P26+((P42-P41)/100)*P28)/Benefits!P28</f>
        <v>0.35483870967741937</v>
      </c>
      <c r="Q30" s="156">
        <f>(Q26+((Q42-Q41)/100)*Q28)/Benefits!Q28</f>
        <v>0.36507936507936506</v>
      </c>
      <c r="R30" s="156">
        <f>(R26+((R42-R41)/100)*R28)/Benefits!R28</f>
        <v>0.375</v>
      </c>
      <c r="S30" s="156">
        <f>(S26+(((S42-S41)/100)*S28)*$O$55)/Benefits!S28</f>
        <v>1.3364874999999996</v>
      </c>
      <c r="T30" s="156">
        <f ca="1">(T26+(((T42-T41)/100)*T28)*$O$55)/Benefits!T28</f>
        <v>0.90678747244326441</v>
      </c>
      <c r="U30" s="156">
        <f ca="1">(U26+(((U42-U41)/100)*U28)*$O$55)/Benefits!U28</f>
        <v>0.93072106447769865</v>
      </c>
      <c r="V30" s="156">
        <f ca="1">(V26+(((V42-V41)/100)*V28)*$O$55)/Benefits!V28</f>
        <v>0.94836852275414385</v>
      </c>
      <c r="W30" s="156">
        <f ca="1">(W26+(((W42-W41)/100)*W28)*$O$55)/Benefits!W28</f>
        <v>0.96696584820435172</v>
      </c>
      <c r="X30" s="156">
        <f ca="1">(X26+(((X42-X41)/100)*X28)*$O$55)/Benefits!X28</f>
        <v>0.98655078533207519</v>
      </c>
      <c r="Y30" s="156">
        <f ca="1">(Y26+(((Y42-Y41)/100)*Y28)*$O$55)/Benefits!Y28</f>
        <v>1.0035640144208544</v>
      </c>
      <c r="Z30" s="156">
        <f ca="1">(Z26+(((Z42-Z41)/100)*Z28)*$O$55)/Benefits!Z28</f>
        <v>1.0222336452353886</v>
      </c>
      <c r="AA30" s="156">
        <f ca="1">(AA26+(((AA42-AA41)/100)*AA28)*$O$55)/Benefits!AA28</f>
        <v>1.0427108348932093</v>
      </c>
      <c r="AB30" s="156">
        <f ca="1">(AB26+(((AB42-AB41)/100)*AB28)*$O$55)/Benefits!AB28</f>
        <v>1.0651803754380036</v>
      </c>
      <c r="AC30" s="156">
        <f ca="1">(AC26+(((AC42-AC41)/100)*AC28)*$O$55)/Benefits!AC28</f>
        <v>1.0898692945574004</v>
      </c>
      <c r="AD30" s="156">
        <f ca="1">(AD26+(((AD42-AD41)/100)*AD28)*$O$55)/Benefits!AD28</f>
        <v>1.1170581045803918</v>
      </c>
      <c r="AE30" s="156">
        <f ca="1">(AE26+(((AE42-AE41)/100)*AE28)*$O$55)/Benefits!AE28</f>
        <v>1.1470955578984985</v>
      </c>
      <c r="AF30" s="156">
        <f ca="1">(AF26+(((AF42-AF41)/100)*AF28)*$O$55)/Benefits!AF28</f>
        <v>1.1804180717660702</v>
      </c>
      <c r="AG30" s="156">
        <f ca="1">(AG26+(((AG42-AG41)/100)*AG28)*$O$55)/Benefits!AG28</f>
        <v>1.2175754042418672</v>
      </c>
      <c r="AH30" s="156">
        <f ca="1">(AH26+(((AH42-AH41)/100)*AH28)*$O$55)/Benefits!AH28</f>
        <v>1.2592647412848379</v>
      </c>
    </row>
    <row r="31" spans="1:34" ht="11.25" x14ac:dyDescent="0.2">
      <c r="E31" s="143" t="s">
        <v>245</v>
      </c>
      <c r="F31" s="143"/>
      <c r="G31" s="62"/>
      <c r="H31" s="62"/>
      <c r="I31" s="144"/>
      <c r="J31" s="21"/>
      <c r="K31" s="21"/>
      <c r="L31" s="21"/>
      <c r="M31" s="148"/>
      <c r="N31" s="21"/>
      <c r="O31" s="156">
        <f>(O26+((O43-O41)/100)*O28)/Benefits!O28</f>
        <v>0.34426229508196721</v>
      </c>
      <c r="P31" s="156">
        <f>(P26+((P43-P41)/100)*P28)/Benefits!P28</f>
        <v>0.35483870967741937</v>
      </c>
      <c r="Q31" s="156">
        <f>(Q26+((Q43-Q41)/100)*Q28)/Benefits!Q28</f>
        <v>0.36507936507936506</v>
      </c>
      <c r="R31" s="156">
        <f>(R26+((R43-R41)/100)*R28)/Benefits!R28</f>
        <v>0.375</v>
      </c>
      <c r="S31" s="156">
        <f>(S26+(((S43-S41)/100)*S28)*$O$55)/Benefits!S28</f>
        <v>1.3364874999999996</v>
      </c>
      <c r="T31" s="156">
        <f ca="1">(T26+(((T43-T41)/100)*T28)*$O$55)/Benefits!T28</f>
        <v>0.89958747244326442</v>
      </c>
      <c r="U31" s="156">
        <f ca="1">(U26+(((U43-U41)/100)*U28)*$O$55)/Benefits!U28</f>
        <v>0.91632106447769868</v>
      </c>
      <c r="V31" s="156">
        <f ca="1">(V26+(((V43-V41)/100)*V28)*$O$55)/Benefits!V28</f>
        <v>0.93396852275414377</v>
      </c>
      <c r="W31" s="156">
        <f ca="1">(W26+(((W43-W41)/100)*W28)*$O$55)/Benefits!W28</f>
        <v>0.95256584820435164</v>
      </c>
      <c r="X31" s="156">
        <f ca="1">(X26+(((X43-X41)/100)*X28)*$O$55)/Benefits!X28</f>
        <v>0.97215078533207533</v>
      </c>
      <c r="Y31" s="156">
        <f ca="1">(Y26+(((Y43-Y41)/100)*Y28)*$O$55)/Benefits!Y28</f>
        <v>0.98916401442085444</v>
      </c>
      <c r="Z31" s="156">
        <f ca="1">(Z26+(((Z43-Z41)/100)*Z28)*$O$55)/Benefits!Z28</f>
        <v>1.0078336452353887</v>
      </c>
      <c r="AA31" s="156">
        <f ca="1">(AA26+(((AA43-AA41)/100)*AA28)*$O$55)/Benefits!AA28</f>
        <v>1.0283108348932093</v>
      </c>
      <c r="AB31" s="156">
        <f ca="1">(AB26+(((AB43-AB41)/100)*AB28)*$O$55)/Benefits!AB28</f>
        <v>1.0507803754380036</v>
      </c>
      <c r="AC31" s="156">
        <f ca="1">(AC26+(((AC43-AC41)/100)*AC28)*$O$55)/Benefits!AC28</f>
        <v>1.0754692945574005</v>
      </c>
      <c r="AD31" s="156">
        <f ca="1">(AD26+(((AD43-AD41)/100)*AD28)*$O$55)/Benefits!AD28</f>
        <v>1.1026581045803918</v>
      </c>
      <c r="AE31" s="156">
        <f ca="1">(AE26+(((AE43-AE41)/100)*AE28)*$O$55)/Benefits!AE28</f>
        <v>1.1326955578984985</v>
      </c>
      <c r="AF31" s="156">
        <f ca="1">(AF26+(((AF43-AF41)/100)*AF28)*$O$55)/Benefits!AF28</f>
        <v>1.1660180717660702</v>
      </c>
      <c r="AG31" s="156">
        <f ca="1">(AG26+(((AG43-AG41)/100)*AG28)*$O$55)/Benefits!AG28</f>
        <v>1.2031754042418672</v>
      </c>
      <c r="AH31" s="156">
        <f ca="1">(AH26+(((AH43-AH41)/100)*AH28)*$O$55)/Benefits!AH28</f>
        <v>1.2448647412848379</v>
      </c>
    </row>
    <row r="32" spans="1:34" s="114" customFormat="1" ht="11.25" x14ac:dyDescent="0.2">
      <c r="A32" s="56"/>
      <c r="B32" s="56"/>
      <c r="C32" s="56"/>
      <c r="D32" s="58"/>
      <c r="G32" s="829">
        <v>0.16</v>
      </c>
      <c r="P32" s="830"/>
      <c r="Q32" s="831"/>
      <c r="R32" s="831">
        <f t="shared" ref="R32:X32" si="18">R28*R30</f>
        <v>120000</v>
      </c>
      <c r="S32" s="831">
        <f t="shared" si="18"/>
        <v>427675.99999999988</v>
      </c>
      <c r="T32" s="831">
        <f t="shared" ca="1" si="18"/>
        <v>298877.15091729996</v>
      </c>
      <c r="U32" s="831">
        <f t="shared" ca="1" si="18"/>
        <v>315968.63273740496</v>
      </c>
      <c r="V32" s="831">
        <f t="shared" ca="1" si="18"/>
        <v>331618.52504434157</v>
      </c>
      <c r="W32" s="831">
        <f t="shared" ca="1" si="18"/>
        <v>348265.14595939859</v>
      </c>
      <c r="X32" s="831">
        <f t="shared" ca="1" si="18"/>
        <v>365978.47949304944</v>
      </c>
      <c r="Y32" s="831">
        <f t="shared" ref="Y32:AH32" ca="1" si="19">Y28*Y30</f>
        <v>383458.5331625868</v>
      </c>
      <c r="Z32" s="831">
        <f t="shared" ca="1" si="19"/>
        <v>402309.90228256083</v>
      </c>
      <c r="AA32" s="831">
        <f t="shared" ca="1" si="19"/>
        <v>422679.96453805437</v>
      </c>
      <c r="AB32" s="831">
        <f t="shared" ca="1" si="19"/>
        <v>444742.01274005568</v>
      </c>
      <c r="AC32" s="831">
        <f t="shared" ca="1" si="19"/>
        <v>468701.82281597244</v>
      </c>
      <c r="AD32" s="831">
        <f t="shared" ca="1" si="19"/>
        <v>494806.29245677707</v>
      </c>
      <c r="AE32" s="831">
        <f t="shared" ca="1" si="19"/>
        <v>523354.87357653619</v>
      </c>
      <c r="AF32" s="831">
        <f t="shared" ca="1" si="19"/>
        <v>554714.79499390791</v>
      </c>
      <c r="AG32" s="831">
        <f t="shared" ca="1" si="19"/>
        <v>589341.45462161826</v>
      </c>
      <c r="AH32" s="831">
        <f t="shared" ca="1" si="19"/>
        <v>627805.89945471031</v>
      </c>
    </row>
    <row r="33" spans="1:34" s="114" customFormat="1" ht="11.25" x14ac:dyDescent="0.2">
      <c r="A33" s="56"/>
      <c r="B33" s="56"/>
      <c r="C33" s="56"/>
      <c r="D33" s="58"/>
      <c r="G33" s="829">
        <v>0.14000000000000001</v>
      </c>
      <c r="Q33" s="831"/>
      <c r="R33" s="831">
        <f t="shared" ref="R33:X33" si="20">R28*R31</f>
        <v>120000</v>
      </c>
      <c r="S33" s="831">
        <f t="shared" si="20"/>
        <v>427675.99999999988</v>
      </c>
      <c r="T33" s="831">
        <f t="shared" ca="1" si="20"/>
        <v>296504.03091729997</v>
      </c>
      <c r="U33" s="831">
        <f t="shared" ca="1" si="20"/>
        <v>311080.00553740497</v>
      </c>
      <c r="V33" s="831">
        <f t="shared" ca="1" si="20"/>
        <v>326583.23902834154</v>
      </c>
      <c r="W33" s="831">
        <f t="shared" ca="1" si="20"/>
        <v>343078.80136291857</v>
      </c>
      <c r="X33" s="831">
        <f t="shared" ca="1" si="20"/>
        <v>360636.54455867509</v>
      </c>
      <c r="Y33" s="831">
        <f t="shared" ref="Y33:AH33" ca="1" si="21">Y28*Y31</f>
        <v>377956.34018018114</v>
      </c>
      <c r="Z33" s="831">
        <f t="shared" ca="1" si="21"/>
        <v>396642.64351068309</v>
      </c>
      <c r="AA33" s="831">
        <f t="shared" ca="1" si="21"/>
        <v>416842.68800302024</v>
      </c>
      <c r="AB33" s="831">
        <f t="shared" ca="1" si="21"/>
        <v>438729.61790897057</v>
      </c>
      <c r="AC33" s="831">
        <f t="shared" ca="1" si="21"/>
        <v>462509.05613995477</v>
      </c>
      <c r="AD33" s="831">
        <f t="shared" ca="1" si="21"/>
        <v>488427.74278047885</v>
      </c>
      <c r="AE33" s="831">
        <f t="shared" ca="1" si="21"/>
        <v>516784.96740994905</v>
      </c>
      <c r="AF33" s="831">
        <f t="shared" ca="1" si="21"/>
        <v>547947.79164232314</v>
      </c>
      <c r="AG33" s="831">
        <f t="shared" ca="1" si="21"/>
        <v>582371.44116948592</v>
      </c>
      <c r="AH33" s="831">
        <f t="shared" ca="1" si="21"/>
        <v>620626.78559901391</v>
      </c>
    </row>
    <row r="34" spans="1:34" s="114" customFormat="1" ht="11.25" x14ac:dyDescent="0.2">
      <c r="A34" s="56"/>
      <c r="B34" s="56"/>
      <c r="C34" s="56"/>
      <c r="D34" s="58"/>
      <c r="R34" s="832">
        <f>R28*$R$43/100*$O$55</f>
        <v>29260.799999999999</v>
      </c>
      <c r="S34" s="832">
        <f>S28*$S$43/100*$O$55</f>
        <v>33868.799999999996</v>
      </c>
      <c r="T34" s="832">
        <f ca="1">T28*$T$43/100*$O$55</f>
        <v>34884.863999999994</v>
      </c>
      <c r="U34" s="832">
        <f ca="1">U28*$T$43/100*$O$55</f>
        <v>35931.409919999998</v>
      </c>
      <c r="V34" s="832">
        <f ca="1">V28*$T$43/100*$O$55</f>
        <v>37009.352217599997</v>
      </c>
      <c r="W34" s="832">
        <f ca="1">W28*$T$43/100*$O$55</f>
        <v>38119.632784127993</v>
      </c>
      <c r="X34" s="832">
        <f ca="1">X28*$T$43/100*$O$55</f>
        <v>39263.221767651841</v>
      </c>
      <c r="Y34" s="832">
        <f t="shared" ref="Y34:AH34" ca="1" si="22">Y28*$T$43/100*$O$55</f>
        <v>40441.118420681392</v>
      </c>
      <c r="Z34" s="832">
        <f t="shared" ca="1" si="22"/>
        <v>41654.35197330184</v>
      </c>
      <c r="AA34" s="832">
        <f t="shared" ca="1" si="22"/>
        <v>42903.982532500886</v>
      </c>
      <c r="AB34" s="832">
        <f t="shared" ca="1" si="22"/>
        <v>44191.102008475915</v>
      </c>
      <c r="AC34" s="832">
        <f t="shared" ca="1" si="22"/>
        <v>45516.835068730194</v>
      </c>
      <c r="AD34" s="832">
        <f t="shared" ca="1" si="22"/>
        <v>46882.340120792098</v>
      </c>
      <c r="AE34" s="832">
        <f t="shared" ca="1" si="22"/>
        <v>48288.810324415863</v>
      </c>
      <c r="AF34" s="832">
        <f t="shared" ca="1" si="22"/>
        <v>49737.474634148348</v>
      </c>
      <c r="AG34" s="832">
        <f t="shared" ca="1" si="22"/>
        <v>51229.598873172799</v>
      </c>
      <c r="AH34" s="832">
        <f t="shared" ca="1" si="22"/>
        <v>52766.486839367986</v>
      </c>
    </row>
    <row r="35" spans="1:34" ht="11.25" x14ac:dyDescent="0.2">
      <c r="E35" s="12"/>
      <c r="M35" s="5" t="str">
        <f>M7</f>
        <v>Projected Year End June 30,</v>
      </c>
      <c r="N35" s="9"/>
      <c r="O35" s="9"/>
      <c r="P35" s="9"/>
      <c r="Q35" s="9"/>
      <c r="R35" s="9"/>
      <c r="S35" s="796"/>
      <c r="T35" s="9"/>
      <c r="U35" s="387"/>
      <c r="V35" s="227"/>
      <c r="W35" s="227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</row>
    <row r="36" spans="1:34" ht="11.25" x14ac:dyDescent="0.2">
      <c r="E36" s="15" t="str">
        <f>E4&amp;" Drivers"</f>
        <v>Benefits Drivers</v>
      </c>
      <c r="M36" s="10">
        <f t="shared" ref="M36:U36" si="23">M9</f>
        <v>2009</v>
      </c>
      <c r="N36" s="11">
        <f t="shared" si="23"/>
        <v>2010</v>
      </c>
      <c r="O36" s="11">
        <f t="shared" si="23"/>
        <v>2011</v>
      </c>
      <c r="P36" s="11">
        <f t="shared" si="23"/>
        <v>2012</v>
      </c>
      <c r="Q36" s="11">
        <f t="shared" si="23"/>
        <v>2013</v>
      </c>
      <c r="R36" s="11">
        <f t="shared" si="23"/>
        <v>2014</v>
      </c>
      <c r="S36" s="11">
        <f t="shared" si="23"/>
        <v>2015</v>
      </c>
      <c r="T36" s="11">
        <f t="shared" si="23"/>
        <v>2016</v>
      </c>
      <c r="U36" s="11">
        <f t="shared" si="23"/>
        <v>2017</v>
      </c>
      <c r="V36" s="11">
        <v>2018</v>
      </c>
      <c r="W36" s="11">
        <v>2019</v>
      </c>
      <c r="X36" s="11">
        <v>2020</v>
      </c>
      <c r="Y36" s="11">
        <v>2020</v>
      </c>
      <c r="Z36" s="11">
        <v>2020</v>
      </c>
      <c r="AA36" s="11">
        <v>2020</v>
      </c>
      <c r="AB36" s="11">
        <v>2020</v>
      </c>
      <c r="AC36" s="11">
        <v>2020</v>
      </c>
      <c r="AD36" s="11">
        <v>2020</v>
      </c>
      <c r="AE36" s="11">
        <v>2020</v>
      </c>
      <c r="AF36" s="11">
        <v>2020</v>
      </c>
      <c r="AG36" s="11">
        <v>2020</v>
      </c>
      <c r="AH36" s="11">
        <v>2020</v>
      </c>
    </row>
    <row r="37" spans="1:34" ht="11.25" x14ac:dyDescent="0.2">
      <c r="E37" s="13" t="s">
        <v>197</v>
      </c>
      <c r="AE37" s="5"/>
    </row>
    <row r="38" spans="1:34" ht="11.25" x14ac:dyDescent="0.2">
      <c r="E38" s="149" t="s">
        <v>198</v>
      </c>
      <c r="F38" s="150"/>
      <c r="G38" s="150"/>
      <c r="H38" s="150"/>
      <c r="I38" s="150"/>
      <c r="J38" s="150"/>
      <c r="K38" s="150"/>
      <c r="L38" s="150"/>
      <c r="M38" s="150">
        <v>5.4</v>
      </c>
      <c r="N38" s="150">
        <v>5.4</v>
      </c>
      <c r="O38" s="475">
        <f>O13/$P$28*100</f>
        <v>16.507161935483868</v>
      </c>
      <c r="P38" s="475">
        <f t="shared" ref="P38:R40" si="24">P13/P$28*100</f>
        <v>17.096999999999998</v>
      </c>
      <c r="Q38" s="475">
        <f t="shared" si="24"/>
        <v>17.834759682539683</v>
      </c>
      <c r="R38" s="475">
        <f t="shared" si="24"/>
        <v>18.842547178125002</v>
      </c>
      <c r="S38" s="475">
        <f>S13/S$28*100</f>
        <v>19.896583631249996</v>
      </c>
      <c r="T38" s="150">
        <v>5.4</v>
      </c>
      <c r="U38" s="150">
        <v>5.4</v>
      </c>
      <c r="V38" s="150">
        <v>5.4</v>
      </c>
      <c r="W38" s="150">
        <v>5.4</v>
      </c>
      <c r="X38" s="150">
        <v>5.4</v>
      </c>
      <c r="Y38" s="150">
        <v>5.4</v>
      </c>
      <c r="Z38" s="150">
        <v>5.4</v>
      </c>
      <c r="AA38" s="150">
        <v>5.4</v>
      </c>
      <c r="AB38" s="150">
        <v>5.4</v>
      </c>
      <c r="AC38" s="150">
        <v>5.4</v>
      </c>
      <c r="AD38" s="150">
        <v>5.4</v>
      </c>
      <c r="AE38" s="150">
        <v>5.4</v>
      </c>
      <c r="AF38" s="150">
        <v>5.4</v>
      </c>
      <c r="AG38" s="150">
        <v>5.4</v>
      </c>
      <c r="AH38" s="150">
        <v>5.4</v>
      </c>
    </row>
    <row r="39" spans="1:34" ht="11.25" x14ac:dyDescent="0.2">
      <c r="E39" s="115" t="s">
        <v>199</v>
      </c>
      <c r="F39" s="151"/>
      <c r="G39" s="151"/>
      <c r="H39" s="151"/>
      <c r="I39" s="151"/>
      <c r="J39" s="151"/>
      <c r="K39" s="151"/>
      <c r="L39" s="151"/>
      <c r="M39" s="476">
        <f>M14/$P$28*100</f>
        <v>1.259615806451613</v>
      </c>
      <c r="N39" s="476">
        <f>N14/$P$28*100</f>
        <v>0.24338193548387099</v>
      </c>
      <c r="O39" s="476">
        <f>O14/$P$28*100</f>
        <v>0.10822967741935484</v>
      </c>
      <c r="P39" s="476">
        <f t="shared" si="24"/>
        <v>0.8215629032258065</v>
      </c>
      <c r="Q39" s="476">
        <f t="shared" si="24"/>
        <v>2.4359633904761901</v>
      </c>
      <c r="R39" s="476">
        <f t="shared" si="24"/>
        <v>2.7617765031250001</v>
      </c>
      <c r="S39" s="476">
        <f>S14/S$28*100</f>
        <v>3.7641629968750001</v>
      </c>
      <c r="T39" s="151">
        <v>1.1000000000000001</v>
      </c>
      <c r="U39" s="151">
        <v>1.1000000000000001</v>
      </c>
      <c r="V39" s="151">
        <v>1.1000000000000001</v>
      </c>
      <c r="W39" s="151">
        <v>1.1000000000000001</v>
      </c>
      <c r="X39" s="151">
        <v>1.1000000000000001</v>
      </c>
      <c r="Y39" s="151">
        <v>1.1000000000000001</v>
      </c>
      <c r="Z39" s="151">
        <v>1.1000000000000001</v>
      </c>
      <c r="AA39" s="151">
        <v>1.1000000000000001</v>
      </c>
      <c r="AB39" s="151">
        <v>1.1000000000000001</v>
      </c>
      <c r="AC39" s="151">
        <v>1.1000000000000001</v>
      </c>
      <c r="AD39" s="151">
        <v>1.1000000000000001</v>
      </c>
      <c r="AE39" s="151">
        <v>1.1000000000000001</v>
      </c>
      <c r="AF39" s="151">
        <v>1.1000000000000001</v>
      </c>
      <c r="AG39" s="151">
        <v>1.1000000000000001</v>
      </c>
      <c r="AH39" s="151">
        <v>1.1000000000000001</v>
      </c>
    </row>
    <row r="40" spans="1:34" ht="11.25" x14ac:dyDescent="0.2">
      <c r="E40" s="115" t="s">
        <v>200</v>
      </c>
      <c r="F40" s="151"/>
      <c r="G40" s="151"/>
      <c r="H40" s="151"/>
      <c r="I40" s="151"/>
      <c r="J40" s="151"/>
      <c r="K40" s="151"/>
      <c r="L40" s="151"/>
      <c r="M40" s="151">
        <v>0.11473799700751097</v>
      </c>
      <c r="N40" s="151">
        <v>0.11473799700751097</v>
      </c>
      <c r="O40" s="476">
        <f>O15/$P$28*100</f>
        <v>1.2276403225806451</v>
      </c>
      <c r="P40" s="476">
        <f t="shared" si="24"/>
        <v>1.4615496774193548</v>
      </c>
      <c r="Q40" s="476">
        <f t="shared" si="24"/>
        <v>0.46046804126984126</v>
      </c>
      <c r="R40" s="476">
        <f t="shared" si="24"/>
        <v>0.70422426874999999</v>
      </c>
      <c r="S40" s="476">
        <f>S15/S$28*100</f>
        <v>0.67821560937499992</v>
      </c>
      <c r="T40" s="151">
        <v>0.2</v>
      </c>
      <c r="U40" s="151">
        <v>0.2</v>
      </c>
      <c r="V40" s="151">
        <v>0.2</v>
      </c>
      <c r="W40" s="151">
        <v>0.2</v>
      </c>
      <c r="X40" s="151">
        <v>0.2</v>
      </c>
      <c r="Y40" s="151">
        <v>0.2</v>
      </c>
      <c r="Z40" s="151">
        <v>0.2</v>
      </c>
      <c r="AA40" s="151">
        <v>0.2</v>
      </c>
      <c r="AB40" s="151">
        <v>0.2</v>
      </c>
      <c r="AC40" s="151">
        <v>0.2</v>
      </c>
      <c r="AD40" s="151">
        <v>0.2</v>
      </c>
      <c r="AE40" s="151">
        <v>0.2</v>
      </c>
      <c r="AF40" s="151">
        <v>0.2</v>
      </c>
      <c r="AG40" s="151">
        <v>0.2</v>
      </c>
      <c r="AH40" s="151">
        <v>0.2</v>
      </c>
    </row>
    <row r="41" spans="1:34" ht="11.25" x14ac:dyDescent="0.2">
      <c r="E41" s="115" t="s">
        <v>314</v>
      </c>
      <c r="F41" s="151"/>
      <c r="G41" s="151"/>
      <c r="H41" s="151"/>
      <c r="I41" s="153"/>
      <c r="J41" s="153"/>
      <c r="K41" s="153"/>
      <c r="L41" s="153"/>
      <c r="M41" s="153">
        <v>0</v>
      </c>
      <c r="N41" s="153">
        <v>1</v>
      </c>
      <c r="O41" s="155">
        <v>4</v>
      </c>
      <c r="P41" s="155">
        <v>7.7</v>
      </c>
      <c r="Q41" s="155">
        <v>10.7</v>
      </c>
      <c r="R41" s="155">
        <v>12.7</v>
      </c>
      <c r="S41" s="155">
        <v>14.7</v>
      </c>
      <c r="T41" s="155">
        <v>16.7</v>
      </c>
      <c r="U41" s="155">
        <v>19</v>
      </c>
      <c r="V41" s="155">
        <v>19</v>
      </c>
      <c r="W41" s="155">
        <v>19</v>
      </c>
      <c r="X41" s="155">
        <v>19</v>
      </c>
      <c r="Y41" s="155">
        <v>19</v>
      </c>
      <c r="Z41" s="155">
        <v>19</v>
      </c>
      <c r="AA41" s="155">
        <v>19</v>
      </c>
      <c r="AB41" s="155">
        <v>19</v>
      </c>
      <c r="AC41" s="155">
        <v>19</v>
      </c>
      <c r="AD41" s="155">
        <v>19</v>
      </c>
      <c r="AE41" s="155">
        <v>19</v>
      </c>
      <c r="AF41" s="155">
        <v>19</v>
      </c>
      <c r="AG41" s="155">
        <v>19</v>
      </c>
      <c r="AH41" s="155">
        <v>19</v>
      </c>
    </row>
    <row r="42" spans="1:34" ht="11.25" x14ac:dyDescent="0.2">
      <c r="E42" s="115" t="s">
        <v>315</v>
      </c>
      <c r="F42" s="151"/>
      <c r="G42" s="151"/>
      <c r="H42" s="151"/>
      <c r="I42" s="153"/>
      <c r="J42" s="153"/>
      <c r="K42" s="153"/>
      <c r="L42" s="153"/>
      <c r="M42" s="153">
        <v>0</v>
      </c>
      <c r="N42" s="153">
        <v>1</v>
      </c>
      <c r="O42" s="155">
        <v>4</v>
      </c>
      <c r="P42" s="155">
        <v>7.7</v>
      </c>
      <c r="Q42" s="155">
        <v>10.7</v>
      </c>
      <c r="R42" s="155">
        <v>12.7</v>
      </c>
      <c r="S42" s="155">
        <v>14.7</v>
      </c>
      <c r="T42" s="155">
        <v>15.7</v>
      </c>
      <c r="U42" s="155">
        <v>16.7</v>
      </c>
      <c r="V42" s="155">
        <v>16.7</v>
      </c>
      <c r="W42" s="155">
        <v>16.7</v>
      </c>
      <c r="X42" s="155">
        <v>16.7</v>
      </c>
      <c r="Y42" s="155">
        <v>16.7</v>
      </c>
      <c r="Z42" s="155">
        <v>16.7</v>
      </c>
      <c r="AA42" s="155">
        <v>16.7</v>
      </c>
      <c r="AB42" s="155">
        <v>16.7</v>
      </c>
      <c r="AC42" s="155">
        <v>16.7</v>
      </c>
      <c r="AD42" s="155">
        <v>16.7</v>
      </c>
      <c r="AE42" s="155">
        <v>16.7</v>
      </c>
      <c r="AF42" s="155">
        <v>16.7</v>
      </c>
      <c r="AG42" s="155">
        <v>16.7</v>
      </c>
      <c r="AH42" s="155">
        <v>16.7</v>
      </c>
    </row>
    <row r="43" spans="1:34" ht="11.25" x14ac:dyDescent="0.2">
      <c r="E43" s="115" t="s">
        <v>316</v>
      </c>
      <c r="F43" s="151"/>
      <c r="G43" s="151"/>
      <c r="H43" s="151"/>
      <c r="I43" s="151"/>
      <c r="J43" s="151"/>
      <c r="K43" s="151"/>
      <c r="L43" s="151"/>
      <c r="M43" s="151"/>
      <c r="N43" s="151"/>
      <c r="O43" s="155">
        <v>4</v>
      </c>
      <c r="P43" s="155">
        <v>7.7</v>
      </c>
      <c r="Q43" s="155">
        <v>10.7</v>
      </c>
      <c r="R43" s="155">
        <v>12.7</v>
      </c>
      <c r="S43" s="155">
        <v>14.7</v>
      </c>
      <c r="T43" s="155">
        <v>14.7</v>
      </c>
      <c r="U43" s="155">
        <v>14.7</v>
      </c>
      <c r="V43" s="155">
        <v>14.7</v>
      </c>
      <c r="W43" s="155">
        <v>14.7</v>
      </c>
      <c r="X43" s="155">
        <v>14.7</v>
      </c>
      <c r="Y43" s="155">
        <v>14.7</v>
      </c>
      <c r="Z43" s="155">
        <v>14.7</v>
      </c>
      <c r="AA43" s="155">
        <v>14.7</v>
      </c>
      <c r="AB43" s="155">
        <v>14.7</v>
      </c>
      <c r="AC43" s="155">
        <v>14.7</v>
      </c>
      <c r="AD43" s="155">
        <v>14.7</v>
      </c>
      <c r="AE43" s="155">
        <v>14.7</v>
      </c>
      <c r="AF43" s="155">
        <v>14.7</v>
      </c>
      <c r="AG43" s="155">
        <v>14.7</v>
      </c>
      <c r="AH43" s="155">
        <v>14.7</v>
      </c>
    </row>
    <row r="44" spans="1:34" s="114" customFormat="1" ht="11.25" x14ac:dyDescent="0.2">
      <c r="A44" s="56"/>
      <c r="B44" s="56"/>
      <c r="C44" s="56"/>
      <c r="D44" s="58"/>
      <c r="E44" s="239"/>
      <c r="F44" s="239"/>
      <c r="G44" s="239"/>
      <c r="H44" s="240">
        <v>0.16</v>
      </c>
      <c r="I44" s="239"/>
      <c r="J44" s="239"/>
      <c r="K44" s="239"/>
      <c r="L44" s="239"/>
      <c r="M44" s="239"/>
      <c r="N44" s="239"/>
      <c r="O44" s="239"/>
      <c r="P44" s="239"/>
      <c r="Q44" s="241" t="s">
        <v>249</v>
      </c>
      <c r="R44" s="798"/>
      <c r="S44" s="238">
        <f t="shared" ref="S44:X44" si="25">S28*($O$55*S42)/100</f>
        <v>33868.800000000003</v>
      </c>
      <c r="T44" s="238">
        <f t="shared" ca="1" si="25"/>
        <v>37257.983999999997</v>
      </c>
      <c r="U44" s="238">
        <f t="shared" ca="1" si="25"/>
        <v>40820.037120000001</v>
      </c>
      <c r="V44" s="238">
        <f t="shared" ca="1" si="25"/>
        <v>42044.638233599995</v>
      </c>
      <c r="W44" s="238">
        <f t="shared" ca="1" si="25"/>
        <v>43305.977380608005</v>
      </c>
      <c r="X44" s="238">
        <f t="shared" ca="1" si="25"/>
        <v>44605.156702026237</v>
      </c>
      <c r="Y44" s="238">
        <f t="shared" ref="Y44:AH44" ca="1" si="26">Y28*($O$55*Y42)/100</f>
        <v>45943.31140308702</v>
      </c>
      <c r="Z44" s="238">
        <f t="shared" ca="1" si="26"/>
        <v>47321.610745179634</v>
      </c>
      <c r="AA44" s="238">
        <f t="shared" ca="1" si="26"/>
        <v>48741.259067535029</v>
      </c>
      <c r="AB44" s="238">
        <f t="shared" ca="1" si="26"/>
        <v>50203.49683956107</v>
      </c>
      <c r="AC44" s="238">
        <f t="shared" ca="1" si="26"/>
        <v>51709.60174474791</v>
      </c>
      <c r="AD44" s="238">
        <f t="shared" ca="1" si="26"/>
        <v>53260.889797090349</v>
      </c>
      <c r="AE44" s="238">
        <f t="shared" ca="1" si="26"/>
        <v>54858.716491003055</v>
      </c>
      <c r="AF44" s="238">
        <f t="shared" ca="1" si="26"/>
        <v>56504.477985733152</v>
      </c>
      <c r="AG44" s="238">
        <f t="shared" ca="1" si="26"/>
        <v>58199.612325305148</v>
      </c>
      <c r="AH44" s="238">
        <f t="shared" ca="1" si="26"/>
        <v>59945.600695064313</v>
      </c>
    </row>
    <row r="45" spans="1:34" s="114" customFormat="1" ht="11.25" x14ac:dyDescent="0.2">
      <c r="A45" s="56"/>
      <c r="B45" s="56"/>
      <c r="C45" s="56"/>
      <c r="D45" s="58"/>
      <c r="E45" s="239"/>
      <c r="F45" s="239"/>
      <c r="G45" s="239"/>
      <c r="H45" s="240">
        <v>0.14000000000000001</v>
      </c>
      <c r="I45" s="239"/>
      <c r="J45" s="239"/>
      <c r="K45" s="239"/>
      <c r="L45" s="239"/>
      <c r="M45" s="239"/>
      <c r="N45" s="239"/>
      <c r="O45" s="239"/>
      <c r="P45" s="239"/>
      <c r="Q45" s="241" t="s">
        <v>249</v>
      </c>
      <c r="R45" s="799">
        <f>R28*(0.71*R43)/100</f>
        <v>28854.400000000001</v>
      </c>
      <c r="S45" s="238">
        <f t="shared" ref="S45:X45" si="27">S28*($O$55*S43)/100</f>
        <v>33868.800000000003</v>
      </c>
      <c r="T45" s="238">
        <f t="shared" ca="1" si="27"/>
        <v>34884.864000000001</v>
      </c>
      <c r="U45" s="238">
        <f t="shared" ca="1" si="27"/>
        <v>35931.409919999998</v>
      </c>
      <c r="V45" s="238">
        <f t="shared" ca="1" si="27"/>
        <v>37009.352217600004</v>
      </c>
      <c r="W45" s="238">
        <f t="shared" ca="1" si="27"/>
        <v>38119.632784128</v>
      </c>
      <c r="X45" s="238">
        <f t="shared" ca="1" si="27"/>
        <v>39263.221767651841</v>
      </c>
      <c r="Y45" s="238">
        <f t="shared" ref="Y45:AH45" ca="1" si="28">Y28*($O$55*Y43)/100</f>
        <v>40441.118420681392</v>
      </c>
      <c r="Z45" s="238">
        <f t="shared" ca="1" si="28"/>
        <v>41654.35197330184</v>
      </c>
      <c r="AA45" s="238">
        <f t="shared" ca="1" si="28"/>
        <v>42903.982532500893</v>
      </c>
      <c r="AB45" s="238">
        <f t="shared" ca="1" si="28"/>
        <v>44191.102008475922</v>
      </c>
      <c r="AC45" s="238">
        <f t="shared" ca="1" si="28"/>
        <v>45516.835068730194</v>
      </c>
      <c r="AD45" s="238">
        <f t="shared" ca="1" si="28"/>
        <v>46882.340120792098</v>
      </c>
      <c r="AE45" s="238">
        <f t="shared" ca="1" si="28"/>
        <v>48288.810324415863</v>
      </c>
      <c r="AF45" s="238">
        <f t="shared" ca="1" si="28"/>
        <v>49737.474634148348</v>
      </c>
      <c r="AG45" s="238">
        <f t="shared" ca="1" si="28"/>
        <v>51229.598873172799</v>
      </c>
      <c r="AH45" s="238">
        <f t="shared" ca="1" si="28"/>
        <v>52766.486839367986</v>
      </c>
    </row>
    <row r="46" spans="1:34" s="114" customFormat="1" ht="11.25" x14ac:dyDescent="0.2">
      <c r="A46" s="56"/>
      <c r="B46" s="56"/>
      <c r="C46" s="56"/>
      <c r="D46" s="58"/>
      <c r="E46" s="239"/>
      <c r="F46" s="239"/>
      <c r="G46" s="239"/>
      <c r="H46" s="240">
        <v>0.16</v>
      </c>
      <c r="I46" s="239"/>
      <c r="J46" s="239"/>
      <c r="K46" s="239"/>
      <c r="L46" s="239"/>
      <c r="M46" s="239"/>
      <c r="N46" s="239"/>
      <c r="O46" s="239"/>
      <c r="P46" s="239"/>
      <c r="Q46" s="241" t="s">
        <v>249</v>
      </c>
      <c r="R46" s="238">
        <f t="shared" ref="R46:X46" si="29">SUM(R13:R15)+R44+SUM(R19:R23)</f>
        <v>284104.05049000005</v>
      </c>
      <c r="S46" s="238">
        <f t="shared" si="29"/>
        <v>330091.57757999998</v>
      </c>
      <c r="T46" s="238">
        <f t="shared" ca="1" si="29"/>
        <v>288814.57947730005</v>
      </c>
      <c r="U46" s="238">
        <f t="shared" ca="1" si="29"/>
        <v>304899.80415340507</v>
      </c>
      <c r="V46" s="238">
        <f t="shared" ca="1" si="29"/>
        <v>319442.81360194163</v>
      </c>
      <c r="W46" s="238">
        <f t="shared" ca="1" si="29"/>
        <v>334871.86337275873</v>
      </c>
      <c r="X46" s="238">
        <f t="shared" ca="1" si="29"/>
        <v>351245.86864774564</v>
      </c>
      <c r="Y46" s="238">
        <f t="shared" ref="Y46:AH46" ca="1" si="30">SUM(Y13:Y15)+Y44+SUM(Y19:Y23)</f>
        <v>368627.78658059624</v>
      </c>
      <c r="Z46" s="238">
        <f t="shared" ca="1" si="30"/>
        <v>387084.89693596144</v>
      </c>
      <c r="AA46" s="238">
        <f t="shared" ca="1" si="30"/>
        <v>406689.10230706539</v>
      </c>
      <c r="AB46" s="238">
        <f t="shared" ca="1" si="30"/>
        <v>427517.24928033561</v>
      </c>
      <c r="AC46" s="238">
        <f t="shared" ca="1" si="30"/>
        <v>449651.47201134078</v>
      </c>
      <c r="AD46" s="238">
        <f t="shared" ca="1" si="30"/>
        <v>473179.5597787716</v>
      </c>
      <c r="AE46" s="238">
        <f t="shared" ca="1" si="30"/>
        <v>498195.35019280773</v>
      </c>
      <c r="AF46" s="238">
        <f t="shared" ca="1" si="30"/>
        <v>524799.14985150169</v>
      </c>
      <c r="AG46" s="238">
        <f t="shared" ca="1" si="30"/>
        <v>553098.18436429184</v>
      </c>
      <c r="AH46" s="238">
        <f t="shared" ca="1" si="30"/>
        <v>583207.07979603624</v>
      </c>
    </row>
    <row r="47" spans="1:34" ht="11.25" x14ac:dyDescent="0.2">
      <c r="E47" s="13" t="s">
        <v>202</v>
      </c>
      <c r="F47" s="102"/>
      <c r="G47" s="102"/>
      <c r="H47" s="242">
        <v>14</v>
      </c>
      <c r="I47" s="239"/>
      <c r="J47" s="239"/>
      <c r="K47" s="239"/>
      <c r="L47" s="239"/>
      <c r="M47" s="239"/>
      <c r="N47" s="239"/>
      <c r="O47" s="239"/>
      <c r="P47" s="239"/>
      <c r="Q47" s="241" t="s">
        <v>249</v>
      </c>
      <c r="R47" s="238">
        <f t="shared" ref="R47:X47" si="31">SUM(R13:R15)+R45+SUM(R19:R23)</f>
        <v>312958.45049000002</v>
      </c>
      <c r="S47" s="238">
        <f t="shared" si="31"/>
        <v>330091.57757999998</v>
      </c>
      <c r="T47" s="238">
        <f t="shared" ca="1" si="31"/>
        <v>286441.45947730006</v>
      </c>
      <c r="U47" s="238">
        <f t="shared" ca="1" si="31"/>
        <v>300011.17695340503</v>
      </c>
      <c r="V47" s="238">
        <f t="shared" ca="1" si="31"/>
        <v>314407.52758594166</v>
      </c>
      <c r="W47" s="238">
        <f t="shared" ca="1" si="31"/>
        <v>329685.51877627871</v>
      </c>
      <c r="X47" s="238">
        <f t="shared" ca="1" si="31"/>
        <v>345903.93371337123</v>
      </c>
      <c r="Y47" s="238">
        <f t="shared" ref="Y47:AH47" ca="1" si="32">SUM(Y13:Y15)+Y45+SUM(Y19:Y23)</f>
        <v>363125.59359819058</v>
      </c>
      <c r="Z47" s="238">
        <f t="shared" ca="1" si="32"/>
        <v>381417.63816408365</v>
      </c>
      <c r="AA47" s="238">
        <f t="shared" ca="1" si="32"/>
        <v>400851.82577203127</v>
      </c>
      <c r="AB47" s="238">
        <f t="shared" ca="1" si="32"/>
        <v>421504.85444925044</v>
      </c>
      <c r="AC47" s="238">
        <f t="shared" ca="1" si="32"/>
        <v>443458.70533532312</v>
      </c>
      <c r="AD47" s="238">
        <f t="shared" ca="1" si="32"/>
        <v>466801.01010247332</v>
      </c>
      <c r="AE47" s="238">
        <f t="shared" ca="1" si="32"/>
        <v>491625.44402622059</v>
      </c>
      <c r="AF47" s="238">
        <f t="shared" ca="1" si="32"/>
        <v>518032.14649991691</v>
      </c>
      <c r="AG47" s="238">
        <f t="shared" ca="1" si="32"/>
        <v>546128.17091215949</v>
      </c>
      <c r="AH47" s="238">
        <f t="shared" ca="1" si="32"/>
        <v>576027.96594033996</v>
      </c>
    </row>
    <row r="48" spans="1:34" ht="11.25" x14ac:dyDescent="0.2">
      <c r="E48" s="149" t="s">
        <v>203</v>
      </c>
      <c r="F48" s="150"/>
      <c r="G48" s="150"/>
      <c r="H48" s="150"/>
      <c r="I48" s="150"/>
      <c r="J48" s="150"/>
      <c r="K48" s="150"/>
      <c r="L48" s="150"/>
      <c r="M48" s="150">
        <v>0</v>
      </c>
      <c r="N48" s="154">
        <v>5</v>
      </c>
      <c r="O48" s="154">
        <v>7</v>
      </c>
      <c r="P48" s="154">
        <v>7</v>
      </c>
      <c r="Q48" s="474">
        <f t="shared" ref="Q48:S50" si="33">(Q19-P19)/P19</f>
        <v>5.8030001050568047E-2</v>
      </c>
      <c r="R48" s="474">
        <f t="shared" si="33"/>
        <v>7.6369870259547515E-2</v>
      </c>
      <c r="S48" s="474">
        <f t="shared" si="33"/>
        <v>6.5631341793534109E-2</v>
      </c>
      <c r="T48" s="150">
        <v>7</v>
      </c>
      <c r="U48" s="150">
        <f>T48</f>
        <v>7</v>
      </c>
      <c r="V48" s="150">
        <f>U48</f>
        <v>7</v>
      </c>
      <c r="W48" s="150">
        <f>V48</f>
        <v>7</v>
      </c>
      <c r="X48" s="150">
        <f>U48</f>
        <v>7</v>
      </c>
      <c r="Y48" s="150">
        <f t="shared" ref="Y48:AH48" si="34">V48</f>
        <v>7</v>
      </c>
      <c r="Z48" s="150">
        <f t="shared" si="34"/>
        <v>7</v>
      </c>
      <c r="AA48" s="150">
        <f t="shared" si="34"/>
        <v>7</v>
      </c>
      <c r="AB48" s="150">
        <f t="shared" si="34"/>
        <v>7</v>
      </c>
      <c r="AC48" s="150">
        <f t="shared" si="34"/>
        <v>7</v>
      </c>
      <c r="AD48" s="150">
        <f t="shared" si="34"/>
        <v>7</v>
      </c>
      <c r="AE48" s="150">
        <f t="shared" si="34"/>
        <v>7</v>
      </c>
      <c r="AF48" s="150">
        <f t="shared" si="34"/>
        <v>7</v>
      </c>
      <c r="AG48" s="150">
        <f t="shared" si="34"/>
        <v>7</v>
      </c>
      <c r="AH48" s="150">
        <f t="shared" si="34"/>
        <v>7</v>
      </c>
    </row>
    <row r="49" spans="1:34" ht="11.25" x14ac:dyDescent="0.2">
      <c r="E49" s="115" t="s">
        <v>204</v>
      </c>
      <c r="F49" s="151"/>
      <c r="G49" s="151"/>
      <c r="H49" s="151"/>
      <c r="I49" s="151"/>
      <c r="J49" s="151"/>
      <c r="K49" s="151"/>
      <c r="L49" s="151"/>
      <c r="M49" s="151">
        <v>0</v>
      </c>
      <c r="N49" s="151">
        <v>0</v>
      </c>
      <c r="O49" s="151">
        <v>0</v>
      </c>
      <c r="P49" s="473">
        <f>(P20-O20)/O20</f>
        <v>-7.5731922398588761E-3</v>
      </c>
      <c r="Q49" s="473">
        <f t="shared" si="33"/>
        <v>2.6589373491663477E-2</v>
      </c>
      <c r="R49" s="473">
        <f t="shared" si="33"/>
        <v>2.8251660123115634E-2</v>
      </c>
      <c r="S49" s="473">
        <f t="shared" si="33"/>
        <v>1.4760632906976903E-2</v>
      </c>
      <c r="T49" s="151">
        <v>2</v>
      </c>
      <c r="U49" s="151">
        <v>2</v>
      </c>
      <c r="V49" s="151">
        <v>2</v>
      </c>
      <c r="W49" s="151">
        <v>2</v>
      </c>
      <c r="X49" s="151">
        <v>2</v>
      </c>
      <c r="Y49" s="151">
        <v>2</v>
      </c>
      <c r="Z49" s="151">
        <v>2</v>
      </c>
      <c r="AA49" s="151">
        <v>2</v>
      </c>
      <c r="AB49" s="151">
        <v>2</v>
      </c>
      <c r="AC49" s="151">
        <v>2</v>
      </c>
      <c r="AD49" s="151">
        <v>2</v>
      </c>
      <c r="AE49" s="151">
        <v>2</v>
      </c>
      <c r="AF49" s="151">
        <v>2</v>
      </c>
      <c r="AG49" s="151">
        <v>2</v>
      </c>
      <c r="AH49" s="151">
        <v>2</v>
      </c>
    </row>
    <row r="50" spans="1:34" ht="11.25" x14ac:dyDescent="0.2">
      <c r="E50" s="115" t="s">
        <v>205</v>
      </c>
      <c r="F50" s="151"/>
      <c r="G50" s="151"/>
      <c r="H50" s="151"/>
      <c r="I50" s="151"/>
      <c r="J50" s="151"/>
      <c r="K50" s="151"/>
      <c r="L50" s="151"/>
      <c r="M50" s="151">
        <v>0</v>
      </c>
      <c r="N50" s="151">
        <v>0</v>
      </c>
      <c r="O50" s="151">
        <v>0</v>
      </c>
      <c r="P50" s="473">
        <f>(P21-O21)/O21</f>
        <v>1.1972517529845786E-2</v>
      </c>
      <c r="Q50" s="473">
        <f t="shared" si="33"/>
        <v>2.8027951581140801E-2</v>
      </c>
      <c r="R50" s="473">
        <f t="shared" si="33"/>
        <v>3.1780934440582609E-2</v>
      </c>
      <c r="S50" s="473">
        <f t="shared" si="33"/>
        <v>2.1799417741667115E-2</v>
      </c>
      <c r="T50" s="151">
        <v>2</v>
      </c>
      <c r="U50" s="151">
        <v>2</v>
      </c>
      <c r="V50" s="151">
        <v>2</v>
      </c>
      <c r="W50" s="151">
        <v>2</v>
      </c>
      <c r="X50" s="151">
        <v>2</v>
      </c>
      <c r="Y50" s="151">
        <v>2</v>
      </c>
      <c r="Z50" s="151">
        <v>2</v>
      </c>
      <c r="AA50" s="151">
        <v>2</v>
      </c>
      <c r="AB50" s="151">
        <v>2</v>
      </c>
      <c r="AC50" s="151">
        <v>2</v>
      </c>
      <c r="AD50" s="151">
        <v>2</v>
      </c>
      <c r="AE50" s="151">
        <v>2</v>
      </c>
      <c r="AF50" s="151">
        <v>2</v>
      </c>
      <c r="AG50" s="151">
        <v>2</v>
      </c>
      <c r="AH50" s="151">
        <v>2</v>
      </c>
    </row>
    <row r="51" spans="1:34" ht="11.25" x14ac:dyDescent="0.2">
      <c r="E51" s="115" t="s">
        <v>206</v>
      </c>
      <c r="F51" s="151"/>
      <c r="G51" s="151"/>
      <c r="H51" s="151"/>
      <c r="I51" s="151"/>
      <c r="J51" s="151"/>
      <c r="K51" s="151"/>
      <c r="L51" s="151"/>
      <c r="M51" s="151"/>
      <c r="N51" s="151">
        <v>5</v>
      </c>
      <c r="O51" s="151">
        <v>5</v>
      </c>
      <c r="P51" s="473">
        <f t="shared" ref="P51:S53" si="35">(P22-O22)/O22</f>
        <v>0.10589761650757382</v>
      </c>
      <c r="Q51" s="473">
        <f t="shared" si="35"/>
        <v>-0.2223067778557021</v>
      </c>
      <c r="R51" s="473">
        <f t="shared" si="35"/>
        <v>0.33645823998395469</v>
      </c>
      <c r="S51" s="473">
        <f t="shared" si="35"/>
        <v>-0.13732231913337006</v>
      </c>
      <c r="T51" s="151">
        <v>2</v>
      </c>
      <c r="U51" s="151">
        <v>2</v>
      </c>
      <c r="V51" s="151">
        <v>2</v>
      </c>
      <c r="W51" s="151">
        <v>2</v>
      </c>
      <c r="X51" s="151">
        <v>2</v>
      </c>
      <c r="Y51" s="151">
        <v>2</v>
      </c>
      <c r="Z51" s="151">
        <v>2</v>
      </c>
      <c r="AA51" s="151">
        <v>2</v>
      </c>
      <c r="AB51" s="151">
        <v>2</v>
      </c>
      <c r="AC51" s="151">
        <v>2</v>
      </c>
      <c r="AD51" s="151">
        <v>2</v>
      </c>
      <c r="AE51" s="151">
        <v>2</v>
      </c>
      <c r="AF51" s="151">
        <v>2</v>
      </c>
      <c r="AG51" s="151">
        <v>2</v>
      </c>
      <c r="AH51" s="151">
        <v>2</v>
      </c>
    </row>
    <row r="52" spans="1:34" ht="11.25" x14ac:dyDescent="0.2">
      <c r="E52" s="115" t="s">
        <v>207</v>
      </c>
      <c r="F52" s="151"/>
      <c r="G52" s="151"/>
      <c r="H52" s="151"/>
      <c r="I52" s="151"/>
      <c r="J52" s="151"/>
      <c r="K52" s="151"/>
      <c r="L52" s="151"/>
      <c r="M52" s="151"/>
      <c r="N52" s="155">
        <v>5</v>
      </c>
      <c r="O52" s="157">
        <f t="shared" ref="O52:AH52" si="36">gr_Tuition</f>
        <v>0.14230000000000001</v>
      </c>
      <c r="P52" s="473">
        <f t="shared" si="35"/>
        <v>9.876233885923956E-2</v>
      </c>
      <c r="Q52" s="473">
        <f t="shared" si="35"/>
        <v>4.3525031051161811E-3</v>
      </c>
      <c r="R52" s="473">
        <f t="shared" si="35"/>
        <v>2.5772234005346836E-3</v>
      </c>
      <c r="S52" s="473">
        <f t="shared" si="35"/>
        <v>8.8316444749459537E-3</v>
      </c>
      <c r="T52" s="157">
        <f t="shared" si="36"/>
        <v>0.01</v>
      </c>
      <c r="U52" s="157">
        <f t="shared" si="36"/>
        <v>0.01</v>
      </c>
      <c r="V52" s="157">
        <f t="shared" si="36"/>
        <v>0.01</v>
      </c>
      <c r="W52" s="157">
        <f t="shared" si="36"/>
        <v>0.01</v>
      </c>
      <c r="X52" s="157">
        <f t="shared" si="36"/>
        <v>0.01</v>
      </c>
      <c r="Y52" s="157">
        <f t="shared" si="36"/>
        <v>0.01</v>
      </c>
      <c r="Z52" s="157">
        <f t="shared" si="36"/>
        <v>0.01</v>
      </c>
      <c r="AA52" s="157">
        <f t="shared" si="36"/>
        <v>0.01</v>
      </c>
      <c r="AB52" s="157">
        <f t="shared" si="36"/>
        <v>0.01</v>
      </c>
      <c r="AC52" s="157">
        <f t="shared" si="36"/>
        <v>0.01</v>
      </c>
      <c r="AD52" s="157">
        <f t="shared" si="36"/>
        <v>0.01</v>
      </c>
      <c r="AE52" s="157">
        <f t="shared" si="36"/>
        <v>0.01</v>
      </c>
      <c r="AF52" s="157">
        <f t="shared" si="36"/>
        <v>0.01</v>
      </c>
      <c r="AG52" s="157">
        <f t="shared" si="36"/>
        <v>0.01</v>
      </c>
      <c r="AH52" s="157">
        <f t="shared" si="36"/>
        <v>0.01</v>
      </c>
    </row>
    <row r="53" spans="1:34" ht="11.25" x14ac:dyDescent="0.2">
      <c r="E53" s="152" t="s">
        <v>301</v>
      </c>
      <c r="F53" s="153"/>
      <c r="G53" s="153"/>
      <c r="H53" s="153"/>
      <c r="I53" s="153"/>
      <c r="J53" s="153"/>
      <c r="K53" s="153"/>
      <c r="L53" s="153"/>
      <c r="M53" s="153">
        <v>0</v>
      </c>
      <c r="N53" s="153">
        <v>0</v>
      </c>
      <c r="O53" s="153">
        <v>0</v>
      </c>
      <c r="P53" s="477">
        <f t="shared" si="35"/>
        <v>4.8073687134128109</v>
      </c>
      <c r="Q53" s="477">
        <f t="shared" si="35"/>
        <v>-0.64959603737330296</v>
      </c>
      <c r="R53" s="477">
        <f t="shared" si="35"/>
        <v>4.5300856827584424</v>
      </c>
      <c r="S53" s="477">
        <f t="shared" si="35"/>
        <v>0.59201051805635163</v>
      </c>
      <c r="T53" s="153">
        <v>20</v>
      </c>
      <c r="U53" s="153">
        <v>10</v>
      </c>
      <c r="V53" s="153">
        <v>10</v>
      </c>
      <c r="W53" s="153">
        <v>10</v>
      </c>
      <c r="X53" s="153">
        <v>10</v>
      </c>
      <c r="Y53" s="153">
        <v>11</v>
      </c>
      <c r="Z53" s="153">
        <v>12</v>
      </c>
      <c r="AA53" s="153">
        <v>13</v>
      </c>
      <c r="AB53" s="153">
        <v>14</v>
      </c>
      <c r="AC53" s="153">
        <v>15</v>
      </c>
      <c r="AD53" s="153">
        <v>16</v>
      </c>
      <c r="AE53" s="153">
        <v>17</v>
      </c>
      <c r="AF53" s="153">
        <v>18</v>
      </c>
      <c r="AG53" s="153">
        <v>19</v>
      </c>
      <c r="AH53" s="153">
        <v>20</v>
      </c>
    </row>
    <row r="54" spans="1:34" ht="11.25" x14ac:dyDescent="0.2">
      <c r="Y54" s="16"/>
      <c r="Z54" s="16"/>
    </row>
    <row r="55" spans="1:34" ht="11.25" x14ac:dyDescent="0.2">
      <c r="E55" s="115" t="s">
        <v>241</v>
      </c>
      <c r="O55" s="218">
        <v>0.72</v>
      </c>
      <c r="Q55" s="16"/>
      <c r="R55" s="16"/>
      <c r="S55" s="16"/>
      <c r="T55" s="16"/>
      <c r="U55" s="16"/>
      <c r="V55" s="16"/>
      <c r="W55" s="16"/>
      <c r="X55" s="16"/>
      <c r="Y55" s="163"/>
      <c r="Z55" s="163"/>
      <c r="AA55" s="163"/>
    </row>
    <row r="56" spans="1:34" s="114" customFormat="1" ht="11.25" x14ac:dyDescent="0.2">
      <c r="A56" s="56"/>
      <c r="B56" s="56"/>
      <c r="C56" s="56"/>
      <c r="D56" s="58"/>
      <c r="Q56" s="241" t="s">
        <v>249</v>
      </c>
      <c r="R56" s="238">
        <f>R32-R46</f>
        <v>-164104.05049000005</v>
      </c>
      <c r="S56" s="238">
        <f t="shared" ref="S56:X56" si="37">S32-S46</f>
        <v>97584.422419999901</v>
      </c>
      <c r="T56" s="238">
        <f t="shared" ca="1" si="37"/>
        <v>10062.571439999912</v>
      </c>
      <c r="U56" s="238">
        <f t="shared" ca="1" si="37"/>
        <v>11068.828583999886</v>
      </c>
      <c r="V56" s="238">
        <f t="shared" ca="1" si="37"/>
        <v>12175.711442399945</v>
      </c>
      <c r="W56" s="238">
        <f t="shared" ca="1" si="37"/>
        <v>13393.282586639863</v>
      </c>
      <c r="X56" s="238">
        <f t="shared" ca="1" si="37"/>
        <v>14732.610845303803</v>
      </c>
      <c r="Y56" s="163"/>
      <c r="Z56" s="163"/>
      <c r="AA56" s="5"/>
      <c r="AB56" s="5"/>
      <c r="AC56" s="5"/>
      <c r="AD56" s="5"/>
    </row>
    <row r="57" spans="1:34" s="114" customFormat="1" ht="11.25" x14ac:dyDescent="0.2">
      <c r="A57" s="56"/>
      <c r="B57" s="56"/>
      <c r="C57" s="56"/>
      <c r="D57" s="58"/>
      <c r="Q57" s="241" t="s">
        <v>249</v>
      </c>
      <c r="R57" s="238">
        <f>R33-R47</f>
        <v>-192958.45049000002</v>
      </c>
      <c r="S57" s="238">
        <f t="shared" ref="S57:X57" si="38">S33-S47</f>
        <v>97584.422419999901</v>
      </c>
      <c r="T57" s="238">
        <f t="shared" ca="1" si="38"/>
        <v>10062.571439999912</v>
      </c>
      <c r="U57" s="238">
        <f t="shared" ca="1" si="38"/>
        <v>11068.828583999944</v>
      </c>
      <c r="V57" s="238">
        <f t="shared" ca="1" si="38"/>
        <v>12175.711442399886</v>
      </c>
      <c r="W57" s="238">
        <f t="shared" ca="1" si="38"/>
        <v>13393.282586639863</v>
      </c>
      <c r="X57" s="238">
        <f t="shared" ca="1" si="38"/>
        <v>14732.610845303861</v>
      </c>
      <c r="Y57" s="5"/>
      <c r="Z57" s="5"/>
      <c r="AA57" s="5"/>
      <c r="AB57" s="5"/>
      <c r="AC57" s="5"/>
      <c r="AD57" s="5"/>
    </row>
    <row r="59" spans="1:34" ht="12.75" customHeight="1" x14ac:dyDescent="0.2">
      <c r="T59" s="797">
        <f ca="1">T33-S33</f>
        <v>-131171.96908269991</v>
      </c>
      <c r="U59" s="797">
        <f ca="1">U33-T33</f>
        <v>14575.974620105</v>
      </c>
      <c r="V59" s="797">
        <f ca="1">V33-U33</f>
        <v>15503.233490936575</v>
      </c>
      <c r="W59" s="797">
        <f ca="1">W33-V33</f>
        <v>16495.562334577029</v>
      </c>
      <c r="X59" s="797">
        <f ca="1">X33-W33</f>
        <v>17557.743195756513</v>
      </c>
      <c r="AE59" s="5"/>
    </row>
    <row r="61" spans="1:34" ht="12.75" customHeight="1" x14ac:dyDescent="0.2">
      <c r="E61" s="5" t="s">
        <v>301</v>
      </c>
      <c r="F61" s="802">
        <v>53706</v>
      </c>
    </row>
    <row r="62" spans="1:34" ht="12.75" customHeight="1" x14ac:dyDescent="0.2">
      <c r="F62" s="802">
        <v>56725</v>
      </c>
    </row>
    <row r="63" spans="1:34" ht="12.75" customHeight="1" x14ac:dyDescent="0.2">
      <c r="F63" s="802">
        <v>53702</v>
      </c>
    </row>
    <row r="64" spans="1:34" ht="12.75" customHeight="1" x14ac:dyDescent="0.2">
      <c r="F64" s="802">
        <v>53010</v>
      </c>
    </row>
    <row r="65" spans="6:6" ht="12.75" customHeight="1" x14ac:dyDescent="0.2">
      <c r="F65" s="802">
        <v>53020</v>
      </c>
    </row>
    <row r="66" spans="6:6" ht="12.75" customHeight="1" x14ac:dyDescent="0.2">
      <c r="F66" s="802">
        <v>53060</v>
      </c>
    </row>
    <row r="67" spans="6:6" ht="12.75" customHeight="1" x14ac:dyDescent="0.2">
      <c r="F67" s="802">
        <v>53070</v>
      </c>
    </row>
    <row r="68" spans="6:6" ht="12.75" customHeight="1" x14ac:dyDescent="0.2">
      <c r="F68" s="802">
        <v>53080</v>
      </c>
    </row>
    <row r="69" spans="6:6" ht="12.75" customHeight="1" x14ac:dyDescent="0.2">
      <c r="F69" s="802">
        <v>53090</v>
      </c>
    </row>
    <row r="70" spans="6:6" ht="12.75" customHeight="1" x14ac:dyDescent="0.2">
      <c r="F70" s="802">
        <v>53950</v>
      </c>
    </row>
    <row r="71" spans="6:6" ht="12.75" customHeight="1" x14ac:dyDescent="0.2">
      <c r="F71" s="803">
        <v>53070</v>
      </c>
    </row>
    <row r="72" spans="6:6" ht="12.75" customHeight="1" x14ac:dyDescent="0.2">
      <c r="F72" s="802">
        <v>53900</v>
      </c>
    </row>
    <row r="73" spans="6:6" ht="12.75" customHeight="1" x14ac:dyDescent="0.2">
      <c r="F73" s="802">
        <v>53703</v>
      </c>
    </row>
    <row r="74" spans="6:6" ht="12.75" customHeight="1" x14ac:dyDescent="0.2">
      <c r="F74" s="804">
        <v>53960</v>
      </c>
    </row>
    <row r="75" spans="6:6" ht="12.75" customHeight="1" x14ac:dyDescent="0.2">
      <c r="F75" s="804">
        <v>53940</v>
      </c>
    </row>
    <row r="76" spans="6:6" ht="12.75" customHeight="1" x14ac:dyDescent="0.2">
      <c r="F76" s="805">
        <v>53940</v>
      </c>
    </row>
    <row r="77" spans="6:6" ht="12.75" customHeight="1" x14ac:dyDescent="0.2">
      <c r="F77" s="802">
        <v>53910</v>
      </c>
    </row>
    <row r="78" spans="6:6" ht="12.75" customHeight="1" x14ac:dyDescent="0.2">
      <c r="F78" s="802">
        <v>53998</v>
      </c>
    </row>
    <row r="79" spans="6:6" ht="12.75" customHeight="1" x14ac:dyDescent="0.2">
      <c r="F79" s="802">
        <v>53922</v>
      </c>
    </row>
    <row r="80" spans="6:6" ht="12.75" customHeight="1" x14ac:dyDescent="0.2">
      <c r="F80" s="802">
        <v>53921</v>
      </c>
    </row>
    <row r="81" spans="6:6" ht="12.75" customHeight="1" x14ac:dyDescent="0.2">
      <c r="F81" s="802">
        <v>53941</v>
      </c>
    </row>
    <row r="82" spans="6:6" ht="12.75" customHeight="1" x14ac:dyDescent="0.2">
      <c r="F82" s="802">
        <v>53705</v>
      </c>
    </row>
    <row r="83" spans="6:6" ht="12.75" customHeight="1" x14ac:dyDescent="0.2">
      <c r="F83" s="802">
        <v>53934</v>
      </c>
    </row>
  </sheetData>
  <pageMargins left="0.75" right="0.75" top="1" bottom="1" header="0.5" footer="0.5"/>
  <pageSetup paperSize="256" scale="8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H24"/>
  <sheetViews>
    <sheetView showGridLines="0" topLeftCell="E1" workbookViewId="0">
      <selection activeCell="L26" sqref="L26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3" hidden="1" customWidth="1" outlineLevel="1"/>
    <col min="5" max="5" width="8.7109375" style="5" customWidth="1" collapsed="1"/>
    <col min="6" max="9" width="8.7109375" style="5" customWidth="1"/>
    <col min="10" max="13" width="12.7109375" style="5" customWidth="1"/>
    <col min="14" max="14" width="14" style="5" customWidth="1"/>
    <col min="15" max="23" width="12.7109375" style="5" customWidth="1"/>
    <col min="24" max="34" width="9.42578125" style="5" bestFit="1" customWidth="1"/>
    <col min="35" max="16384" width="18.7109375" style="5"/>
  </cols>
  <sheetData>
    <row r="1" spans="1:34" s="1" customFormat="1" ht="11.25" outlineLevel="1" x14ac:dyDescent="0.2"/>
    <row r="2" spans="1:34" s="2" customFormat="1" ht="11.25" outlineLevel="1" x14ac:dyDescent="0.2">
      <c r="A2" s="1"/>
      <c r="B2" s="1"/>
      <c r="C2" s="1"/>
    </row>
    <row r="3" spans="1:34" ht="11.25" x14ac:dyDescent="0.2"/>
    <row r="4" spans="1:34" ht="18" x14ac:dyDescent="0.25">
      <c r="E4" s="4" t="s">
        <v>47</v>
      </c>
      <c r="N4" s="33"/>
    </row>
    <row r="5" spans="1:34" ht="11.25" x14ac:dyDescent="0.2">
      <c r="E5" s="6" t="s">
        <v>0</v>
      </c>
      <c r="J5" s="34"/>
    </row>
    <row r="6" spans="1:34" ht="3" customHeight="1" x14ac:dyDescent="0.2">
      <c r="E6" s="6"/>
    </row>
    <row r="7" spans="1:34" ht="11.25" x14ac:dyDescent="0.2">
      <c r="J7" s="8" t="s">
        <v>1</v>
      </c>
      <c r="K7" s="8"/>
      <c r="L7" s="8"/>
      <c r="M7" s="8" t="s">
        <v>2</v>
      </c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34" ht="11.25" x14ac:dyDescent="0.2">
      <c r="J8" s="60">
        <f t="shared" ref="J8:AH8" si="0">J9-CurrentFiscalYear</f>
        <v>-10</v>
      </c>
      <c r="K8" s="60">
        <f t="shared" si="0"/>
        <v>-9</v>
      </c>
      <c r="L8" s="60">
        <f t="shared" si="0"/>
        <v>-8</v>
      </c>
      <c r="M8" s="60">
        <f t="shared" si="0"/>
        <v>-7</v>
      </c>
      <c r="N8" s="60">
        <f t="shared" si="0"/>
        <v>-6</v>
      </c>
      <c r="O8" s="60">
        <f t="shared" si="0"/>
        <v>-5</v>
      </c>
      <c r="P8" s="60">
        <f t="shared" si="0"/>
        <v>-4</v>
      </c>
      <c r="Q8" s="60">
        <f t="shared" si="0"/>
        <v>-3</v>
      </c>
      <c r="R8" s="60">
        <f t="shared" si="0"/>
        <v>-2</v>
      </c>
      <c r="S8" s="60">
        <f t="shared" si="0"/>
        <v>-1</v>
      </c>
      <c r="T8" s="60">
        <f t="shared" si="0"/>
        <v>0</v>
      </c>
      <c r="U8" s="60">
        <f t="shared" si="0"/>
        <v>1</v>
      </c>
      <c r="V8" s="60">
        <f t="shared" si="0"/>
        <v>2</v>
      </c>
      <c r="W8" s="60">
        <f t="shared" si="0"/>
        <v>3</v>
      </c>
      <c r="X8" s="60">
        <f t="shared" si="0"/>
        <v>4</v>
      </c>
      <c r="Y8" s="60">
        <f t="shared" si="0"/>
        <v>5</v>
      </c>
      <c r="Z8" s="60">
        <f t="shared" si="0"/>
        <v>6</v>
      </c>
      <c r="AA8" s="60">
        <f t="shared" si="0"/>
        <v>7</v>
      </c>
      <c r="AB8" s="60">
        <f t="shared" si="0"/>
        <v>8</v>
      </c>
      <c r="AC8" s="60">
        <f t="shared" si="0"/>
        <v>9</v>
      </c>
      <c r="AD8" s="60">
        <f t="shared" si="0"/>
        <v>10</v>
      </c>
      <c r="AE8" s="60">
        <f t="shared" si="0"/>
        <v>11</v>
      </c>
      <c r="AF8" s="60">
        <f t="shared" si="0"/>
        <v>12</v>
      </c>
      <c r="AG8" s="60">
        <f t="shared" si="0"/>
        <v>13</v>
      </c>
      <c r="AH8" s="60">
        <f t="shared" si="0"/>
        <v>14</v>
      </c>
    </row>
    <row r="9" spans="1:34" ht="11.25" x14ac:dyDescent="0.2">
      <c r="J9" s="10">
        <v>2006</v>
      </c>
      <c r="K9" s="10">
        <f t="shared" ref="K9:V9" si="1">J9+1</f>
        <v>2007</v>
      </c>
      <c r="L9" s="10">
        <f t="shared" si="1"/>
        <v>2008</v>
      </c>
      <c r="M9" s="10">
        <f t="shared" si="1"/>
        <v>2009</v>
      </c>
      <c r="N9" s="10">
        <f t="shared" si="1"/>
        <v>2010</v>
      </c>
      <c r="O9" s="11">
        <f t="shared" si="1"/>
        <v>2011</v>
      </c>
      <c r="P9" s="139">
        <f>O9+1</f>
        <v>2012</v>
      </c>
      <c r="Q9" s="139">
        <f t="shared" si="1"/>
        <v>2013</v>
      </c>
      <c r="R9" s="139">
        <f t="shared" si="1"/>
        <v>2014</v>
      </c>
      <c r="S9" s="139">
        <f t="shared" si="1"/>
        <v>2015</v>
      </c>
      <c r="T9" s="139">
        <f t="shared" si="1"/>
        <v>2016</v>
      </c>
      <c r="U9" s="139">
        <f>T9+1</f>
        <v>2017</v>
      </c>
      <c r="V9" s="139">
        <f t="shared" si="1"/>
        <v>2018</v>
      </c>
      <c r="W9" s="139">
        <f>V9+1</f>
        <v>2019</v>
      </c>
      <c r="X9" s="139">
        <f>W9+1</f>
        <v>2020</v>
      </c>
      <c r="Y9" s="139">
        <f t="shared" ref="Y9:AH9" si="2">X9+1</f>
        <v>2021</v>
      </c>
      <c r="Z9" s="139">
        <f t="shared" si="2"/>
        <v>2022</v>
      </c>
      <c r="AA9" s="139">
        <f t="shared" si="2"/>
        <v>2023</v>
      </c>
      <c r="AB9" s="139">
        <f t="shared" si="2"/>
        <v>2024</v>
      </c>
      <c r="AC9" s="139">
        <f t="shared" si="2"/>
        <v>2025</v>
      </c>
      <c r="AD9" s="139">
        <f t="shared" si="2"/>
        <v>2026</v>
      </c>
      <c r="AE9" s="139">
        <f t="shared" si="2"/>
        <v>2027</v>
      </c>
      <c r="AF9" s="139">
        <f t="shared" si="2"/>
        <v>2028</v>
      </c>
      <c r="AG9" s="139">
        <f t="shared" si="2"/>
        <v>2029</v>
      </c>
      <c r="AH9" s="139">
        <f t="shared" si="2"/>
        <v>2030</v>
      </c>
    </row>
    <row r="10" spans="1:34" ht="3" customHeight="1" x14ac:dyDescent="0.2">
      <c r="I10" s="12"/>
      <c r="M10" s="12"/>
    </row>
    <row r="11" spans="1:34" ht="11.25" customHeight="1" x14ac:dyDescent="0.2">
      <c r="I11" s="12"/>
      <c r="M11" s="12"/>
    </row>
    <row r="12" spans="1:34" ht="3" customHeight="1" x14ac:dyDescent="0.2">
      <c r="E12" s="23"/>
      <c r="I12" s="45"/>
    </row>
    <row r="13" spans="1:34" ht="11.25" x14ac:dyDescent="0.2">
      <c r="E13" s="5" t="s">
        <v>51</v>
      </c>
      <c r="I13" s="45"/>
      <c r="J13" s="835">
        <v>60000</v>
      </c>
      <c r="K13" s="19">
        <f>J13+1000</f>
        <v>61000</v>
      </c>
      <c r="L13" s="19">
        <f t="shared" ref="L13:AH13" si="3">K13+1000</f>
        <v>62000</v>
      </c>
      <c r="M13" s="19">
        <f t="shared" si="3"/>
        <v>63000</v>
      </c>
      <c r="N13" s="19">
        <f t="shared" si="3"/>
        <v>64000</v>
      </c>
      <c r="O13" s="19">
        <f t="shared" si="3"/>
        <v>65000</v>
      </c>
      <c r="P13" s="19">
        <f t="shared" si="3"/>
        <v>66000</v>
      </c>
      <c r="Q13" s="837">
        <f t="shared" si="3"/>
        <v>67000</v>
      </c>
      <c r="R13" s="837">
        <f t="shared" si="3"/>
        <v>68000</v>
      </c>
      <c r="S13" s="837">
        <f t="shared" si="3"/>
        <v>69000</v>
      </c>
      <c r="T13" s="837">
        <f t="shared" si="3"/>
        <v>70000</v>
      </c>
      <c r="U13" s="837">
        <f t="shared" si="3"/>
        <v>71000</v>
      </c>
      <c r="V13" s="837">
        <f t="shared" si="3"/>
        <v>72000</v>
      </c>
      <c r="W13" s="837">
        <f t="shared" si="3"/>
        <v>73000</v>
      </c>
      <c r="X13" s="837">
        <f t="shared" si="3"/>
        <v>74000</v>
      </c>
      <c r="Y13" s="837">
        <f t="shared" si="3"/>
        <v>75000</v>
      </c>
      <c r="Z13" s="837">
        <f t="shared" si="3"/>
        <v>76000</v>
      </c>
      <c r="AA13" s="837">
        <f t="shared" si="3"/>
        <v>77000</v>
      </c>
      <c r="AB13" s="837">
        <f t="shared" si="3"/>
        <v>78000</v>
      </c>
      <c r="AC13" s="837">
        <f t="shared" si="3"/>
        <v>79000</v>
      </c>
      <c r="AD13" s="837">
        <f t="shared" si="3"/>
        <v>80000</v>
      </c>
      <c r="AE13" s="837">
        <f t="shared" si="3"/>
        <v>81000</v>
      </c>
      <c r="AF13" s="837">
        <f t="shared" si="3"/>
        <v>82000</v>
      </c>
      <c r="AG13" s="837">
        <f t="shared" si="3"/>
        <v>83000</v>
      </c>
      <c r="AH13" s="837">
        <f t="shared" si="3"/>
        <v>84000</v>
      </c>
    </row>
    <row r="14" spans="1:34" ht="11.25" x14ac:dyDescent="0.2">
      <c r="E14" s="5" t="s">
        <v>145</v>
      </c>
      <c r="I14" s="45"/>
      <c r="J14" s="836">
        <v>10000</v>
      </c>
      <c r="K14" s="16">
        <f>J14+100</f>
        <v>10100</v>
      </c>
      <c r="L14" s="16">
        <f t="shared" ref="L14:AH14" si="4">K14+100</f>
        <v>10200</v>
      </c>
      <c r="M14" s="16">
        <f t="shared" si="4"/>
        <v>10300</v>
      </c>
      <c r="N14" s="16">
        <f t="shared" si="4"/>
        <v>10400</v>
      </c>
      <c r="O14" s="16">
        <f t="shared" si="4"/>
        <v>10500</v>
      </c>
      <c r="P14" s="16">
        <f t="shared" si="4"/>
        <v>10600</v>
      </c>
      <c r="Q14" s="16">
        <f t="shared" si="4"/>
        <v>10700</v>
      </c>
      <c r="R14" s="838">
        <f t="shared" si="4"/>
        <v>10800</v>
      </c>
      <c r="S14" s="838">
        <f t="shared" si="4"/>
        <v>10900</v>
      </c>
      <c r="T14" s="838">
        <f t="shared" si="4"/>
        <v>11000</v>
      </c>
      <c r="U14" s="838">
        <f t="shared" si="4"/>
        <v>11100</v>
      </c>
      <c r="V14" s="838">
        <f t="shared" si="4"/>
        <v>11200</v>
      </c>
      <c r="W14" s="838">
        <f t="shared" si="4"/>
        <v>11300</v>
      </c>
      <c r="X14" s="838">
        <f t="shared" si="4"/>
        <v>11400</v>
      </c>
      <c r="Y14" s="5">
        <f t="shared" si="4"/>
        <v>11500</v>
      </c>
      <c r="Z14" s="5">
        <f t="shared" si="4"/>
        <v>11600</v>
      </c>
      <c r="AA14" s="5">
        <f t="shared" si="4"/>
        <v>11700</v>
      </c>
      <c r="AB14" s="5">
        <f t="shared" si="4"/>
        <v>11800</v>
      </c>
      <c r="AC14" s="5">
        <f t="shared" si="4"/>
        <v>11900</v>
      </c>
      <c r="AD14" s="5">
        <f t="shared" si="4"/>
        <v>12000</v>
      </c>
      <c r="AE14" s="5">
        <f t="shared" si="4"/>
        <v>12100</v>
      </c>
      <c r="AF14" s="5">
        <f t="shared" si="4"/>
        <v>12200</v>
      </c>
      <c r="AG14" s="5">
        <f t="shared" si="4"/>
        <v>12300</v>
      </c>
      <c r="AH14" s="5">
        <f t="shared" si="4"/>
        <v>12400</v>
      </c>
    </row>
    <row r="15" spans="1:34" ht="3" customHeight="1" x14ac:dyDescent="0.2">
      <c r="E15" s="15"/>
      <c r="I15" s="45"/>
      <c r="J15" s="835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</row>
    <row r="16" spans="1:34" ht="11.25" x14ac:dyDescent="0.2">
      <c r="E16" s="15" t="s">
        <v>67</v>
      </c>
      <c r="I16" s="45"/>
      <c r="J16" s="835">
        <f t="shared" ref="J16:O16" si="5">J13+J14</f>
        <v>70000</v>
      </c>
      <c r="K16" s="19">
        <f t="shared" si="5"/>
        <v>71100</v>
      </c>
      <c r="L16" s="19">
        <f t="shared" si="5"/>
        <v>72200</v>
      </c>
      <c r="M16" s="19">
        <f t="shared" si="5"/>
        <v>73300</v>
      </c>
      <c r="N16" s="19">
        <f t="shared" si="5"/>
        <v>74400</v>
      </c>
      <c r="O16" s="19">
        <f t="shared" si="5"/>
        <v>75500</v>
      </c>
      <c r="P16" s="19">
        <f t="shared" ref="P16:X16" si="6">P13+P14</f>
        <v>76600</v>
      </c>
      <c r="Q16" s="19">
        <v>112659</v>
      </c>
      <c r="R16" s="19">
        <f t="shared" si="6"/>
        <v>78800</v>
      </c>
      <c r="S16" s="19">
        <f t="shared" si="6"/>
        <v>79900</v>
      </c>
      <c r="T16" s="19">
        <f t="shared" si="6"/>
        <v>81000</v>
      </c>
      <c r="U16" s="19">
        <f t="shared" si="6"/>
        <v>82100</v>
      </c>
      <c r="V16" s="19">
        <f t="shared" si="6"/>
        <v>83200</v>
      </c>
      <c r="W16" s="19">
        <f t="shared" si="6"/>
        <v>84300</v>
      </c>
      <c r="X16" s="19">
        <f t="shared" si="6"/>
        <v>85400</v>
      </c>
      <c r="Y16" s="19">
        <f t="shared" ref="Y16:AH16" si="7">Y13+Y14</f>
        <v>86500</v>
      </c>
      <c r="Z16" s="19">
        <f t="shared" si="7"/>
        <v>87600</v>
      </c>
      <c r="AA16" s="19">
        <f t="shared" si="7"/>
        <v>88700</v>
      </c>
      <c r="AB16" s="19">
        <f t="shared" si="7"/>
        <v>89800</v>
      </c>
      <c r="AC16" s="19">
        <f t="shared" si="7"/>
        <v>90900</v>
      </c>
      <c r="AD16" s="19">
        <f t="shared" si="7"/>
        <v>92000</v>
      </c>
      <c r="AE16" s="19">
        <f t="shared" si="7"/>
        <v>93100</v>
      </c>
      <c r="AF16" s="19">
        <f t="shared" si="7"/>
        <v>94200</v>
      </c>
      <c r="AG16" s="19">
        <f t="shared" si="7"/>
        <v>95300</v>
      </c>
      <c r="AH16" s="19">
        <f t="shared" si="7"/>
        <v>96400</v>
      </c>
    </row>
    <row r="17" spans="5:34" ht="11.25" x14ac:dyDescent="0.2">
      <c r="E17" s="15"/>
      <c r="I17" s="45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5:34" ht="11.25" x14ac:dyDescent="0.2">
      <c r="E18" s="5" t="s">
        <v>185</v>
      </c>
      <c r="J18" s="835">
        <v>70000</v>
      </c>
      <c r="K18" s="16">
        <f>J18+2000</f>
        <v>72000</v>
      </c>
      <c r="L18" s="16">
        <f t="shared" ref="L18:AH18" si="8">K18+2000</f>
        <v>74000</v>
      </c>
      <c r="M18" s="16">
        <f t="shared" si="8"/>
        <v>76000</v>
      </c>
      <c r="N18" s="16">
        <f t="shared" si="8"/>
        <v>78000</v>
      </c>
      <c r="O18" s="16">
        <f t="shared" si="8"/>
        <v>80000</v>
      </c>
      <c r="P18" s="16">
        <f t="shared" si="8"/>
        <v>82000</v>
      </c>
      <c r="Q18" s="16">
        <f t="shared" si="8"/>
        <v>84000</v>
      </c>
      <c r="R18" s="16">
        <f t="shared" si="8"/>
        <v>86000</v>
      </c>
      <c r="S18" s="16">
        <f t="shared" si="8"/>
        <v>88000</v>
      </c>
      <c r="T18" s="16">
        <f t="shared" si="8"/>
        <v>90000</v>
      </c>
      <c r="U18" s="16">
        <f t="shared" si="8"/>
        <v>92000</v>
      </c>
      <c r="V18" s="16">
        <f t="shared" si="8"/>
        <v>94000</v>
      </c>
      <c r="W18" s="16">
        <f t="shared" si="8"/>
        <v>96000</v>
      </c>
      <c r="X18" s="16">
        <f t="shared" si="8"/>
        <v>98000</v>
      </c>
      <c r="Y18" s="16">
        <f t="shared" si="8"/>
        <v>100000</v>
      </c>
      <c r="Z18" s="16">
        <f t="shared" si="8"/>
        <v>102000</v>
      </c>
      <c r="AA18" s="16">
        <f t="shared" si="8"/>
        <v>104000</v>
      </c>
      <c r="AB18" s="16">
        <f t="shared" si="8"/>
        <v>106000</v>
      </c>
      <c r="AC18" s="16">
        <f t="shared" si="8"/>
        <v>108000</v>
      </c>
      <c r="AD18" s="16">
        <f t="shared" si="8"/>
        <v>110000</v>
      </c>
      <c r="AE18" s="16">
        <f t="shared" si="8"/>
        <v>112000</v>
      </c>
      <c r="AF18" s="16">
        <f t="shared" si="8"/>
        <v>114000</v>
      </c>
      <c r="AG18" s="16">
        <f t="shared" si="8"/>
        <v>116000</v>
      </c>
      <c r="AH18" s="16">
        <f t="shared" si="8"/>
        <v>118000</v>
      </c>
    </row>
    <row r="19" spans="5:34" ht="11.25" x14ac:dyDescent="0.2"/>
    <row r="20" spans="5:34" ht="11.25" x14ac:dyDescent="0.2">
      <c r="E20" s="5" t="s">
        <v>146</v>
      </c>
      <c r="O20" s="249"/>
      <c r="P20" s="249"/>
      <c r="Q20" s="249"/>
      <c r="R20" s="249"/>
      <c r="S20" s="249"/>
    </row>
    <row r="21" spans="5:34" ht="11.25" x14ac:dyDescent="0.2">
      <c r="O21" s="249"/>
      <c r="P21" s="249"/>
      <c r="Q21" s="249"/>
      <c r="R21" s="249"/>
      <c r="S21" s="249"/>
    </row>
    <row r="22" spans="5:34" ht="11.25" x14ac:dyDescent="0.2">
      <c r="O22" s="250"/>
      <c r="P22" s="249"/>
      <c r="Q22" s="249"/>
      <c r="X22" s="16"/>
    </row>
    <row r="23" spans="5:34" ht="11.25" x14ac:dyDescent="0.2"/>
    <row r="24" spans="5:34" ht="11.25" x14ac:dyDescent="0.2">
      <c r="P24" s="469"/>
      <c r="Q24" s="469"/>
    </row>
  </sheetData>
  <phoneticPr fontId="22" type="noConversion"/>
  <pageMargins left="0.75" right="0.75" top="1" bottom="1" header="0.5" footer="0.5"/>
  <pageSetup paperSize="17" scale="8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51"/>
  <sheetViews>
    <sheetView showGridLines="0" topLeftCell="L15" zoomScaleSheetLayoutView="33" workbookViewId="0">
      <selection activeCell="R35" sqref="R35"/>
    </sheetView>
  </sheetViews>
  <sheetFormatPr defaultColWidth="18.7109375" defaultRowHeight="12.75" customHeight="1" outlineLevelRow="1" outlineLevelCol="1" x14ac:dyDescent="0.2"/>
  <cols>
    <col min="1" max="1" width="2.7109375" style="1" hidden="1" customWidth="1" outlineLevel="1"/>
    <col min="2" max="2" width="14.7109375" style="1" hidden="1" customWidth="1" outlineLevel="1"/>
    <col min="3" max="3" width="2.7109375" style="1" hidden="1" customWidth="1" outlineLevel="1"/>
    <col min="4" max="4" width="1.7109375" style="58" hidden="1" customWidth="1" outlineLevel="1"/>
    <col min="5" max="5" width="8.7109375" style="5" customWidth="1" collapsed="1"/>
    <col min="6" max="6" width="8.7109375" style="5" customWidth="1"/>
    <col min="7" max="8" width="2.42578125" style="5" customWidth="1"/>
    <col min="9" max="9" width="7.42578125" style="5" customWidth="1"/>
    <col min="10" max="13" width="12.7109375" style="5" customWidth="1"/>
    <col min="14" max="14" width="13.140625" style="5" customWidth="1"/>
    <col min="15" max="17" width="12.7109375" style="5" customWidth="1"/>
    <col min="18" max="24" width="12.7109375" style="5" customWidth="1" outlineLevel="1"/>
    <col min="25" max="34" width="10.7109375" style="5" bestFit="1" customWidth="1"/>
    <col min="35" max="43" width="9.140625" style="5" customWidth="1"/>
    <col min="44" max="16384" width="18.7109375" style="5"/>
  </cols>
  <sheetData>
    <row r="1" spans="1:43" s="1" customFormat="1" ht="11.25" hidden="1" outlineLevel="1" x14ac:dyDescent="0.2">
      <c r="D1" s="56"/>
    </row>
    <row r="2" spans="1:43" s="2" customFormat="1" ht="11.25" hidden="1" outlineLevel="1" x14ac:dyDescent="0.2">
      <c r="A2" s="1"/>
      <c r="B2" s="1"/>
      <c r="C2" s="1"/>
      <c r="D2" s="57"/>
      <c r="V2" s="226"/>
      <c r="W2" s="226"/>
    </row>
    <row r="3" spans="1:43" s="114" customFormat="1" ht="11.25" collapsed="1" x14ac:dyDescent="0.2">
      <c r="A3" s="56"/>
      <c r="B3" s="56"/>
      <c r="C3" s="56"/>
      <c r="D3" s="112">
        <v>1</v>
      </c>
      <c r="E3" s="113">
        <f>D3+1</f>
        <v>2</v>
      </c>
      <c r="F3" s="113">
        <f t="shared" ref="F3:AQ3" si="0">E3+1</f>
        <v>3</v>
      </c>
      <c r="G3" s="113">
        <f t="shared" si="0"/>
        <v>4</v>
      </c>
      <c r="H3" s="113">
        <f t="shared" si="0"/>
        <v>5</v>
      </c>
      <c r="I3" s="113">
        <f t="shared" si="0"/>
        <v>6</v>
      </c>
      <c r="J3" s="113">
        <f t="shared" si="0"/>
        <v>7</v>
      </c>
      <c r="K3" s="113">
        <f t="shared" si="0"/>
        <v>8</v>
      </c>
      <c r="L3" s="113">
        <f t="shared" si="0"/>
        <v>9</v>
      </c>
      <c r="M3" s="113">
        <f t="shared" si="0"/>
        <v>10</v>
      </c>
      <c r="N3" s="113">
        <f t="shared" si="0"/>
        <v>11</v>
      </c>
      <c r="O3" s="113">
        <f t="shared" si="0"/>
        <v>12</v>
      </c>
      <c r="P3" s="113">
        <f t="shared" ref="P3:AH3" si="1">O3+1</f>
        <v>13</v>
      </c>
      <c r="Q3" s="113">
        <f t="shared" si="1"/>
        <v>14</v>
      </c>
      <c r="R3" s="113">
        <f t="shared" si="1"/>
        <v>15</v>
      </c>
      <c r="S3" s="113">
        <f t="shared" si="1"/>
        <v>16</v>
      </c>
      <c r="T3" s="113">
        <f t="shared" si="1"/>
        <v>17</v>
      </c>
      <c r="U3" s="113">
        <f t="shared" si="1"/>
        <v>18</v>
      </c>
      <c r="V3" s="113">
        <f t="shared" si="1"/>
        <v>19</v>
      </c>
      <c r="W3" s="113">
        <f t="shared" si="1"/>
        <v>20</v>
      </c>
      <c r="X3" s="113">
        <f t="shared" si="1"/>
        <v>21</v>
      </c>
      <c r="Y3" s="113">
        <f t="shared" si="1"/>
        <v>22</v>
      </c>
      <c r="Z3" s="113">
        <f t="shared" si="1"/>
        <v>23</v>
      </c>
      <c r="AA3" s="113">
        <f t="shared" si="1"/>
        <v>24</v>
      </c>
      <c r="AB3" s="113">
        <f t="shared" si="1"/>
        <v>25</v>
      </c>
      <c r="AC3" s="113">
        <f t="shared" si="1"/>
        <v>26</v>
      </c>
      <c r="AD3" s="113">
        <f t="shared" si="1"/>
        <v>27</v>
      </c>
      <c r="AE3" s="113">
        <f t="shared" si="1"/>
        <v>28</v>
      </c>
      <c r="AF3" s="113">
        <f t="shared" si="1"/>
        <v>29</v>
      </c>
      <c r="AG3" s="113">
        <f t="shared" si="1"/>
        <v>30</v>
      </c>
      <c r="AH3" s="113">
        <f t="shared" si="1"/>
        <v>31</v>
      </c>
      <c r="AI3" s="113">
        <f t="shared" si="0"/>
        <v>32</v>
      </c>
      <c r="AJ3" s="113">
        <f t="shared" si="0"/>
        <v>33</v>
      </c>
      <c r="AK3" s="113">
        <f t="shared" si="0"/>
        <v>34</v>
      </c>
      <c r="AL3" s="113">
        <f t="shared" si="0"/>
        <v>35</v>
      </c>
      <c r="AM3" s="113">
        <f t="shared" si="0"/>
        <v>36</v>
      </c>
      <c r="AN3" s="113">
        <f t="shared" si="0"/>
        <v>37</v>
      </c>
      <c r="AO3" s="113">
        <f t="shared" si="0"/>
        <v>38</v>
      </c>
      <c r="AP3" s="113">
        <f t="shared" si="0"/>
        <v>39</v>
      </c>
      <c r="AQ3" s="113">
        <f t="shared" si="0"/>
        <v>40</v>
      </c>
    </row>
    <row r="4" spans="1:43" ht="18" x14ac:dyDescent="0.25">
      <c r="E4" s="50" t="s">
        <v>55</v>
      </c>
      <c r="I4" s="42"/>
    </row>
    <row r="5" spans="1:43" ht="11.25" x14ac:dyDescent="0.2">
      <c r="E5" s="6" t="s">
        <v>0</v>
      </c>
    </row>
    <row r="6" spans="1:43" ht="3" customHeight="1" x14ac:dyDescent="0.2">
      <c r="E6" s="6"/>
    </row>
    <row r="7" spans="1:43" ht="11.25" x14ac:dyDescent="0.2">
      <c r="I7" s="26" t="s">
        <v>6</v>
      </c>
      <c r="J7" s="8" t="s">
        <v>1</v>
      </c>
      <c r="K7" s="8"/>
      <c r="L7" s="8"/>
      <c r="M7" s="8" t="s">
        <v>2</v>
      </c>
      <c r="N7" s="9"/>
      <c r="O7" s="9"/>
      <c r="P7" s="9"/>
      <c r="Q7" s="9"/>
      <c r="R7" s="9"/>
      <c r="S7" s="9"/>
      <c r="T7" s="9"/>
      <c r="U7" s="9"/>
      <c r="V7" s="227"/>
      <c r="W7" s="227"/>
      <c r="X7" s="9"/>
    </row>
    <row r="8" spans="1:43" ht="11.25" x14ac:dyDescent="0.2">
      <c r="I8" s="26"/>
      <c r="J8" s="60">
        <f t="shared" ref="J8:AH8" si="2">J9-CurrentFiscalYear</f>
        <v>-10</v>
      </c>
      <c r="K8" s="60">
        <f t="shared" si="2"/>
        <v>-9</v>
      </c>
      <c r="L8" s="60">
        <f t="shared" si="2"/>
        <v>-8</v>
      </c>
      <c r="M8" s="60">
        <f t="shared" si="2"/>
        <v>-7</v>
      </c>
      <c r="N8" s="60">
        <f t="shared" si="2"/>
        <v>-6</v>
      </c>
      <c r="O8" s="60">
        <f t="shared" si="2"/>
        <v>-5</v>
      </c>
      <c r="P8" s="60">
        <f t="shared" si="2"/>
        <v>-4</v>
      </c>
      <c r="Q8" s="60">
        <f t="shared" si="2"/>
        <v>-3</v>
      </c>
      <c r="R8" s="60">
        <f t="shared" si="2"/>
        <v>-2</v>
      </c>
      <c r="S8" s="60">
        <f t="shared" si="2"/>
        <v>-1</v>
      </c>
      <c r="T8" s="60">
        <f t="shared" si="2"/>
        <v>0</v>
      </c>
      <c r="U8" s="60">
        <f t="shared" si="2"/>
        <v>1</v>
      </c>
      <c r="V8" s="60">
        <f t="shared" si="2"/>
        <v>2</v>
      </c>
      <c r="W8" s="60">
        <f t="shared" si="2"/>
        <v>3</v>
      </c>
      <c r="X8" s="60">
        <f t="shared" si="2"/>
        <v>4</v>
      </c>
      <c r="Y8" s="60">
        <f t="shared" si="2"/>
        <v>5</v>
      </c>
      <c r="Z8" s="60">
        <f t="shared" si="2"/>
        <v>6</v>
      </c>
      <c r="AA8" s="60">
        <f t="shared" si="2"/>
        <v>7</v>
      </c>
      <c r="AB8" s="60">
        <f t="shared" si="2"/>
        <v>8</v>
      </c>
      <c r="AC8" s="60">
        <f t="shared" si="2"/>
        <v>9</v>
      </c>
      <c r="AD8" s="60">
        <f t="shared" si="2"/>
        <v>10</v>
      </c>
      <c r="AE8" s="60">
        <f t="shared" si="2"/>
        <v>11</v>
      </c>
      <c r="AF8" s="60">
        <f t="shared" si="2"/>
        <v>12</v>
      </c>
      <c r="AG8" s="60">
        <f t="shared" si="2"/>
        <v>13</v>
      </c>
      <c r="AH8" s="60">
        <f t="shared" si="2"/>
        <v>14</v>
      </c>
    </row>
    <row r="9" spans="1:43" ht="11.25" x14ac:dyDescent="0.2">
      <c r="I9" s="26" t="s">
        <v>7</v>
      </c>
      <c r="J9" s="10">
        <v>2006</v>
      </c>
      <c r="K9" s="10">
        <f t="shared" ref="K9:T9" si="3">J9+1</f>
        <v>2007</v>
      </c>
      <c r="L9" s="10">
        <f t="shared" si="3"/>
        <v>2008</v>
      </c>
      <c r="M9" s="10">
        <f t="shared" si="3"/>
        <v>2009</v>
      </c>
      <c r="N9" s="10">
        <f t="shared" si="3"/>
        <v>2010</v>
      </c>
      <c r="O9" s="11">
        <f t="shared" si="3"/>
        <v>2011</v>
      </c>
      <c r="P9" s="139">
        <f>O9+1</f>
        <v>2012</v>
      </c>
      <c r="Q9" s="139">
        <f t="shared" si="3"/>
        <v>2013</v>
      </c>
      <c r="R9" s="139">
        <f t="shared" si="3"/>
        <v>2014</v>
      </c>
      <c r="S9" s="139">
        <f t="shared" si="3"/>
        <v>2015</v>
      </c>
      <c r="T9" s="139">
        <f t="shared" si="3"/>
        <v>2016</v>
      </c>
      <c r="U9" s="139">
        <f>T9+1</f>
        <v>2017</v>
      </c>
      <c r="V9" s="139">
        <f>U9+1</f>
        <v>2018</v>
      </c>
      <c r="W9" s="139">
        <f>V9+1</f>
        <v>2019</v>
      </c>
      <c r="X9" s="139">
        <f>W9+1</f>
        <v>2020</v>
      </c>
      <c r="Y9" s="139">
        <f t="shared" ref="Y9:AH9" si="4">X9+1</f>
        <v>2021</v>
      </c>
      <c r="Z9" s="139">
        <f t="shared" si="4"/>
        <v>2022</v>
      </c>
      <c r="AA9" s="139">
        <f t="shared" si="4"/>
        <v>2023</v>
      </c>
      <c r="AB9" s="139">
        <f t="shared" si="4"/>
        <v>2024</v>
      </c>
      <c r="AC9" s="139">
        <f t="shared" si="4"/>
        <v>2025</v>
      </c>
      <c r="AD9" s="139">
        <f t="shared" si="4"/>
        <v>2026</v>
      </c>
      <c r="AE9" s="139">
        <f t="shared" si="4"/>
        <v>2027</v>
      </c>
      <c r="AF9" s="139">
        <f t="shared" si="4"/>
        <v>2028</v>
      </c>
      <c r="AG9" s="139">
        <f t="shared" si="4"/>
        <v>2029</v>
      </c>
      <c r="AH9" s="139">
        <f t="shared" si="4"/>
        <v>2030</v>
      </c>
    </row>
    <row r="10" spans="1:43" ht="3" customHeight="1" x14ac:dyDescent="0.2">
      <c r="M10" s="12"/>
    </row>
    <row r="11" spans="1:43" ht="12.75" customHeight="1" x14ac:dyDescent="0.2">
      <c r="E11" s="15" t="s">
        <v>77</v>
      </c>
      <c r="H11" s="26"/>
      <c r="I11" s="26"/>
      <c r="J11" s="19"/>
      <c r="K11" s="19">
        <v>200000</v>
      </c>
      <c r="L11" s="19">
        <v>200000</v>
      </c>
      <c r="M11" s="19">
        <v>200000</v>
      </c>
      <c r="N11" s="19">
        <v>200000</v>
      </c>
      <c r="O11" s="19">
        <v>200000</v>
      </c>
      <c r="P11" s="19">
        <v>200000</v>
      </c>
      <c r="Q11" s="19">
        <v>200000</v>
      </c>
      <c r="R11" s="19">
        <v>200000</v>
      </c>
      <c r="S11" s="19">
        <v>200000</v>
      </c>
      <c r="T11" s="19">
        <f t="shared" ref="R11:X11" si="5">S11*(1+gr_Inflation)</f>
        <v>204999.99999999997</v>
      </c>
      <c r="U11" s="19">
        <f t="shared" si="5"/>
        <v>210124.99999999994</v>
      </c>
      <c r="V11" s="19">
        <f t="shared" si="5"/>
        <v>215378.12499999991</v>
      </c>
      <c r="W11" s="19">
        <f t="shared" si="5"/>
        <v>220762.57812499988</v>
      </c>
      <c r="X11" s="19">
        <f t="shared" si="5"/>
        <v>226281.64257812485</v>
      </c>
      <c r="Y11" s="19">
        <f t="shared" ref="Y11:AH11" si="6">X11*(1+gr_Inflation)</f>
        <v>231938.68364257796</v>
      </c>
      <c r="Z11" s="19">
        <f t="shared" si="6"/>
        <v>237737.1507336424</v>
      </c>
      <c r="AA11" s="19">
        <f t="shared" si="6"/>
        <v>243680.57950198345</v>
      </c>
      <c r="AB11" s="19">
        <f t="shared" si="6"/>
        <v>249772.59398953302</v>
      </c>
      <c r="AC11" s="19">
        <f t="shared" si="6"/>
        <v>256016.90883927132</v>
      </c>
      <c r="AD11" s="19">
        <f t="shared" si="6"/>
        <v>262417.33156025305</v>
      </c>
      <c r="AE11" s="19">
        <f t="shared" si="6"/>
        <v>268977.76484925934</v>
      </c>
      <c r="AF11" s="19">
        <f t="shared" si="6"/>
        <v>275702.20897049078</v>
      </c>
      <c r="AG11" s="19">
        <f t="shared" si="6"/>
        <v>282594.76419475302</v>
      </c>
      <c r="AH11" s="19">
        <f t="shared" si="6"/>
        <v>289659.63329962181</v>
      </c>
    </row>
    <row r="12" spans="1:43" ht="12.75" customHeight="1" x14ac:dyDescent="0.2">
      <c r="E12" s="14" t="s">
        <v>162</v>
      </c>
      <c r="H12" s="26"/>
      <c r="I12" s="26"/>
      <c r="J12" s="16"/>
      <c r="K12" s="16">
        <f>K11*pct_Gift_Fee</f>
        <v>5000</v>
      </c>
      <c r="L12" s="16">
        <f>L11*pct_Gift_Fee</f>
        <v>5000</v>
      </c>
      <c r="M12" s="16">
        <f>M11*pct_Gift_Fee</f>
        <v>5000</v>
      </c>
      <c r="N12" s="16">
        <f>N11*pct_Gift_Fee</f>
        <v>5000</v>
      </c>
      <c r="O12" s="16">
        <f t="shared" ref="O12:U12" si="7">O11*pct_Gift_Fee</f>
        <v>5000</v>
      </c>
      <c r="P12" s="16">
        <f t="shared" si="7"/>
        <v>5000</v>
      </c>
      <c r="Q12" s="16">
        <f t="shared" si="7"/>
        <v>5000</v>
      </c>
      <c r="R12" s="16">
        <f t="shared" si="7"/>
        <v>5000</v>
      </c>
      <c r="S12" s="16">
        <f t="shared" si="7"/>
        <v>5000</v>
      </c>
      <c r="T12" s="16">
        <f t="shared" si="7"/>
        <v>5125</v>
      </c>
      <c r="U12" s="16">
        <f t="shared" si="7"/>
        <v>5253.1249999999991</v>
      </c>
      <c r="V12" s="16">
        <f t="shared" ref="V12:AH12" si="8">V11*pct_Gift_Fee</f>
        <v>5384.4531249999982</v>
      </c>
      <c r="W12" s="16">
        <f t="shared" si="8"/>
        <v>5519.0644531249973</v>
      </c>
      <c r="X12" s="16">
        <f t="shared" si="8"/>
        <v>5657.0410644531221</v>
      </c>
      <c r="Y12" s="16">
        <f t="shared" si="8"/>
        <v>5798.4670910644491</v>
      </c>
      <c r="Z12" s="16">
        <f t="shared" si="8"/>
        <v>5943.4287683410603</v>
      </c>
      <c r="AA12" s="16">
        <f t="shared" si="8"/>
        <v>6092.0144875495862</v>
      </c>
      <c r="AB12" s="16">
        <f t="shared" si="8"/>
        <v>6244.3148497383263</v>
      </c>
      <c r="AC12" s="16">
        <f t="shared" si="8"/>
        <v>6400.4227209817836</v>
      </c>
      <c r="AD12" s="16">
        <f t="shared" si="8"/>
        <v>6560.433289006327</v>
      </c>
      <c r="AE12" s="16">
        <f t="shared" si="8"/>
        <v>6724.4441212314841</v>
      </c>
      <c r="AF12" s="16">
        <f t="shared" si="8"/>
        <v>6892.5552242622698</v>
      </c>
      <c r="AG12" s="16">
        <f t="shared" si="8"/>
        <v>7064.8691048688261</v>
      </c>
      <c r="AH12" s="16">
        <f t="shared" si="8"/>
        <v>7241.4908324905455</v>
      </c>
    </row>
    <row r="13" spans="1:43" ht="12.75" customHeight="1" x14ac:dyDescent="0.2">
      <c r="E13" s="14"/>
      <c r="H13" s="26"/>
      <c r="I13" s="26"/>
      <c r="J13" s="19"/>
      <c r="K13" s="19"/>
      <c r="L13" s="19"/>
      <c r="M13" s="19"/>
      <c r="N13" s="54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</row>
    <row r="14" spans="1:43" ht="12.75" customHeight="1" x14ac:dyDescent="0.2">
      <c r="E14" s="15" t="s">
        <v>163</v>
      </c>
      <c r="H14" s="26"/>
      <c r="I14" s="26"/>
      <c r="J14" s="19"/>
      <c r="K14" s="19"/>
      <c r="L14" s="19">
        <f t="shared" ref="L14:X14" si="9">L11-L12</f>
        <v>195000</v>
      </c>
      <c r="M14" s="19">
        <f t="shared" si="9"/>
        <v>195000</v>
      </c>
      <c r="N14" s="19">
        <f t="shared" si="9"/>
        <v>195000</v>
      </c>
      <c r="O14" s="19">
        <f t="shared" si="9"/>
        <v>195000</v>
      </c>
      <c r="P14" s="19">
        <f t="shared" si="9"/>
        <v>195000</v>
      </c>
      <c r="Q14" s="19">
        <f t="shared" si="9"/>
        <v>195000</v>
      </c>
      <c r="R14" s="19">
        <f t="shared" si="9"/>
        <v>195000</v>
      </c>
      <c r="S14" s="19">
        <f t="shared" si="9"/>
        <v>195000</v>
      </c>
      <c r="T14" s="19">
        <f t="shared" si="9"/>
        <v>199874.99999999997</v>
      </c>
      <c r="U14" s="19">
        <f t="shared" si="9"/>
        <v>204871.87499999994</v>
      </c>
      <c r="V14" s="19">
        <f t="shared" si="9"/>
        <v>209993.67187499991</v>
      </c>
      <c r="W14" s="19">
        <f t="shared" si="9"/>
        <v>215243.51367187488</v>
      </c>
      <c r="X14" s="19">
        <f t="shared" si="9"/>
        <v>220624.60151367175</v>
      </c>
      <c r="Y14" s="19">
        <f t="shared" ref="Y14:AH14" si="10">Y11-Y12</f>
        <v>226140.21655151353</v>
      </c>
      <c r="Z14" s="19">
        <f t="shared" si="10"/>
        <v>231793.72196530135</v>
      </c>
      <c r="AA14" s="19">
        <f t="shared" si="10"/>
        <v>237588.56501443387</v>
      </c>
      <c r="AB14" s="19">
        <f t="shared" si="10"/>
        <v>243528.2791397947</v>
      </c>
      <c r="AC14" s="19">
        <f t="shared" si="10"/>
        <v>249616.48611828953</v>
      </c>
      <c r="AD14" s="19">
        <f t="shared" si="10"/>
        <v>255856.89827124673</v>
      </c>
      <c r="AE14" s="19">
        <f t="shared" si="10"/>
        <v>262253.32072802784</v>
      </c>
      <c r="AF14" s="19">
        <f t="shared" si="10"/>
        <v>268809.65374622849</v>
      </c>
      <c r="AG14" s="19">
        <f t="shared" si="10"/>
        <v>275529.89508988417</v>
      </c>
      <c r="AH14" s="19">
        <f t="shared" si="10"/>
        <v>282418.14246713126</v>
      </c>
    </row>
    <row r="15" spans="1:43" ht="12.75" customHeight="1" x14ac:dyDescent="0.2">
      <c r="E15" s="15"/>
      <c r="H15" s="26"/>
      <c r="I15" s="26"/>
      <c r="J15" s="19"/>
      <c r="K15" s="19"/>
      <c r="L15" s="19"/>
      <c r="M15" s="19"/>
      <c r="N15" s="54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1:43" ht="11.25" x14ac:dyDescent="0.2">
      <c r="E16" s="13" t="str">
        <f>E4&amp;" Payout"</f>
        <v>Endowment Payout</v>
      </c>
      <c r="M16" s="12"/>
      <c r="O16" s="163"/>
      <c r="P16" s="163"/>
      <c r="Q16" s="163"/>
      <c r="S16" s="16"/>
    </row>
    <row r="17" spans="4:34" ht="3" customHeight="1" x14ac:dyDescent="0.2">
      <c r="E17" s="14"/>
      <c r="M17" s="12"/>
      <c r="T17" s="16"/>
    </row>
    <row r="18" spans="4:34" ht="9.9499999999999993" customHeight="1" x14ac:dyDescent="0.2">
      <c r="D18" s="58" t="s">
        <v>59</v>
      </c>
      <c r="E18" s="14" t="s">
        <v>155</v>
      </c>
      <c r="J18" s="834">
        <v>20000</v>
      </c>
      <c r="K18" s="834">
        <v>20000</v>
      </c>
      <c r="L18" s="834">
        <v>20000</v>
      </c>
      <c r="M18" s="834">
        <v>20000</v>
      </c>
      <c r="N18" s="834">
        <v>20000</v>
      </c>
      <c r="O18" s="834">
        <v>20000</v>
      </c>
      <c r="P18" s="834">
        <v>20000</v>
      </c>
      <c r="Q18" s="834">
        <v>20000</v>
      </c>
      <c r="R18" s="834">
        <v>20000</v>
      </c>
      <c r="S18" s="834">
        <v>20000</v>
      </c>
      <c r="T18" s="16">
        <f t="shared" ref="T18:AH18" si="11">AVERAGE(Q31:S31)*(Foundation_payout_rate)</f>
        <v>16000</v>
      </c>
      <c r="U18" s="16">
        <f t="shared" si="11"/>
        <v>18019.475000000002</v>
      </c>
      <c r="V18" s="16">
        <f t="shared" si="11"/>
        <v>20059.346958333335</v>
      </c>
      <c r="W18" s="16">
        <f t="shared" si="11"/>
        <v>22120.799765347223</v>
      </c>
      <c r="X18" s="16">
        <f t="shared" si="11"/>
        <v>24185.804194315166</v>
      </c>
      <c r="Y18" s="16">
        <f t="shared" si="11"/>
        <v>26255.402396339334</v>
      </c>
      <c r="Z18" s="16">
        <f t="shared" si="11"/>
        <v>28330.897995518353</v>
      </c>
      <c r="AA18" s="16">
        <f t="shared" si="11"/>
        <v>30413.858115785941</v>
      </c>
      <c r="AB18" s="16">
        <f t="shared" si="11"/>
        <v>32505.855765006465</v>
      </c>
      <c r="AC18" s="16">
        <f t="shared" si="11"/>
        <v>34608.463875341076</v>
      </c>
      <c r="AD18" s="16">
        <f t="shared" si="11"/>
        <v>36723.252797823945</v>
      </c>
      <c r="AE18" s="16">
        <f t="shared" si="11"/>
        <v>38851.791346783088</v>
      </c>
      <c r="AF18" s="16">
        <f t="shared" si="11"/>
        <v>40995.647981478709</v>
      </c>
      <c r="AG18" s="16">
        <f t="shared" si="11"/>
        <v>43156.392031810145</v>
      </c>
      <c r="AH18" s="16">
        <f t="shared" si="11"/>
        <v>45335.594919496674</v>
      </c>
    </row>
    <row r="19" spans="4:34" ht="3" customHeight="1" x14ac:dyDescent="0.2">
      <c r="E19" s="14"/>
      <c r="H19" s="26"/>
      <c r="I19" s="26"/>
      <c r="J19" s="24"/>
      <c r="K19" s="24"/>
      <c r="L19" s="24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</row>
    <row r="20" spans="4:34" ht="9.9499999999999993" customHeight="1" x14ac:dyDescent="0.2">
      <c r="D20" s="58" t="s">
        <v>60</v>
      </c>
      <c r="E20" s="14" t="s">
        <v>151</v>
      </c>
      <c r="H20" s="26"/>
      <c r="I20" s="26"/>
      <c r="J20" s="834">
        <v>60000</v>
      </c>
      <c r="K20" s="834">
        <v>60000</v>
      </c>
      <c r="L20" s="834">
        <v>60000</v>
      </c>
      <c r="M20" s="834">
        <v>60000</v>
      </c>
      <c r="N20" s="834">
        <v>60000</v>
      </c>
      <c r="O20" s="834">
        <v>60000</v>
      </c>
      <c r="P20" s="834">
        <v>60000</v>
      </c>
      <c r="Q20" s="834">
        <v>60000</v>
      </c>
      <c r="R20" s="834">
        <v>60000</v>
      </c>
      <c r="S20" s="834">
        <v>60000</v>
      </c>
      <c r="T20" s="28">
        <f t="shared" ref="T20:AH20" si="12">AVERAGE(O38:S38)*(Regents_payout_rate)</f>
        <v>14000</v>
      </c>
      <c r="U20" s="28">
        <f t="shared" si="12"/>
        <v>15581.4</v>
      </c>
      <c r="V20" s="28">
        <f t="shared" si="12"/>
        <v>16732.7978</v>
      </c>
      <c r="W20" s="28">
        <f t="shared" si="12"/>
        <v>17446.153070600001</v>
      </c>
      <c r="X20" s="28">
        <f t="shared" si="12"/>
        <v>17716.886191216199</v>
      </c>
      <c r="Y20" s="28">
        <f t="shared" si="12"/>
        <v>17543.950413430706</v>
      </c>
      <c r="Z20" s="28">
        <f t="shared" si="12"/>
        <v>17348.476505979834</v>
      </c>
      <c r="AA20" s="28">
        <f t="shared" si="12"/>
        <v>17144.642649612037</v>
      </c>
      <c r="AB20" s="28">
        <f t="shared" si="12"/>
        <v>16943.400383144221</v>
      </c>
      <c r="AC20" s="28">
        <f t="shared" si="12"/>
        <v>16752.29051995344</v>
      </c>
      <c r="AD20" s="28">
        <f t="shared" si="12"/>
        <v>16575.312198053976</v>
      </c>
      <c r="AE20" s="28">
        <f t="shared" si="12"/>
        <v>16412.847220075477</v>
      </c>
      <c r="AF20" s="28">
        <f t="shared" si="12"/>
        <v>16264.989998556804</v>
      </c>
      <c r="AG20" s="28">
        <f t="shared" si="12"/>
        <v>16131.657482282568</v>
      </c>
      <c r="AH20" s="28">
        <f t="shared" si="12"/>
        <v>16012.67579170994</v>
      </c>
    </row>
    <row r="21" spans="4:34" ht="3" customHeight="1" x14ac:dyDescent="0.2">
      <c r="E21" s="14"/>
      <c r="H21" s="26"/>
      <c r="I21" s="26"/>
    </row>
    <row r="22" spans="4:34" ht="11.25" x14ac:dyDescent="0.2">
      <c r="E22" s="15" t="s">
        <v>56</v>
      </c>
      <c r="H22" s="26"/>
      <c r="I22" s="26"/>
      <c r="J22" s="19">
        <f t="shared" ref="J22:U22" si="13">J18+J20</f>
        <v>80000</v>
      </c>
      <c r="K22" s="19">
        <f t="shared" si="13"/>
        <v>80000</v>
      </c>
      <c r="L22" s="19">
        <f t="shared" si="13"/>
        <v>80000</v>
      </c>
      <c r="M22" s="19">
        <f t="shared" si="13"/>
        <v>80000</v>
      </c>
      <c r="N22" s="19">
        <f t="shared" si="13"/>
        <v>80000</v>
      </c>
      <c r="O22" s="19">
        <f t="shared" si="13"/>
        <v>80000</v>
      </c>
      <c r="P22" s="19">
        <f t="shared" si="13"/>
        <v>80000</v>
      </c>
      <c r="Q22" s="19">
        <f t="shared" si="13"/>
        <v>80000</v>
      </c>
      <c r="R22" s="19">
        <f t="shared" si="13"/>
        <v>80000</v>
      </c>
      <c r="S22" s="19">
        <f t="shared" si="13"/>
        <v>80000</v>
      </c>
      <c r="T22" s="19">
        <f t="shared" si="13"/>
        <v>30000</v>
      </c>
      <c r="U22" s="19">
        <f t="shared" si="13"/>
        <v>33600.875</v>
      </c>
      <c r="V22" s="19">
        <f>V18+V20</f>
        <v>36792.144758333336</v>
      </c>
      <c r="W22" s="19">
        <f>W18+W20</f>
        <v>39566.952835947224</v>
      </c>
      <c r="X22" s="19">
        <f>X18+X20</f>
        <v>41902.690385531365</v>
      </c>
      <c r="Y22" s="19">
        <f t="shared" ref="Y22:AH22" si="14">Y18+Y20</f>
        <v>43799.35280977004</v>
      </c>
      <c r="Z22" s="19">
        <f t="shared" si="14"/>
        <v>45679.374501498183</v>
      </c>
      <c r="AA22" s="19">
        <f t="shared" si="14"/>
        <v>47558.500765397977</v>
      </c>
      <c r="AB22" s="19">
        <f t="shared" si="14"/>
        <v>49449.256148150685</v>
      </c>
      <c r="AC22" s="19">
        <f t="shared" si="14"/>
        <v>51360.754395294513</v>
      </c>
      <c r="AD22" s="19">
        <f t="shared" si="14"/>
        <v>53298.564995877925</v>
      </c>
      <c r="AE22" s="19">
        <f t="shared" si="14"/>
        <v>55264.638566858564</v>
      </c>
      <c r="AF22" s="19">
        <f t="shared" si="14"/>
        <v>57260.637980035513</v>
      </c>
      <c r="AG22" s="19">
        <f t="shared" si="14"/>
        <v>59288.049514092709</v>
      </c>
      <c r="AH22" s="19">
        <f t="shared" si="14"/>
        <v>61348.270711206613</v>
      </c>
    </row>
    <row r="23" spans="4:34" ht="11.25" x14ac:dyDescent="0.2"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29"/>
      <c r="W23" s="229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</row>
    <row r="24" spans="4:34" ht="11.25" x14ac:dyDescent="0.2">
      <c r="E24" s="13" t="s">
        <v>54</v>
      </c>
      <c r="H24" s="26"/>
      <c r="I24" s="26"/>
      <c r="J24" s="19"/>
      <c r="K24" s="465"/>
      <c r="L24" s="465"/>
      <c r="M24" s="465"/>
      <c r="N24" s="464"/>
      <c r="O24" s="464"/>
      <c r="P24" s="464"/>
      <c r="Q24" s="464"/>
      <c r="R24" s="464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</row>
    <row r="25" spans="4:34" ht="3" customHeight="1" x14ac:dyDescent="0.2">
      <c r="H25" s="26"/>
      <c r="I25" s="26"/>
      <c r="J25" s="19"/>
      <c r="K25" s="19"/>
      <c r="L25" s="19"/>
      <c r="M25" s="19"/>
      <c r="N25" s="464"/>
      <c r="O25" s="464"/>
      <c r="P25" s="464"/>
      <c r="Q25" s="464"/>
      <c r="R25" s="464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</row>
    <row r="26" spans="4:34" ht="12.75" customHeight="1" x14ac:dyDescent="0.2">
      <c r="E26" s="5" t="s">
        <v>148</v>
      </c>
      <c r="H26" s="26"/>
      <c r="I26" s="26"/>
      <c r="J26" s="19"/>
      <c r="K26" s="465"/>
      <c r="L26" s="465"/>
      <c r="M26" s="465"/>
      <c r="N26" s="464"/>
      <c r="O26" s="464"/>
      <c r="P26" s="464"/>
      <c r="Q26" s="464"/>
      <c r="R26" s="464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</row>
    <row r="27" spans="4:34" ht="12.75" customHeight="1" x14ac:dyDescent="0.2">
      <c r="E27" s="14" t="s">
        <v>70</v>
      </c>
      <c r="H27" s="26"/>
      <c r="I27" s="26"/>
      <c r="J27" s="19"/>
      <c r="K27" s="16">
        <v>50000</v>
      </c>
      <c r="L27" s="16">
        <f t="shared" ref="L27:T27" si="15">K31</f>
        <v>50000</v>
      </c>
      <c r="M27" s="16">
        <f>L31</f>
        <v>100000</v>
      </c>
      <c r="N27" s="16">
        <f>M31</f>
        <v>150000</v>
      </c>
      <c r="O27" s="16">
        <f t="shared" si="15"/>
        <v>200000</v>
      </c>
      <c r="P27" s="16">
        <f>O31</f>
        <v>250000</v>
      </c>
      <c r="Q27" s="16">
        <f t="shared" si="15"/>
        <v>300000</v>
      </c>
      <c r="R27" s="16">
        <f t="shared" si="15"/>
        <v>350000</v>
      </c>
      <c r="S27" s="16">
        <f t="shared" si="15"/>
        <v>400000</v>
      </c>
      <c r="T27" s="16">
        <f>S31</f>
        <v>450000</v>
      </c>
      <c r="U27" s="16">
        <f>T31</f>
        <v>501460.625</v>
      </c>
      <c r="V27" s="16">
        <f>U31</f>
        <v>552990.39687499998</v>
      </c>
      <c r="W27" s="16">
        <f>V31</f>
        <v>604608.96052604169</v>
      </c>
      <c r="X27" s="16">
        <f>W31</f>
        <v>656335.95717259543</v>
      </c>
      <c r="Y27" s="16">
        <f t="shared" ref="Y27:AH27" si="16">X31</f>
        <v>708210.26202681276</v>
      </c>
      <c r="Z27" s="16">
        <f t="shared" si="16"/>
        <v>760271.13046446827</v>
      </c>
      <c r="AA27" s="16">
        <f t="shared" si="16"/>
        <v>812557.96619266446</v>
      </c>
      <c r="AB27" s="16">
        <f t="shared" si="16"/>
        <v>865110.08571835177</v>
      </c>
      <c r="AC27" s="16">
        <f t="shared" si="16"/>
        <v>917966.7387395642</v>
      </c>
      <c r="AD27" s="16">
        <f t="shared" si="16"/>
        <v>971167.13537887996</v>
      </c>
      <c r="AE27" s="16">
        <f t="shared" si="16"/>
        <v>1024750.4768902875</v>
      </c>
      <c r="AF27" s="16">
        <f t="shared" si="16"/>
        <v>1078755.986341736</v>
      </c>
      <c r="AG27" s="16">
        <f t="shared" si="16"/>
        <v>1133222.9391537369</v>
      </c>
      <c r="AH27" s="16">
        <f t="shared" si="16"/>
        <v>1188190.6934667777</v>
      </c>
    </row>
    <row r="28" spans="4:34" ht="12.75" customHeight="1" x14ac:dyDescent="0.2">
      <c r="E28" s="23" t="s">
        <v>71</v>
      </c>
      <c r="H28" s="26"/>
      <c r="I28" s="26"/>
      <c r="J28" s="19"/>
      <c r="K28" s="16"/>
      <c r="L28" s="18">
        <f t="shared" ref="L28:Q28" si="17">L31-L30-L29-L27</f>
        <v>70090</v>
      </c>
      <c r="M28" s="18">
        <f t="shared" si="17"/>
        <v>253732</v>
      </c>
      <c r="N28" s="18">
        <f t="shared" si="17"/>
        <v>-8933</v>
      </c>
      <c r="O28" s="18">
        <f t="shared" si="17"/>
        <v>-81491</v>
      </c>
      <c r="P28" s="18">
        <f t="shared" si="17"/>
        <v>87387</v>
      </c>
      <c r="Q28" s="18">
        <f t="shared" si="17"/>
        <v>-68933</v>
      </c>
      <c r="R28" s="18">
        <f t="shared" ref="R28:X28" si="18">R14*Endowed_gifts*Foundation_prct</f>
        <v>61425</v>
      </c>
      <c r="S28" s="18">
        <f t="shared" si="18"/>
        <v>61425</v>
      </c>
      <c r="T28" s="18">
        <f t="shared" si="18"/>
        <v>62960.624999999985</v>
      </c>
      <c r="U28" s="18">
        <f t="shared" si="18"/>
        <v>64534.640624999978</v>
      </c>
      <c r="V28" s="18">
        <f t="shared" si="18"/>
        <v>66148.006640624983</v>
      </c>
      <c r="W28" s="18">
        <f t="shared" si="18"/>
        <v>67801.706806640592</v>
      </c>
      <c r="X28" s="18">
        <f t="shared" si="18"/>
        <v>69496.749476806595</v>
      </c>
      <c r="Y28" s="18">
        <f t="shared" ref="Y28:AH28" si="19">Y14*Endowed_gifts*Foundation_prct</f>
        <v>71234.168213726749</v>
      </c>
      <c r="Z28" s="18">
        <f t="shared" si="19"/>
        <v>73015.022419069923</v>
      </c>
      <c r="AA28" s="18">
        <f t="shared" si="19"/>
        <v>74840.397979546673</v>
      </c>
      <c r="AB28" s="18">
        <f t="shared" si="19"/>
        <v>76711.407929035326</v>
      </c>
      <c r="AC28" s="18">
        <f t="shared" si="19"/>
        <v>78629.193127261198</v>
      </c>
      <c r="AD28" s="18">
        <f t="shared" si="19"/>
        <v>80594.922955442715</v>
      </c>
      <c r="AE28" s="18">
        <f t="shared" si="19"/>
        <v>82609.796029328762</v>
      </c>
      <c r="AF28" s="18">
        <f t="shared" si="19"/>
        <v>84675.040930061965</v>
      </c>
      <c r="AG28" s="18">
        <f t="shared" si="19"/>
        <v>86791.916953313514</v>
      </c>
      <c r="AH28" s="18">
        <f t="shared" si="19"/>
        <v>88961.714877146354</v>
      </c>
    </row>
    <row r="29" spans="4:34" ht="12.75" customHeight="1" x14ac:dyDescent="0.2">
      <c r="E29" s="23" t="s">
        <v>72</v>
      </c>
      <c r="H29" s="26"/>
      <c r="I29" s="26"/>
      <c r="J29" s="19"/>
      <c r="K29" s="19"/>
      <c r="L29" s="18">
        <f>(L27+L30)*-0.003</f>
        <v>-90</v>
      </c>
      <c r="M29" s="41">
        <v>-183732</v>
      </c>
      <c r="N29" s="41">
        <v>78933</v>
      </c>
      <c r="O29" s="41">
        <v>151491</v>
      </c>
      <c r="P29" s="41">
        <v>-17387</v>
      </c>
      <c r="Q29" s="41">
        <f>138933</f>
        <v>138933</v>
      </c>
      <c r="R29" s="18">
        <f t="shared" ref="R29:X29" si="20">Q31*gr_endowment</f>
        <v>3500</v>
      </c>
      <c r="S29" s="18">
        <f t="shared" si="20"/>
        <v>4000</v>
      </c>
      <c r="T29" s="18">
        <f t="shared" si="20"/>
        <v>4500</v>
      </c>
      <c r="U29" s="18">
        <f t="shared" si="20"/>
        <v>5014.6062499999998</v>
      </c>
      <c r="V29" s="18">
        <f t="shared" si="20"/>
        <v>5529.9039687499999</v>
      </c>
      <c r="W29" s="18">
        <f t="shared" si="20"/>
        <v>6046.0896052604166</v>
      </c>
      <c r="X29" s="18">
        <f t="shared" si="20"/>
        <v>6563.3595717259541</v>
      </c>
      <c r="Y29" s="18">
        <f t="shared" ref="Y29:AH29" si="21">X31*gr_endowment</f>
        <v>7082.1026202681278</v>
      </c>
      <c r="Z29" s="18">
        <f t="shared" si="21"/>
        <v>7602.711304644683</v>
      </c>
      <c r="AA29" s="18">
        <f t="shared" si="21"/>
        <v>8125.5796619266448</v>
      </c>
      <c r="AB29" s="18">
        <f t="shared" si="21"/>
        <v>8651.1008571835173</v>
      </c>
      <c r="AC29" s="18">
        <f t="shared" si="21"/>
        <v>9179.6673873956424</v>
      </c>
      <c r="AD29" s="18">
        <f t="shared" si="21"/>
        <v>9711.671353788799</v>
      </c>
      <c r="AE29" s="18">
        <f t="shared" si="21"/>
        <v>10247.504768902874</v>
      </c>
      <c r="AF29" s="18">
        <f t="shared" si="21"/>
        <v>10787.55986341736</v>
      </c>
      <c r="AG29" s="18">
        <f t="shared" si="21"/>
        <v>11332.22939153737</v>
      </c>
      <c r="AH29" s="18">
        <f t="shared" si="21"/>
        <v>11881.906934667777</v>
      </c>
    </row>
    <row r="30" spans="4:34" ht="12.75" customHeight="1" x14ac:dyDescent="0.2">
      <c r="E30" s="23" t="s">
        <v>74</v>
      </c>
      <c r="H30" s="26"/>
      <c r="I30" s="26"/>
      <c r="J30" s="19"/>
      <c r="K30" s="19"/>
      <c r="L30" s="18">
        <f>-L18</f>
        <v>-20000</v>
      </c>
      <c r="M30" s="18">
        <f>-M18</f>
        <v>-20000</v>
      </c>
      <c r="N30" s="18">
        <f>-N18</f>
        <v>-20000</v>
      </c>
      <c r="O30" s="18">
        <f t="shared" ref="O30:AH30" si="22">-foundation_endowment_payout</f>
        <v>-20000</v>
      </c>
      <c r="P30" s="18">
        <f t="shared" si="22"/>
        <v>-20000</v>
      </c>
      <c r="Q30" s="18">
        <f>-foundation_endowment_payout</f>
        <v>-20000</v>
      </c>
      <c r="R30" s="18">
        <f t="shared" si="22"/>
        <v>-20000</v>
      </c>
      <c r="S30" s="18">
        <f t="shared" si="22"/>
        <v>-20000</v>
      </c>
      <c r="T30" s="18">
        <f t="shared" si="22"/>
        <v>-16000</v>
      </c>
      <c r="U30" s="18">
        <f t="shared" si="22"/>
        <v>-18019.475000000002</v>
      </c>
      <c r="V30" s="18">
        <f t="shared" si="22"/>
        <v>-20059.346958333335</v>
      </c>
      <c r="W30" s="18">
        <f t="shared" si="22"/>
        <v>-22120.799765347223</v>
      </c>
      <c r="X30" s="18">
        <f t="shared" si="22"/>
        <v>-24185.804194315166</v>
      </c>
      <c r="Y30" s="18">
        <f t="shared" si="22"/>
        <v>-26255.402396339334</v>
      </c>
      <c r="Z30" s="18">
        <f t="shared" si="22"/>
        <v>-28330.897995518353</v>
      </c>
      <c r="AA30" s="18">
        <f t="shared" si="22"/>
        <v>-30413.858115785941</v>
      </c>
      <c r="AB30" s="18">
        <f t="shared" si="22"/>
        <v>-32505.855765006465</v>
      </c>
      <c r="AC30" s="18">
        <f t="shared" si="22"/>
        <v>-34608.463875341076</v>
      </c>
      <c r="AD30" s="18">
        <f t="shared" si="22"/>
        <v>-36723.252797823945</v>
      </c>
      <c r="AE30" s="18">
        <f t="shared" si="22"/>
        <v>-38851.791346783088</v>
      </c>
      <c r="AF30" s="18">
        <f t="shared" si="22"/>
        <v>-40995.647981478709</v>
      </c>
      <c r="AG30" s="18">
        <f t="shared" si="22"/>
        <v>-43156.392031810145</v>
      </c>
      <c r="AH30" s="18">
        <f t="shared" si="22"/>
        <v>-45335.594919496674</v>
      </c>
    </row>
    <row r="31" spans="4:34" ht="12.75" customHeight="1" x14ac:dyDescent="0.2">
      <c r="E31" s="14" t="s">
        <v>69</v>
      </c>
      <c r="J31" s="27">
        <v>700375</v>
      </c>
      <c r="K31" s="27">
        <v>50000</v>
      </c>
      <c r="L31" s="27">
        <f>K31+50000</f>
        <v>100000</v>
      </c>
      <c r="M31" s="27">
        <f t="shared" ref="M31:S31" si="23">L31+50000</f>
        <v>150000</v>
      </c>
      <c r="N31" s="27">
        <f t="shared" si="23"/>
        <v>200000</v>
      </c>
      <c r="O31" s="27">
        <f t="shared" si="23"/>
        <v>250000</v>
      </c>
      <c r="P31" s="27">
        <f t="shared" si="23"/>
        <v>300000</v>
      </c>
      <c r="Q31" s="27">
        <f t="shared" si="23"/>
        <v>350000</v>
      </c>
      <c r="R31" s="27">
        <f t="shared" si="23"/>
        <v>400000</v>
      </c>
      <c r="S31" s="27">
        <f t="shared" si="23"/>
        <v>450000</v>
      </c>
      <c r="T31" s="16">
        <f t="shared" ref="R31:X31" si="24">SUM(T27:T30)</f>
        <v>501460.625</v>
      </c>
      <c r="U31" s="16">
        <f t="shared" si="24"/>
        <v>552990.39687499998</v>
      </c>
      <c r="V31" s="16">
        <f t="shared" si="24"/>
        <v>604608.96052604169</v>
      </c>
      <c r="W31" s="16">
        <f t="shared" si="24"/>
        <v>656335.95717259543</v>
      </c>
      <c r="X31" s="16">
        <f t="shared" si="24"/>
        <v>708210.26202681276</v>
      </c>
      <c r="Y31" s="16">
        <f t="shared" ref="Y31:AH31" si="25">SUM(Y27:Y30)</f>
        <v>760271.13046446827</v>
      </c>
      <c r="Z31" s="16">
        <f t="shared" si="25"/>
        <v>812557.96619266446</v>
      </c>
      <c r="AA31" s="16">
        <f t="shared" si="25"/>
        <v>865110.08571835177</v>
      </c>
      <c r="AB31" s="16">
        <f t="shared" si="25"/>
        <v>917966.7387395642</v>
      </c>
      <c r="AC31" s="16">
        <f t="shared" si="25"/>
        <v>971167.13537887996</v>
      </c>
      <c r="AD31" s="16">
        <f t="shared" si="25"/>
        <v>1024750.4768902875</v>
      </c>
      <c r="AE31" s="16">
        <f t="shared" si="25"/>
        <v>1078755.986341736</v>
      </c>
      <c r="AF31" s="16">
        <f t="shared" si="25"/>
        <v>1133222.9391537369</v>
      </c>
      <c r="AG31" s="16">
        <f t="shared" si="25"/>
        <v>1188190.6934667777</v>
      </c>
      <c r="AH31" s="16">
        <f t="shared" si="25"/>
        <v>1243698.7203590951</v>
      </c>
    </row>
    <row r="32" spans="4:34" ht="3" customHeight="1" x14ac:dyDescent="0.2">
      <c r="E32" s="23"/>
      <c r="J32" s="51"/>
      <c r="K32" s="51"/>
      <c r="L32" s="51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4:34" ht="12.75" customHeight="1" x14ac:dyDescent="0.2">
      <c r="E33" s="5" t="s">
        <v>147</v>
      </c>
      <c r="H33" s="26"/>
      <c r="I33" s="26"/>
      <c r="J33" s="24"/>
      <c r="K33" s="165"/>
      <c r="L33" s="165"/>
      <c r="M33" s="165"/>
      <c r="N33" s="165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</row>
    <row r="34" spans="4:34" ht="12.75" customHeight="1" x14ac:dyDescent="0.2">
      <c r="E34" s="14" t="s">
        <v>73</v>
      </c>
      <c r="H34" s="26"/>
      <c r="I34" s="26"/>
      <c r="J34" s="24"/>
      <c r="K34" s="16">
        <v>50000</v>
      </c>
      <c r="L34" s="16">
        <f t="shared" ref="L34:T34" si="26">K38</f>
        <v>50000</v>
      </c>
      <c r="M34" s="25">
        <f t="shared" si="26"/>
        <v>100000</v>
      </c>
      <c r="N34" s="25">
        <f t="shared" si="26"/>
        <v>150000</v>
      </c>
      <c r="O34" s="25">
        <f t="shared" si="26"/>
        <v>200000</v>
      </c>
      <c r="P34" s="25">
        <f>O38</f>
        <v>250000</v>
      </c>
      <c r="Q34" s="25">
        <f t="shared" si="26"/>
        <v>300000</v>
      </c>
      <c r="R34" s="25">
        <f t="shared" si="26"/>
        <v>350000</v>
      </c>
      <c r="S34" s="25">
        <f t="shared" si="26"/>
        <v>400000</v>
      </c>
      <c r="T34" s="25">
        <f t="shared" si="26"/>
        <v>450000</v>
      </c>
      <c r="U34" s="25">
        <f>T38</f>
        <v>447675</v>
      </c>
      <c r="V34" s="25">
        <f>U38</f>
        <v>443924.72499999998</v>
      </c>
      <c r="W34" s="25">
        <f>V38</f>
        <v>439169.40882499999</v>
      </c>
      <c r="X34" s="25">
        <f>W38</f>
        <v>433841.64007702499</v>
      </c>
      <c r="Y34" s="25">
        <f t="shared" ref="Y34:AH34" si="27">X38</f>
        <v>428383.02777681343</v>
      </c>
      <c r="Z34" s="25">
        <f t="shared" si="27"/>
        <v>423240.76156864112</v>
      </c>
      <c r="AA34" s="25">
        <f t="shared" si="27"/>
        <v>418445.49295402516</v>
      </c>
      <c r="AB34" s="25">
        <f t="shared" si="27"/>
        <v>414014.12551652279</v>
      </c>
      <c r="AC34" s="25">
        <f t="shared" si="27"/>
        <v>409952.90717817744</v>
      </c>
      <c r="AD34" s="25">
        <f t="shared" si="27"/>
        <v>406260.73753938032</v>
      </c>
      <c r="AE34" s="25">
        <f t="shared" si="27"/>
        <v>402932.63932132896</v>
      </c>
      <c r="AF34" s="25">
        <f t="shared" si="27"/>
        <v>399963.34026419086</v>
      </c>
      <c r="AG34" s="25">
        <f t="shared" si="27"/>
        <v>397347.56098224316</v>
      </c>
      <c r="AH34" s="25">
        <f t="shared" si="27"/>
        <v>395080.19585659937</v>
      </c>
    </row>
    <row r="35" spans="4:34" ht="12.75" customHeight="1" x14ac:dyDescent="0.2">
      <c r="E35" s="23" t="s">
        <v>71</v>
      </c>
      <c r="H35" s="26"/>
      <c r="I35" s="26"/>
      <c r="J35" s="24"/>
      <c r="K35" s="24"/>
      <c r="L35" s="18">
        <f t="shared" ref="L35:Q35" si="28">L38-L37-L36-L34</f>
        <v>110750</v>
      </c>
      <c r="M35" s="18">
        <f t="shared" si="28"/>
        <v>128200</v>
      </c>
      <c r="N35" s="18">
        <f t="shared" si="28"/>
        <v>93050</v>
      </c>
      <c r="O35" s="18">
        <f t="shared" si="28"/>
        <v>69600</v>
      </c>
      <c r="P35" s="18">
        <f t="shared" si="28"/>
        <v>111750</v>
      </c>
      <c r="Q35" s="18">
        <f t="shared" si="28"/>
        <v>74000</v>
      </c>
      <c r="R35" s="18">
        <f t="shared" ref="R35:AH35" si="29">R$11*Endowed_gifts*(1-Foundation_prct)</f>
        <v>6999.9999999999982</v>
      </c>
      <c r="S35" s="18">
        <f t="shared" si="29"/>
        <v>6999.9999999999982</v>
      </c>
      <c r="T35" s="18">
        <f t="shared" si="29"/>
        <v>7174.9999999999973</v>
      </c>
      <c r="U35" s="18">
        <f t="shared" si="29"/>
        <v>7354.3749999999955</v>
      </c>
      <c r="V35" s="18">
        <f t="shared" si="29"/>
        <v>7538.2343749999955</v>
      </c>
      <c r="W35" s="18">
        <f t="shared" si="29"/>
        <v>7726.6902343749944</v>
      </c>
      <c r="X35" s="18">
        <f t="shared" si="29"/>
        <v>7919.857490234368</v>
      </c>
      <c r="Y35" s="18">
        <f t="shared" si="29"/>
        <v>8117.8539274902269</v>
      </c>
      <c r="Z35" s="18">
        <f t="shared" si="29"/>
        <v>8320.8002756774822</v>
      </c>
      <c r="AA35" s="18">
        <f t="shared" si="29"/>
        <v>8528.8202825694189</v>
      </c>
      <c r="AB35" s="18">
        <f t="shared" si="29"/>
        <v>8742.0407896336528</v>
      </c>
      <c r="AC35" s="18">
        <f t="shared" si="29"/>
        <v>8960.5918093744931</v>
      </c>
      <c r="AD35" s="18">
        <f t="shared" si="29"/>
        <v>9184.6066046088526</v>
      </c>
      <c r="AE35" s="18">
        <f t="shared" si="29"/>
        <v>9414.221769724074</v>
      </c>
      <c r="AF35" s="18">
        <f t="shared" si="29"/>
        <v>9649.5773139671746</v>
      </c>
      <c r="AG35" s="18">
        <f t="shared" si="29"/>
        <v>9890.816746816352</v>
      </c>
      <c r="AH35" s="18">
        <f t="shared" si="29"/>
        <v>10138.087165486761</v>
      </c>
    </row>
    <row r="36" spans="4:34" ht="12.75" customHeight="1" x14ac:dyDescent="0.2">
      <c r="E36" s="23" t="s">
        <v>72</v>
      </c>
      <c r="H36" s="26"/>
      <c r="I36" s="26"/>
      <c r="J36" s="24"/>
      <c r="K36" s="24"/>
      <c r="L36" s="22">
        <f>K38*-0.015</f>
        <v>-750</v>
      </c>
      <c r="M36" s="22">
        <f>L38*-0.182</f>
        <v>-18200</v>
      </c>
      <c r="N36" s="22">
        <f>M38*0.113</f>
        <v>16950</v>
      </c>
      <c r="O36" s="22">
        <f>N38*0.202</f>
        <v>40400</v>
      </c>
      <c r="P36" s="22">
        <f>P34*-0.007</f>
        <v>-1750</v>
      </c>
      <c r="Q36" s="22">
        <f>Q34*0.12</f>
        <v>36000</v>
      </c>
      <c r="R36" s="22">
        <f t="shared" ref="R36:X36" si="30">Q38*gr_endowment</f>
        <v>3500</v>
      </c>
      <c r="S36" s="22">
        <f t="shared" si="30"/>
        <v>4000</v>
      </c>
      <c r="T36" s="22">
        <f t="shared" si="30"/>
        <v>4500</v>
      </c>
      <c r="U36" s="22">
        <f t="shared" si="30"/>
        <v>4476.75</v>
      </c>
      <c r="V36" s="22">
        <f t="shared" si="30"/>
        <v>4439.2472499999994</v>
      </c>
      <c r="W36" s="22">
        <f t="shared" si="30"/>
        <v>4391.6940882500003</v>
      </c>
      <c r="X36" s="22">
        <f t="shared" si="30"/>
        <v>4338.4164007702502</v>
      </c>
      <c r="Y36" s="22">
        <f t="shared" ref="Y36:AH36" si="31">X38*gr_endowment</f>
        <v>4283.8302777681347</v>
      </c>
      <c r="Z36" s="22">
        <f t="shared" si="31"/>
        <v>4232.4076156864112</v>
      </c>
      <c r="AA36" s="22">
        <f t="shared" si="31"/>
        <v>4184.4549295402521</v>
      </c>
      <c r="AB36" s="22">
        <f t="shared" si="31"/>
        <v>4140.1412551652284</v>
      </c>
      <c r="AC36" s="22">
        <f t="shared" si="31"/>
        <v>4099.5290717817743</v>
      </c>
      <c r="AD36" s="22">
        <f t="shared" si="31"/>
        <v>4062.6073753938035</v>
      </c>
      <c r="AE36" s="22">
        <f t="shared" si="31"/>
        <v>4029.3263932132895</v>
      </c>
      <c r="AF36" s="22">
        <f t="shared" si="31"/>
        <v>3999.6334026419086</v>
      </c>
      <c r="AG36" s="22">
        <f t="shared" si="31"/>
        <v>3973.4756098224316</v>
      </c>
      <c r="AH36" s="22">
        <f t="shared" si="31"/>
        <v>3950.8019585659936</v>
      </c>
    </row>
    <row r="37" spans="4:34" ht="12.75" customHeight="1" x14ac:dyDescent="0.2">
      <c r="E37" s="23" t="s">
        <v>74</v>
      </c>
      <c r="H37" s="26"/>
      <c r="I37" s="26"/>
      <c r="J37" s="24"/>
      <c r="K37" s="22"/>
      <c r="L37" s="22">
        <f t="shared" ref="L37:AH37" si="32">-regent_endowment_payout</f>
        <v>-60000</v>
      </c>
      <c r="M37" s="22">
        <f t="shared" si="32"/>
        <v>-60000</v>
      </c>
      <c r="N37" s="22">
        <f t="shared" si="32"/>
        <v>-60000</v>
      </c>
      <c r="O37" s="22">
        <f t="shared" si="32"/>
        <v>-60000</v>
      </c>
      <c r="P37" s="22">
        <f t="shared" si="32"/>
        <v>-60000</v>
      </c>
      <c r="Q37" s="22">
        <f t="shared" si="32"/>
        <v>-60000</v>
      </c>
      <c r="R37" s="22">
        <f t="shared" si="32"/>
        <v>-60000</v>
      </c>
      <c r="S37" s="22">
        <f t="shared" si="32"/>
        <v>-60000</v>
      </c>
      <c r="T37" s="22">
        <f t="shared" si="32"/>
        <v>-14000</v>
      </c>
      <c r="U37" s="22">
        <f t="shared" si="32"/>
        <v>-15581.4</v>
      </c>
      <c r="V37" s="22">
        <f t="shared" si="32"/>
        <v>-16732.7978</v>
      </c>
      <c r="W37" s="22">
        <f t="shared" si="32"/>
        <v>-17446.153070600001</v>
      </c>
      <c r="X37" s="22">
        <f t="shared" si="32"/>
        <v>-17716.886191216199</v>
      </c>
      <c r="Y37" s="22">
        <f t="shared" si="32"/>
        <v>-17543.950413430706</v>
      </c>
      <c r="Z37" s="22">
        <f t="shared" si="32"/>
        <v>-17348.476505979834</v>
      </c>
      <c r="AA37" s="22">
        <f t="shared" si="32"/>
        <v>-17144.642649612037</v>
      </c>
      <c r="AB37" s="22">
        <f t="shared" si="32"/>
        <v>-16943.400383144221</v>
      </c>
      <c r="AC37" s="22">
        <f t="shared" si="32"/>
        <v>-16752.29051995344</v>
      </c>
      <c r="AD37" s="22">
        <f t="shared" si="32"/>
        <v>-16575.312198053976</v>
      </c>
      <c r="AE37" s="22">
        <f t="shared" si="32"/>
        <v>-16412.847220075477</v>
      </c>
      <c r="AF37" s="22">
        <f t="shared" si="32"/>
        <v>-16264.989998556804</v>
      </c>
      <c r="AG37" s="22">
        <f t="shared" si="32"/>
        <v>-16131.657482282568</v>
      </c>
      <c r="AH37" s="22">
        <f t="shared" si="32"/>
        <v>-16012.67579170994</v>
      </c>
    </row>
    <row r="38" spans="4:34" ht="9.9499999999999993" customHeight="1" x14ac:dyDescent="0.2">
      <c r="E38" s="14" t="s">
        <v>69</v>
      </c>
      <c r="H38" s="26"/>
      <c r="I38" s="26"/>
      <c r="J38" s="27">
        <v>500000</v>
      </c>
      <c r="K38" s="27">
        <v>50000</v>
      </c>
      <c r="L38" s="27">
        <f>K38+50000</f>
        <v>100000</v>
      </c>
      <c r="M38" s="27">
        <f t="shared" ref="M38:S38" si="33">L38+50000</f>
        <v>150000</v>
      </c>
      <c r="N38" s="27">
        <f t="shared" si="33"/>
        <v>200000</v>
      </c>
      <c r="O38" s="27">
        <f t="shared" si="33"/>
        <v>250000</v>
      </c>
      <c r="P38" s="27">
        <f t="shared" si="33"/>
        <v>300000</v>
      </c>
      <c r="Q38" s="27">
        <f t="shared" si="33"/>
        <v>350000</v>
      </c>
      <c r="R38" s="27">
        <f t="shared" si="33"/>
        <v>400000</v>
      </c>
      <c r="S38" s="27">
        <f t="shared" si="33"/>
        <v>450000</v>
      </c>
      <c r="T38" s="16">
        <f t="shared" ref="R38:X38" si="34">SUM(T34:T37)</f>
        <v>447675</v>
      </c>
      <c r="U38" s="16">
        <f t="shared" si="34"/>
        <v>443924.72499999998</v>
      </c>
      <c r="V38" s="16">
        <f t="shared" si="34"/>
        <v>439169.40882499999</v>
      </c>
      <c r="W38" s="16">
        <f t="shared" si="34"/>
        <v>433841.64007702499</v>
      </c>
      <c r="X38" s="16">
        <f t="shared" si="34"/>
        <v>428383.02777681343</v>
      </c>
      <c r="Y38" s="16">
        <f t="shared" ref="Y38:AH38" si="35">SUM(Y34:Y37)</f>
        <v>423240.76156864112</v>
      </c>
      <c r="Z38" s="16">
        <f t="shared" si="35"/>
        <v>418445.49295402516</v>
      </c>
      <c r="AA38" s="16">
        <f t="shared" si="35"/>
        <v>414014.12551652279</v>
      </c>
      <c r="AB38" s="16">
        <f t="shared" si="35"/>
        <v>409952.90717817744</v>
      </c>
      <c r="AC38" s="16">
        <f t="shared" si="35"/>
        <v>406260.73753938032</v>
      </c>
      <c r="AD38" s="16">
        <f t="shared" si="35"/>
        <v>402932.63932132896</v>
      </c>
      <c r="AE38" s="16">
        <f t="shared" si="35"/>
        <v>399963.34026419086</v>
      </c>
      <c r="AF38" s="16">
        <f t="shared" si="35"/>
        <v>397347.56098224316</v>
      </c>
      <c r="AG38" s="16">
        <f t="shared" si="35"/>
        <v>395080.19585659937</v>
      </c>
      <c r="AH38" s="16">
        <f t="shared" si="35"/>
        <v>393156.40918894223</v>
      </c>
    </row>
    <row r="39" spans="4:34" ht="23.1" customHeight="1" x14ac:dyDescent="0.35">
      <c r="E39" s="23"/>
      <c r="H39" s="26"/>
      <c r="I39" s="26"/>
      <c r="J39" s="46"/>
      <c r="K39" s="46"/>
      <c r="L39" s="52"/>
      <c r="M39" s="18"/>
      <c r="N39" s="466"/>
      <c r="O39" s="25"/>
      <c r="P39" s="25"/>
      <c r="Q39" s="25"/>
      <c r="R39" s="25"/>
      <c r="S39" s="25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4:34" ht="17.100000000000001" customHeight="1" x14ac:dyDescent="0.2">
      <c r="E40" s="23"/>
      <c r="H40" s="26"/>
      <c r="I40" s="26"/>
      <c r="J40" s="46"/>
      <c r="K40" s="46"/>
      <c r="L40" s="52"/>
      <c r="M40" s="18"/>
      <c r="N40" s="463"/>
      <c r="O40" s="463"/>
      <c r="P40" s="463"/>
      <c r="Q40" s="463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4:34" ht="3" customHeight="1" x14ac:dyDescent="0.2">
      <c r="H41" s="26"/>
      <c r="I41" s="26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</row>
    <row r="42" spans="4:34" ht="11.25" x14ac:dyDescent="0.2">
      <c r="E42" s="15" t="str">
        <f>"Total "&amp;E4&amp;" Balances"</f>
        <v>Total Endowment Balances</v>
      </c>
      <c r="H42" s="26"/>
      <c r="I42" s="26"/>
      <c r="J42" s="19">
        <f t="shared" ref="J42:O42" si="36">J31+J38</f>
        <v>1200375</v>
      </c>
      <c r="K42" s="19">
        <f t="shared" si="36"/>
        <v>100000</v>
      </c>
      <c r="L42" s="19">
        <f t="shared" si="36"/>
        <v>200000</v>
      </c>
      <c r="M42" s="19">
        <f t="shared" si="36"/>
        <v>300000</v>
      </c>
      <c r="N42" s="19">
        <f t="shared" si="36"/>
        <v>400000</v>
      </c>
      <c r="O42" s="19">
        <f t="shared" si="36"/>
        <v>500000</v>
      </c>
      <c r="P42" s="19">
        <f t="shared" ref="P42:U42" si="37">P31+P38</f>
        <v>600000</v>
      </c>
      <c r="Q42" s="19">
        <f t="shared" si="37"/>
        <v>700000</v>
      </c>
      <c r="R42" s="19">
        <f t="shared" si="37"/>
        <v>800000</v>
      </c>
      <c r="S42" s="19">
        <f t="shared" si="37"/>
        <v>900000</v>
      </c>
      <c r="T42" s="19">
        <f t="shared" si="37"/>
        <v>949135.625</v>
      </c>
      <c r="U42" s="19">
        <f t="shared" si="37"/>
        <v>996915.12187499995</v>
      </c>
      <c r="V42" s="19">
        <f>V31+V38</f>
        <v>1043778.3693510417</v>
      </c>
      <c r="W42" s="19">
        <f>W31+W38</f>
        <v>1090177.5972496204</v>
      </c>
      <c r="X42" s="19">
        <f>X31+X38</f>
        <v>1136593.2898036262</v>
      </c>
      <c r="Y42" s="19">
        <f t="shared" ref="Y42:AH42" si="38">Y31+Y38</f>
        <v>1183511.8920331094</v>
      </c>
      <c r="Z42" s="19">
        <f t="shared" si="38"/>
        <v>1231003.4591466896</v>
      </c>
      <c r="AA42" s="19">
        <f t="shared" si="38"/>
        <v>1279124.2112348746</v>
      </c>
      <c r="AB42" s="19">
        <f t="shared" si="38"/>
        <v>1327919.6459177416</v>
      </c>
      <c r="AC42" s="19">
        <f t="shared" si="38"/>
        <v>1377427.8729182603</v>
      </c>
      <c r="AD42" s="19">
        <f t="shared" si="38"/>
        <v>1427683.1162116164</v>
      </c>
      <c r="AE42" s="19">
        <f t="shared" si="38"/>
        <v>1478719.326605927</v>
      </c>
      <c r="AF42" s="19">
        <f t="shared" si="38"/>
        <v>1530570.5001359801</v>
      </c>
      <c r="AG42" s="19">
        <f t="shared" si="38"/>
        <v>1583270.8893233771</v>
      </c>
      <c r="AH42" s="19">
        <f t="shared" si="38"/>
        <v>1636855.1295480374</v>
      </c>
    </row>
    <row r="43" spans="4:34" ht="12.75" customHeight="1" x14ac:dyDescent="0.2">
      <c r="E43" s="15"/>
      <c r="H43" s="26"/>
      <c r="I43" s="26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</row>
    <row r="44" spans="4:34" ht="11.25" x14ac:dyDescent="0.2">
      <c r="M44" s="12"/>
      <c r="O44" s="163"/>
    </row>
    <row r="45" spans="4:34" ht="11.25" x14ac:dyDescent="0.2">
      <c r="E45" s="15" t="str">
        <f>E4&amp;" Drivers"</f>
        <v>Endowment Drivers</v>
      </c>
      <c r="M45" s="10">
        <f>M9</f>
        <v>2009</v>
      </c>
      <c r="N45" s="10"/>
      <c r="O45" s="11">
        <f t="shared" ref="O45:X45" si="39">O9</f>
        <v>2011</v>
      </c>
      <c r="P45" s="11">
        <f t="shared" si="39"/>
        <v>2012</v>
      </c>
      <c r="Q45" s="11">
        <f t="shared" si="39"/>
        <v>2013</v>
      </c>
      <c r="R45" s="11">
        <f t="shared" si="39"/>
        <v>2014</v>
      </c>
      <c r="S45" s="11">
        <f t="shared" si="39"/>
        <v>2015</v>
      </c>
      <c r="T45" s="11">
        <f t="shared" si="39"/>
        <v>2016</v>
      </c>
      <c r="U45" s="11">
        <f t="shared" si="39"/>
        <v>2017</v>
      </c>
      <c r="V45" s="11">
        <f t="shared" si="39"/>
        <v>2018</v>
      </c>
      <c r="W45" s="11">
        <f t="shared" si="39"/>
        <v>2019</v>
      </c>
      <c r="X45" s="11">
        <f t="shared" si="39"/>
        <v>2020</v>
      </c>
      <c r="Y45" s="11">
        <f t="shared" ref="Y45:AH45" si="40">Y9</f>
        <v>2021</v>
      </c>
      <c r="Z45" s="11">
        <f t="shared" si="40"/>
        <v>2022</v>
      </c>
      <c r="AA45" s="11">
        <f t="shared" si="40"/>
        <v>2023</v>
      </c>
      <c r="AB45" s="11">
        <f t="shared" si="40"/>
        <v>2024</v>
      </c>
      <c r="AC45" s="11">
        <f t="shared" si="40"/>
        <v>2025</v>
      </c>
      <c r="AD45" s="11">
        <f t="shared" si="40"/>
        <v>2026</v>
      </c>
      <c r="AE45" s="11">
        <f t="shared" si="40"/>
        <v>2027</v>
      </c>
      <c r="AF45" s="11">
        <f t="shared" si="40"/>
        <v>2028</v>
      </c>
      <c r="AG45" s="11">
        <f t="shared" si="40"/>
        <v>2029</v>
      </c>
      <c r="AH45" s="11">
        <f t="shared" si="40"/>
        <v>2030</v>
      </c>
    </row>
    <row r="46" spans="4:34" ht="11.25" x14ac:dyDescent="0.2">
      <c r="N46" s="103"/>
      <c r="O46" s="159"/>
      <c r="P46" s="159"/>
      <c r="Q46" s="159"/>
      <c r="R46" s="159"/>
      <c r="S46" s="159"/>
    </row>
    <row r="47" spans="4:34" ht="11.25" x14ac:dyDescent="0.2">
      <c r="D47" s="58" t="s">
        <v>59</v>
      </c>
      <c r="E47" s="5" t="s">
        <v>57</v>
      </c>
      <c r="I47" s="120">
        <v>0.04</v>
      </c>
      <c r="J47" s="17"/>
      <c r="L47" s="116" t="s">
        <v>3</v>
      </c>
      <c r="M47" s="102"/>
      <c r="N47" s="103"/>
      <c r="O47" s="159"/>
      <c r="P47" s="159"/>
      <c r="Q47" s="159"/>
      <c r="R47" s="159"/>
      <c r="S47" s="159"/>
      <c r="T47" s="103"/>
      <c r="U47" s="103"/>
      <c r="V47" s="103"/>
      <c r="W47" s="103"/>
      <c r="X47" s="103"/>
    </row>
    <row r="48" spans="4:34" ht="11.25" x14ac:dyDescent="0.2">
      <c r="D48" s="58" t="s">
        <v>60</v>
      </c>
      <c r="E48" s="40" t="s">
        <v>58</v>
      </c>
      <c r="I48" s="120">
        <v>0.04</v>
      </c>
      <c r="J48" s="17"/>
      <c r="L48" s="116" t="s">
        <v>3</v>
      </c>
      <c r="M48" s="102"/>
      <c r="N48" s="117"/>
      <c r="O48" s="22"/>
      <c r="P48" s="22"/>
      <c r="Q48" s="22"/>
      <c r="R48" s="22"/>
      <c r="S48" s="117"/>
      <c r="T48" s="103"/>
      <c r="U48" s="103"/>
      <c r="V48" s="103"/>
      <c r="W48" s="103"/>
      <c r="X48" s="103"/>
    </row>
    <row r="49" spans="4:24" ht="11.25" x14ac:dyDescent="0.2">
      <c r="D49" s="58" t="s">
        <v>62</v>
      </c>
      <c r="E49" s="5" t="s">
        <v>76</v>
      </c>
      <c r="I49" s="121">
        <v>0.35</v>
      </c>
      <c r="J49" s="17"/>
      <c r="L49" s="116" t="s">
        <v>3</v>
      </c>
      <c r="M49" s="31"/>
      <c r="N49" s="12"/>
      <c r="O49" s="22"/>
      <c r="P49" s="22"/>
      <c r="Q49" s="22"/>
      <c r="R49" s="22"/>
      <c r="S49" s="12"/>
      <c r="T49" s="117"/>
      <c r="U49" s="117"/>
      <c r="V49" s="117"/>
      <c r="W49" s="117"/>
      <c r="X49" s="117"/>
    </row>
    <row r="50" spans="4:24" ht="11.25" x14ac:dyDescent="0.2">
      <c r="D50" s="58" t="s">
        <v>61</v>
      </c>
      <c r="E50" s="5" t="s">
        <v>75</v>
      </c>
      <c r="I50" s="121">
        <v>0.9</v>
      </c>
      <c r="J50" s="17"/>
      <c r="L50" s="116" t="s">
        <v>3</v>
      </c>
      <c r="M50" s="117"/>
      <c r="T50" s="117"/>
      <c r="U50" s="117"/>
      <c r="V50" s="117"/>
      <c r="W50" s="117"/>
      <c r="X50" s="117"/>
    </row>
    <row r="51" spans="4:24" ht="11.25" x14ac:dyDescent="0.2">
      <c r="E51" s="5" t="s">
        <v>161</v>
      </c>
      <c r="I51" s="124">
        <v>2.5000000000000001E-2</v>
      </c>
      <c r="M51" s="12"/>
      <c r="T51" s="12"/>
      <c r="U51" s="12"/>
      <c r="V51" s="12"/>
      <c r="W51" s="12"/>
      <c r="X51" s="12"/>
    </row>
  </sheetData>
  <pageMargins left="0.75" right="0.75" top="1" bottom="1" header="0.5" footer="0.5"/>
  <pageSetup paperSize="256" scale="8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9">
    <pageSetUpPr fitToPage="1"/>
  </sheetPr>
  <dimension ref="A1:O51"/>
  <sheetViews>
    <sheetView view="pageBreakPreview" zoomScale="80" zoomScaleNormal="80" zoomScaleSheetLayoutView="80" zoomScalePageLayoutView="80" workbookViewId="0">
      <selection activeCell="A13" sqref="A13"/>
    </sheetView>
  </sheetViews>
  <sheetFormatPr defaultColWidth="18.7109375" defaultRowHeight="12.75" customHeight="1" x14ac:dyDescent="0.2"/>
  <cols>
    <col min="1" max="1" width="12.42578125" style="420" customWidth="1"/>
    <col min="2" max="2" width="23.42578125" style="420" bestFit="1" customWidth="1"/>
    <col min="3" max="7" width="16.28515625" style="427" customWidth="1"/>
    <col min="8" max="8" width="15.140625" style="427" bestFit="1" customWidth="1"/>
    <col min="9" max="14" width="11.42578125" style="427" bestFit="1" customWidth="1"/>
    <col min="15" max="15" width="25" style="420" bestFit="1" customWidth="1"/>
    <col min="16" max="16384" width="18.7109375" style="420"/>
  </cols>
  <sheetData>
    <row r="1" spans="1:15" s="436" customFormat="1" ht="24" customHeight="1" x14ac:dyDescent="0.2">
      <c r="A1" s="436" t="s">
        <v>265</v>
      </c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</row>
    <row r="2" spans="1:15" x14ac:dyDescent="0.2">
      <c r="H2" s="439"/>
      <c r="I2" s="439"/>
      <c r="J2" s="439"/>
      <c r="K2" s="439"/>
      <c r="L2" s="439"/>
      <c r="M2" s="439"/>
      <c r="N2" s="439"/>
    </row>
    <row r="3" spans="1:15" x14ac:dyDescent="0.2">
      <c r="H3" s="439"/>
      <c r="I3" s="439"/>
      <c r="J3" s="439"/>
      <c r="K3" s="439"/>
      <c r="L3" s="439"/>
      <c r="M3" s="439"/>
      <c r="N3" s="439"/>
    </row>
    <row r="4" spans="1:15" x14ac:dyDescent="0.2">
      <c r="H4" s="439"/>
      <c r="I4" s="439"/>
      <c r="J4" s="439"/>
      <c r="K4" s="439"/>
      <c r="L4" s="439"/>
      <c r="M4" s="439"/>
      <c r="N4" s="439"/>
    </row>
    <row r="6" spans="1:15" x14ac:dyDescent="0.2">
      <c r="H6" s="420"/>
      <c r="I6" s="420"/>
      <c r="J6" s="420"/>
      <c r="K6" s="420"/>
      <c r="L6" s="420"/>
      <c r="M6" s="420"/>
      <c r="N6" s="420"/>
    </row>
    <row r="7" spans="1:15" x14ac:dyDescent="0.2">
      <c r="A7" s="429" t="s">
        <v>243</v>
      </c>
      <c r="C7" s="254">
        <v>2009</v>
      </c>
      <c r="D7" s="254">
        <v>2010</v>
      </c>
      <c r="E7" s="254">
        <v>2011</v>
      </c>
      <c r="F7" s="254">
        <v>2012</v>
      </c>
      <c r="G7" s="254">
        <v>2013</v>
      </c>
      <c r="H7" s="254">
        <v>2014</v>
      </c>
      <c r="I7" s="254">
        <v>2015</v>
      </c>
      <c r="J7" s="254">
        <v>2016</v>
      </c>
      <c r="K7" s="254">
        <v>2017</v>
      </c>
      <c r="L7" s="254">
        <v>2018</v>
      </c>
      <c r="M7" s="254">
        <v>2019</v>
      </c>
      <c r="N7" s="254">
        <v>2020</v>
      </c>
    </row>
    <row r="8" spans="1:15" x14ac:dyDescent="0.2">
      <c r="A8" s="422" t="s">
        <v>235</v>
      </c>
      <c r="B8" s="433" t="s">
        <v>252</v>
      </c>
      <c r="C8" s="430">
        <v>59573.498559999978</v>
      </c>
      <c r="D8" s="430">
        <v>142542</v>
      </c>
      <c r="E8" s="430">
        <v>220291.52192999981</v>
      </c>
      <c r="F8" s="430">
        <v>49124</v>
      </c>
      <c r="G8" s="430">
        <v>-43486.870000000112</v>
      </c>
      <c r="H8" s="430">
        <f>IF($A$8 = "Base Case",Scenarios!$K32,Scenarios!$L32)</f>
        <v>248000</v>
      </c>
      <c r="I8" s="430">
        <f>IF($A$8 = "Base Case",Scenarios!$K33,Scenarios!$L33)</f>
        <v>225000</v>
      </c>
      <c r="J8" s="430">
        <f ca="1">IF($A$8 = "Base Case",Scenarios!$K34,Scenarios!$L34)</f>
        <v>-424753.4687173015</v>
      </c>
      <c r="K8" s="430">
        <f ca="1">IF($A$8 = "Base Case",Scenarios!$K35,Scenarios!$L35)</f>
        <v>-438716.71070085862</v>
      </c>
      <c r="L8" s="430">
        <f ca="1">IF($A$8 = "Base Case",Scenarios!$K36,Scenarios!$L36)</f>
        <v>-454268.36330096371</v>
      </c>
      <c r="M8" s="430">
        <f ca="1">IF($A$8 = "Base Case",Scenarios!$K37,Scenarios!$L37)</f>
        <v>-471500.50182560121</v>
      </c>
      <c r="N8" s="430">
        <f ca="1">IF($A$8 = "Base Case",Scenarios!$K38,Scenarios!$L38)</f>
        <v>-490507.71717088285</v>
      </c>
    </row>
    <row r="9" spans="1:15" x14ac:dyDescent="0.2">
      <c r="B9" s="433" t="s">
        <v>253</v>
      </c>
      <c r="C9" s="430">
        <v>1867554.4051299999</v>
      </c>
      <c r="D9" s="430">
        <v>2043352</v>
      </c>
      <c r="E9" s="430">
        <v>2271628.5219299998</v>
      </c>
      <c r="F9" s="430">
        <v>2214375</v>
      </c>
      <c r="G9" s="430">
        <v>2283514</v>
      </c>
      <c r="H9" s="430">
        <f>'2. MD&amp;A'!R23</f>
        <v>1547000</v>
      </c>
      <c r="I9" s="430">
        <f>'2. MD&amp;A'!S23</f>
        <v>1546000</v>
      </c>
      <c r="J9" s="430">
        <f ca="1">'2. MD&amp;A'!T23</f>
        <v>1114525.5621999984</v>
      </c>
      <c r="K9" s="430">
        <f ca="1">'2. MD&amp;A'!U23</f>
        <v>1156462.1698365463</v>
      </c>
      <c r="L9" s="430">
        <f ca="1">'2. MD&amp;A'!V23</f>
        <v>1199407.7951023774</v>
      </c>
      <c r="M9" s="430">
        <f ca="1">'2. MD&amp;A'!W23</f>
        <v>1243411.5306341921</v>
      </c>
      <c r="N9" s="430">
        <f ca="1">'2. MD&amp;A'!X23</f>
        <v>1288528.5060226514</v>
      </c>
    </row>
    <row r="10" spans="1:15" x14ac:dyDescent="0.2">
      <c r="B10" s="433" t="s">
        <v>254</v>
      </c>
      <c r="C10" s="430">
        <v>1807980.9065699999</v>
      </c>
      <c r="D10" s="430">
        <v>1900810</v>
      </c>
      <c r="E10" s="430">
        <v>2051337</v>
      </c>
      <c r="F10" s="430">
        <v>2165251</v>
      </c>
      <c r="G10" s="430">
        <v>2327000.87</v>
      </c>
      <c r="H10" s="430">
        <f>'2. MD&amp;A'!R37</f>
        <v>1312800</v>
      </c>
      <c r="I10" s="430">
        <f>'2. MD&amp;A'!S37</f>
        <v>1311900</v>
      </c>
      <c r="J10" s="430">
        <f ca="1">'2. MD&amp;A'!T37</f>
        <v>1529254.0309172999</v>
      </c>
      <c r="K10" s="430">
        <f ca="1">'2. MD&amp;A'!U37</f>
        <v>1584228.2555374049</v>
      </c>
      <c r="L10" s="430">
        <f ca="1">'2. MD&amp;A'!V37</f>
        <v>1641799.2677783412</v>
      </c>
      <c r="M10" s="430">
        <f ca="1">'2. MD&amp;A'!W37</f>
        <v>1702108.2195691683</v>
      </c>
      <c r="N10" s="430">
        <f ca="1">'2. MD&amp;A'!X37</f>
        <v>1765304.8149806436</v>
      </c>
    </row>
    <row r="11" spans="1:15" x14ac:dyDescent="0.2">
      <c r="B11" s="427"/>
      <c r="H11" s="426"/>
      <c r="I11" s="426"/>
      <c r="J11" s="426"/>
      <c r="K11" s="426"/>
      <c r="L11" s="426"/>
      <c r="M11" s="426"/>
      <c r="N11" s="426"/>
    </row>
    <row r="12" spans="1:15" x14ac:dyDescent="0.2">
      <c r="B12" s="427"/>
      <c r="C12" s="431"/>
      <c r="D12" s="431"/>
      <c r="E12" s="431"/>
      <c r="F12" s="431"/>
      <c r="G12" s="431"/>
      <c r="H12" s="431">
        <f>H13/H9</f>
        <v>0</v>
      </c>
      <c r="I12" s="431">
        <f t="shared" ref="I12:N12" si="0">I13/I9</f>
        <v>0</v>
      </c>
      <c r="J12" s="431">
        <f t="shared" ca="1" si="0"/>
        <v>1.6978491297290978E-2</v>
      </c>
      <c r="K12" s="431">
        <f t="shared" ca="1" si="0"/>
        <v>2.3985846018514771E-2</v>
      </c>
      <c r="L12" s="431">
        <f t="shared" ca="1" si="0"/>
        <v>2.9361849154451738E-2</v>
      </c>
      <c r="M12" s="431">
        <f t="shared" ca="1" si="0"/>
        <v>3.3905114656300764E-2</v>
      </c>
      <c r="N12" s="431">
        <f t="shared" ca="1" si="0"/>
        <v>3.7927194393847868E-2</v>
      </c>
    </row>
    <row r="13" spans="1:15" x14ac:dyDescent="0.2">
      <c r="A13" s="429" t="s">
        <v>264</v>
      </c>
      <c r="B13" s="433" t="s">
        <v>255</v>
      </c>
      <c r="C13" s="430"/>
      <c r="D13" s="430"/>
      <c r="E13" s="430"/>
      <c r="F13" s="430"/>
      <c r="G13" s="430"/>
      <c r="H13" s="430"/>
      <c r="I13" s="430"/>
      <c r="J13" s="430">
        <f ca="1">SQRT(SUMPRODUCT(J15:J16,J15:J16))</f>
        <v>18922.962558421008</v>
      </c>
      <c r="K13" s="430">
        <f ca="1">SQRT(SUMPRODUCT(K15:K16,K15:K16))</f>
        <v>27738.723531936877</v>
      </c>
      <c r="L13" s="430">
        <f ca="1">SQRT(SUMPRODUCT(L15:L16,L15:L16))</f>
        <v>35216.830754469564</v>
      </c>
      <c r="M13" s="430">
        <f ca="1">SQRT(SUMPRODUCT(M15:M16,M15:M16))</f>
        <v>42158.010511118708</v>
      </c>
      <c r="N13" s="430">
        <f ca="1">SQRT(SUMPRODUCT(N15:N16,N15:N16))</f>
        <v>48870.271129935478</v>
      </c>
      <c r="O13" s="422"/>
    </row>
    <row r="14" spans="1:15" hidden="1" x14ac:dyDescent="0.2">
      <c r="A14" s="420">
        <v>0.03</v>
      </c>
      <c r="B14" s="433" t="s">
        <v>256</v>
      </c>
      <c r="C14" s="430"/>
      <c r="D14" s="430"/>
      <c r="E14" s="430"/>
      <c r="F14" s="430"/>
      <c r="G14" s="430"/>
      <c r="H14" s="430">
        <f t="shared" ref="H14:N14" si="1">$A14*H9</f>
        <v>46410</v>
      </c>
      <c r="I14" s="430"/>
      <c r="J14" s="430">
        <f t="shared" ca="1" si="1"/>
        <v>33435.766865999954</v>
      </c>
      <c r="K14" s="430">
        <f t="shared" ca="1" si="1"/>
        <v>34693.865095096386</v>
      </c>
      <c r="L14" s="430">
        <f t="shared" ca="1" si="1"/>
        <v>35982.233853071324</v>
      </c>
      <c r="M14" s="430">
        <f t="shared" ca="1" si="1"/>
        <v>37302.345919025764</v>
      </c>
      <c r="N14" s="430">
        <f t="shared" ca="1" si="1"/>
        <v>38655.855180679544</v>
      </c>
      <c r="O14" s="422"/>
    </row>
    <row r="15" spans="1:15" x14ac:dyDescent="0.2">
      <c r="A15" s="435">
        <v>0.01</v>
      </c>
      <c r="B15" s="433" t="s">
        <v>257</v>
      </c>
      <c r="C15" s="430"/>
      <c r="D15" s="430"/>
      <c r="E15" s="430"/>
      <c r="F15" s="430"/>
      <c r="G15" s="430"/>
      <c r="H15" s="430"/>
      <c r="I15" s="430"/>
      <c r="J15" s="430">
        <f t="shared" ref="J15:N16" ca="1" si="2">$A15*SQRT(J$7-$I$7)*J9</f>
        <v>11145.255621999984</v>
      </c>
      <c r="K15" s="430">
        <f t="shared" ca="1" si="2"/>
        <v>16354.844849542616</v>
      </c>
      <c r="L15" s="430">
        <f t="shared" ca="1" si="2"/>
        <v>20774.352401114793</v>
      </c>
      <c r="M15" s="430">
        <f t="shared" ca="1" si="2"/>
        <v>24868.230612683841</v>
      </c>
      <c r="N15" s="430">
        <f t="shared" ca="1" si="2"/>
        <v>28812.37330412896</v>
      </c>
    </row>
    <row r="16" spans="1:15" x14ac:dyDescent="0.2">
      <c r="A16" s="435">
        <v>0.01</v>
      </c>
      <c r="B16" s="433" t="s">
        <v>258</v>
      </c>
      <c r="C16" s="430"/>
      <c r="D16" s="430"/>
      <c r="E16" s="430"/>
      <c r="F16" s="430"/>
      <c r="G16" s="430"/>
      <c r="H16" s="430"/>
      <c r="I16" s="430"/>
      <c r="J16" s="430">
        <f t="shared" ca="1" si="2"/>
        <v>15292.540309172999</v>
      </c>
      <c r="K16" s="430">
        <f t="shared" ca="1" si="2"/>
        <v>22404.370848756676</v>
      </c>
      <c r="L16" s="430">
        <f t="shared" ca="1" si="2"/>
        <v>28436.797476214673</v>
      </c>
      <c r="M16" s="430">
        <f t="shared" ca="1" si="2"/>
        <v>34042.164391383369</v>
      </c>
      <c r="N16" s="430">
        <f t="shared" ca="1" si="2"/>
        <v>39473.415673044081</v>
      </c>
    </row>
    <row r="17" spans="1:15" x14ac:dyDescent="0.2">
      <c r="H17" s="426"/>
      <c r="I17" s="426"/>
      <c r="J17" s="426"/>
      <c r="K17" s="426"/>
      <c r="L17" s="426"/>
      <c r="M17" s="426"/>
      <c r="N17" s="426"/>
    </row>
    <row r="18" spans="1:15" x14ac:dyDescent="0.2">
      <c r="A18" s="429" t="s">
        <v>259</v>
      </c>
      <c r="B18" s="432">
        <v>0.1</v>
      </c>
      <c r="C18" s="430">
        <f t="shared" ref="C18:G22" si="3">NORMSINV((1-$B18)/2)*C$13</f>
        <v>0</v>
      </c>
      <c r="D18" s="430">
        <f t="shared" si="3"/>
        <v>0</v>
      </c>
      <c r="E18" s="430">
        <f t="shared" si="3"/>
        <v>0</v>
      </c>
      <c r="F18" s="430">
        <f t="shared" si="3"/>
        <v>0</v>
      </c>
      <c r="G18" s="430">
        <f t="shared" si="3"/>
        <v>0</v>
      </c>
      <c r="H18" s="430">
        <f t="shared" ref="H18:N18" si="4">NORMSINV((1-$B18)/2)*H$13</f>
        <v>0</v>
      </c>
      <c r="I18" s="430">
        <f t="shared" si="4"/>
        <v>0</v>
      </c>
      <c r="J18" s="430">
        <f t="shared" ca="1" si="4"/>
        <v>-2377.884961579321</v>
      </c>
      <c r="K18" s="430">
        <f t="shared" ca="1" si="4"/>
        <v>-3485.6853590637238</v>
      </c>
      <c r="L18" s="430">
        <f t="shared" ca="1" si="4"/>
        <v>-4425.3943845738377</v>
      </c>
      <c r="M18" s="430">
        <f t="shared" ca="1" si="4"/>
        <v>-5297.6323815575442</v>
      </c>
      <c r="N18" s="430">
        <f t="shared" ca="1" si="4"/>
        <v>-6141.1040913603319</v>
      </c>
      <c r="O18" s="423" t="s">
        <v>263</v>
      </c>
    </row>
    <row r="19" spans="1:15" x14ac:dyDescent="0.2">
      <c r="B19" s="432">
        <v>0.25</v>
      </c>
      <c r="C19" s="430">
        <f t="shared" si="3"/>
        <v>0</v>
      </c>
      <c r="D19" s="430">
        <f t="shared" si="3"/>
        <v>0</v>
      </c>
      <c r="E19" s="430">
        <f t="shared" si="3"/>
        <v>0</v>
      </c>
      <c r="F19" s="430">
        <f t="shared" si="3"/>
        <v>0</v>
      </c>
      <c r="G19" s="430">
        <f t="shared" si="3"/>
        <v>0</v>
      </c>
      <c r="H19" s="430">
        <f t="shared" ref="H19:N22" si="5">NORMSINV((1-$B19)/2)*H$13</f>
        <v>0</v>
      </c>
      <c r="I19" s="430">
        <f t="shared" si="5"/>
        <v>0</v>
      </c>
      <c r="J19" s="430">
        <f t="shared" ca="1" si="5"/>
        <v>-6029.6007539369557</v>
      </c>
      <c r="K19" s="430">
        <f t="shared" ca="1" si="5"/>
        <v>-8838.6492234000143</v>
      </c>
      <c r="L19" s="430">
        <f t="shared" ca="1" si="5"/>
        <v>-11221.468552445229</v>
      </c>
      <c r="M19" s="430">
        <f t="shared" ca="1" si="5"/>
        <v>-13433.20165526631</v>
      </c>
      <c r="N19" s="430">
        <f t="shared" ca="1" si="5"/>
        <v>-15571.992109609208</v>
      </c>
      <c r="O19" s="421"/>
    </row>
    <row r="20" spans="1:15" x14ac:dyDescent="0.2">
      <c r="B20" s="432">
        <v>0.5</v>
      </c>
      <c r="C20" s="430">
        <f t="shared" si="3"/>
        <v>0</v>
      </c>
      <c r="D20" s="430">
        <f t="shared" si="3"/>
        <v>0</v>
      </c>
      <c r="E20" s="430">
        <f t="shared" si="3"/>
        <v>0</v>
      </c>
      <c r="F20" s="430">
        <f t="shared" si="3"/>
        <v>0</v>
      </c>
      <c r="G20" s="430">
        <f t="shared" si="3"/>
        <v>0</v>
      </c>
      <c r="H20" s="430">
        <f t="shared" si="5"/>
        <v>0</v>
      </c>
      <c r="I20" s="430">
        <f t="shared" si="5"/>
        <v>0</v>
      </c>
      <c r="J20" s="430">
        <f t="shared" ca="1" si="5"/>
        <v>-12763.344288999197</v>
      </c>
      <c r="K20" s="430">
        <f t="shared" ca="1" si="5"/>
        <v>-18709.484705814284</v>
      </c>
      <c r="L20" s="430">
        <f t="shared" ca="1" si="5"/>
        <v>-23753.39137827987</v>
      </c>
      <c r="M20" s="430">
        <f t="shared" ca="1" si="5"/>
        <v>-28435.145978408254</v>
      </c>
      <c r="N20" s="430">
        <f t="shared" ca="1" si="5"/>
        <v>-32962.496966444975</v>
      </c>
      <c r="O20" s="421"/>
    </row>
    <row r="21" spans="1:15" x14ac:dyDescent="0.2">
      <c r="B21" s="432">
        <v>0.75</v>
      </c>
      <c r="C21" s="430">
        <f t="shared" si="3"/>
        <v>0</v>
      </c>
      <c r="D21" s="430">
        <f t="shared" si="3"/>
        <v>0</v>
      </c>
      <c r="E21" s="430">
        <f t="shared" si="3"/>
        <v>0</v>
      </c>
      <c r="F21" s="430">
        <f t="shared" si="3"/>
        <v>0</v>
      </c>
      <c r="G21" s="430">
        <f t="shared" si="3"/>
        <v>0</v>
      </c>
      <c r="H21" s="430">
        <f t="shared" si="5"/>
        <v>0</v>
      </c>
      <c r="I21" s="430">
        <f t="shared" si="5"/>
        <v>0</v>
      </c>
      <c r="J21" s="430">
        <f t="shared" ca="1" si="5"/>
        <v>-21768.018253958013</v>
      </c>
      <c r="K21" s="430">
        <f t="shared" ca="1" si="5"/>
        <v>-31909.223427384986</v>
      </c>
      <c r="L21" s="430">
        <f t="shared" ca="1" si="5"/>
        <v>-40511.659437210816</v>
      </c>
      <c r="M21" s="430">
        <f t="shared" ca="1" si="5"/>
        <v>-48496.441269350653</v>
      </c>
      <c r="N21" s="430">
        <f t="shared" ca="1" si="5"/>
        <v>-56217.886113128807</v>
      </c>
      <c r="O21" s="421"/>
    </row>
    <row r="22" spans="1:15" x14ac:dyDescent="0.2">
      <c r="B22" s="432">
        <v>0.9</v>
      </c>
      <c r="C22" s="430">
        <f t="shared" si="3"/>
        <v>0</v>
      </c>
      <c r="D22" s="430">
        <f t="shared" si="3"/>
        <v>0</v>
      </c>
      <c r="E22" s="430">
        <f t="shared" si="3"/>
        <v>0</v>
      </c>
      <c r="F22" s="430">
        <f t="shared" si="3"/>
        <v>0</v>
      </c>
      <c r="G22" s="430">
        <f t="shared" si="3"/>
        <v>0</v>
      </c>
      <c r="H22" s="430">
        <f t="shared" si="5"/>
        <v>0</v>
      </c>
      <c r="I22" s="430">
        <f t="shared" si="5"/>
        <v>0</v>
      </c>
      <c r="J22" s="430">
        <f t="shared" ca="1" si="5"/>
        <v>-31125.503596885712</v>
      </c>
      <c r="K22" s="430">
        <f t="shared" ca="1" si="5"/>
        <v>-45626.140008510534</v>
      </c>
      <c r="L22" s="430">
        <f t="shared" ca="1" si="5"/>
        <v>-57926.531796225427</v>
      </c>
      <c r="M22" s="430">
        <f t="shared" ca="1" si="5"/>
        <v>-69343.756494271918</v>
      </c>
      <c r="N22" s="430">
        <f t="shared" ca="1" si="5"/>
        <v>-80384.442718176215</v>
      </c>
      <c r="O22" s="421"/>
    </row>
    <row r="24" spans="1:15" x14ac:dyDescent="0.2">
      <c r="C24" s="254">
        <f t="shared" ref="C24:H24" si="6">C7</f>
        <v>2009</v>
      </c>
      <c r="D24" s="254">
        <f t="shared" si="6"/>
        <v>2010</v>
      </c>
      <c r="E24" s="254">
        <f t="shared" si="6"/>
        <v>2011</v>
      </c>
      <c r="F24" s="254">
        <f t="shared" si="6"/>
        <v>2012</v>
      </c>
      <c r="G24" s="254">
        <f t="shared" si="6"/>
        <v>2013</v>
      </c>
      <c r="H24" s="254">
        <f t="shared" si="6"/>
        <v>2014</v>
      </c>
      <c r="I24" s="254">
        <f t="shared" ref="I24:N24" si="7">I7</f>
        <v>2015</v>
      </c>
      <c r="J24" s="254">
        <f t="shared" si="7"/>
        <v>2016</v>
      </c>
      <c r="K24" s="254">
        <f t="shared" si="7"/>
        <v>2017</v>
      </c>
      <c r="L24" s="254">
        <f t="shared" si="7"/>
        <v>2018</v>
      </c>
      <c r="M24" s="254">
        <f t="shared" si="7"/>
        <v>2019</v>
      </c>
      <c r="N24" s="254">
        <f t="shared" si="7"/>
        <v>2020</v>
      </c>
    </row>
    <row r="25" spans="1:15" x14ac:dyDescent="0.2">
      <c r="A25" s="429" t="s">
        <v>260</v>
      </c>
      <c r="B25" s="432">
        <v>0.1</v>
      </c>
      <c r="C25" s="430">
        <f t="shared" ref="C25:N25" si="8">C$8+C18</f>
        <v>59573.498559999978</v>
      </c>
      <c r="D25" s="430">
        <f t="shared" si="8"/>
        <v>142542</v>
      </c>
      <c r="E25" s="430">
        <f t="shared" si="8"/>
        <v>220291.52192999981</v>
      </c>
      <c r="F25" s="430">
        <f t="shared" si="8"/>
        <v>49124</v>
      </c>
      <c r="G25" s="430">
        <f t="shared" si="8"/>
        <v>-43486.870000000112</v>
      </c>
      <c r="H25" s="430">
        <f t="shared" si="8"/>
        <v>248000</v>
      </c>
      <c r="I25" s="430">
        <f t="shared" si="8"/>
        <v>225000</v>
      </c>
      <c r="J25" s="430">
        <f t="shared" ca="1" si="8"/>
        <v>-427131.35367888084</v>
      </c>
      <c r="K25" s="430">
        <f t="shared" ca="1" si="8"/>
        <v>-442202.39605992235</v>
      </c>
      <c r="L25" s="430">
        <f t="shared" ca="1" si="8"/>
        <v>-458693.75768553757</v>
      </c>
      <c r="M25" s="430">
        <f t="shared" ca="1" si="8"/>
        <v>-476798.13420715876</v>
      </c>
      <c r="N25" s="430">
        <f t="shared" ca="1" si="8"/>
        <v>-496648.8212622432</v>
      </c>
    </row>
    <row r="26" spans="1:15" x14ac:dyDescent="0.2">
      <c r="A26" s="429"/>
      <c r="B26" s="432">
        <v>0.25</v>
      </c>
      <c r="C26" s="430">
        <f t="shared" ref="C26:G29" si="9">C$8+C19</f>
        <v>59573.498559999978</v>
      </c>
      <c r="D26" s="430">
        <f t="shared" si="9"/>
        <v>142542</v>
      </c>
      <c r="E26" s="430">
        <f t="shared" si="9"/>
        <v>220291.52192999981</v>
      </c>
      <c r="F26" s="430">
        <f t="shared" si="9"/>
        <v>49124</v>
      </c>
      <c r="G26" s="430">
        <f t="shared" si="9"/>
        <v>-43486.870000000112</v>
      </c>
      <c r="H26" s="430">
        <f t="shared" ref="H26:M29" si="10">H$8+H19</f>
        <v>248000</v>
      </c>
      <c r="I26" s="430">
        <f t="shared" si="10"/>
        <v>225000</v>
      </c>
      <c r="J26" s="430">
        <f t="shared" ca="1" si="10"/>
        <v>-430783.06947123847</v>
      </c>
      <c r="K26" s="430">
        <f t="shared" ca="1" si="10"/>
        <v>-447555.35992425861</v>
      </c>
      <c r="L26" s="430">
        <f t="shared" ca="1" si="10"/>
        <v>-465489.83185340895</v>
      </c>
      <c r="M26" s="430">
        <f t="shared" ca="1" si="10"/>
        <v>-484933.70348086749</v>
      </c>
      <c r="N26" s="430">
        <f ca="1">N$8+N19</f>
        <v>-506079.70928049204</v>
      </c>
    </row>
    <row r="27" spans="1:15" x14ac:dyDescent="0.2">
      <c r="B27" s="432">
        <v>0.5</v>
      </c>
      <c r="C27" s="430">
        <f t="shared" si="9"/>
        <v>59573.498559999978</v>
      </c>
      <c r="D27" s="430">
        <f t="shared" si="9"/>
        <v>142542</v>
      </c>
      <c r="E27" s="430">
        <f t="shared" si="9"/>
        <v>220291.52192999981</v>
      </c>
      <c r="F27" s="430">
        <f t="shared" si="9"/>
        <v>49124</v>
      </c>
      <c r="G27" s="430">
        <f t="shared" si="9"/>
        <v>-43486.870000000112</v>
      </c>
      <c r="H27" s="430">
        <f t="shared" si="10"/>
        <v>248000</v>
      </c>
      <c r="I27" s="430">
        <f t="shared" si="10"/>
        <v>225000</v>
      </c>
      <c r="J27" s="430">
        <f t="shared" ca="1" si="10"/>
        <v>-437516.81300630071</v>
      </c>
      <c r="K27" s="430">
        <f t="shared" ca="1" si="10"/>
        <v>-457426.19540667289</v>
      </c>
      <c r="L27" s="430">
        <f t="shared" ca="1" si="10"/>
        <v>-478021.7546792436</v>
      </c>
      <c r="M27" s="430">
        <f t="shared" ca="1" si="10"/>
        <v>-499935.6478040095</v>
      </c>
      <c r="N27" s="430">
        <f ca="1">N$8+N20</f>
        <v>-523470.21413732786</v>
      </c>
    </row>
    <row r="28" spans="1:15" x14ac:dyDescent="0.2">
      <c r="B28" s="432">
        <v>0.75</v>
      </c>
      <c r="C28" s="430">
        <f t="shared" si="9"/>
        <v>59573.498559999978</v>
      </c>
      <c r="D28" s="430">
        <f t="shared" si="9"/>
        <v>142542</v>
      </c>
      <c r="E28" s="430">
        <f t="shared" si="9"/>
        <v>220291.52192999981</v>
      </c>
      <c r="F28" s="430">
        <f t="shared" si="9"/>
        <v>49124</v>
      </c>
      <c r="G28" s="430">
        <f t="shared" si="9"/>
        <v>-43486.870000000112</v>
      </c>
      <c r="H28" s="430">
        <f t="shared" si="10"/>
        <v>248000</v>
      </c>
      <c r="I28" s="430">
        <f t="shared" si="10"/>
        <v>225000</v>
      </c>
      <c r="J28" s="430">
        <f t="shared" ca="1" si="10"/>
        <v>-446521.48697125952</v>
      </c>
      <c r="K28" s="430">
        <f t="shared" ca="1" si="10"/>
        <v>-470625.93412824359</v>
      </c>
      <c r="L28" s="430">
        <f t="shared" ca="1" si="10"/>
        <v>-494780.02273817454</v>
      </c>
      <c r="M28" s="430">
        <f t="shared" ca="1" si="10"/>
        <v>-519996.94309495186</v>
      </c>
      <c r="N28" s="430">
        <f ca="1">N$8+N21</f>
        <v>-546725.60328401171</v>
      </c>
    </row>
    <row r="29" spans="1:15" x14ac:dyDescent="0.2">
      <c r="B29" s="432">
        <v>0.9</v>
      </c>
      <c r="C29" s="430">
        <f t="shared" si="9"/>
        <v>59573.498559999978</v>
      </c>
      <c r="D29" s="430">
        <f t="shared" si="9"/>
        <v>142542</v>
      </c>
      <c r="E29" s="430">
        <f t="shared" si="9"/>
        <v>220291.52192999981</v>
      </c>
      <c r="F29" s="430">
        <f t="shared" si="9"/>
        <v>49124</v>
      </c>
      <c r="G29" s="430">
        <f t="shared" si="9"/>
        <v>-43486.870000000112</v>
      </c>
      <c r="H29" s="430">
        <f t="shared" si="10"/>
        <v>248000</v>
      </c>
      <c r="I29" s="430">
        <f t="shared" si="10"/>
        <v>225000</v>
      </c>
      <c r="J29" s="430">
        <f t="shared" ca="1" si="10"/>
        <v>-455878.97231418721</v>
      </c>
      <c r="K29" s="430">
        <f t="shared" ca="1" si="10"/>
        <v>-484342.85070936917</v>
      </c>
      <c r="L29" s="430">
        <f t="shared" ca="1" si="10"/>
        <v>-512194.89509718912</v>
      </c>
      <c r="M29" s="430">
        <f t="shared" ca="1" si="10"/>
        <v>-540844.25831987313</v>
      </c>
      <c r="N29" s="430">
        <f ca="1">N$8+N22</f>
        <v>-570892.15988905902</v>
      </c>
    </row>
    <row r="30" spans="1:15" x14ac:dyDescent="0.2">
      <c r="B30" s="427"/>
    </row>
    <row r="31" spans="1:15" x14ac:dyDescent="0.2">
      <c r="A31" s="429" t="s">
        <v>261</v>
      </c>
      <c r="B31" s="432">
        <v>0.1</v>
      </c>
      <c r="C31" s="430">
        <f t="shared" ref="C31:N31" si="11">C$8-C18</f>
        <v>59573.498559999978</v>
      </c>
      <c r="D31" s="430">
        <f t="shared" si="11"/>
        <v>142542</v>
      </c>
      <c r="E31" s="430">
        <f t="shared" si="11"/>
        <v>220291.52192999981</v>
      </c>
      <c r="F31" s="430">
        <f t="shared" si="11"/>
        <v>49124</v>
      </c>
      <c r="G31" s="430">
        <f t="shared" si="11"/>
        <v>-43486.870000000112</v>
      </c>
      <c r="H31" s="430">
        <f t="shared" si="11"/>
        <v>248000</v>
      </c>
      <c r="I31" s="430">
        <f t="shared" si="11"/>
        <v>225000</v>
      </c>
      <c r="J31" s="430">
        <f t="shared" ca="1" si="11"/>
        <v>-422375.58375572215</v>
      </c>
      <c r="K31" s="430">
        <f t="shared" ca="1" si="11"/>
        <v>-435231.02534179488</v>
      </c>
      <c r="L31" s="430">
        <f t="shared" ca="1" si="11"/>
        <v>-449842.96891638986</v>
      </c>
      <c r="M31" s="430">
        <f t="shared" ca="1" si="11"/>
        <v>-466202.86944404367</v>
      </c>
      <c r="N31" s="430">
        <f t="shared" ca="1" si="11"/>
        <v>-484366.6130795225</v>
      </c>
    </row>
    <row r="32" spans="1:15" x14ac:dyDescent="0.2">
      <c r="B32" s="432">
        <v>0.25</v>
      </c>
      <c r="C32" s="430">
        <f t="shared" ref="C32:G35" si="12">C$8-C19</f>
        <v>59573.498559999978</v>
      </c>
      <c r="D32" s="430">
        <f t="shared" si="12"/>
        <v>142542</v>
      </c>
      <c r="E32" s="430">
        <f t="shared" si="12"/>
        <v>220291.52192999981</v>
      </c>
      <c r="F32" s="430">
        <f t="shared" si="12"/>
        <v>49124</v>
      </c>
      <c r="G32" s="430">
        <f t="shared" si="12"/>
        <v>-43486.870000000112</v>
      </c>
      <c r="H32" s="430">
        <f t="shared" ref="H32:M35" si="13">H$8-H19</f>
        <v>248000</v>
      </c>
      <c r="I32" s="430">
        <f t="shared" si="13"/>
        <v>225000</v>
      </c>
      <c r="J32" s="430">
        <f t="shared" ca="1" si="13"/>
        <v>-418723.86796336452</v>
      </c>
      <c r="K32" s="430">
        <f t="shared" ca="1" si="13"/>
        <v>-429878.06147745863</v>
      </c>
      <c r="L32" s="430">
        <f t="shared" ca="1" si="13"/>
        <v>-443046.89474851848</v>
      </c>
      <c r="M32" s="430">
        <f t="shared" ca="1" si="13"/>
        <v>-458067.30017033493</v>
      </c>
      <c r="N32" s="430">
        <f ca="1">N$8-N19</f>
        <v>-474935.72506127367</v>
      </c>
    </row>
    <row r="33" spans="1:15" x14ac:dyDescent="0.2">
      <c r="B33" s="432">
        <v>0.5</v>
      </c>
      <c r="C33" s="430">
        <f t="shared" si="12"/>
        <v>59573.498559999978</v>
      </c>
      <c r="D33" s="430">
        <f t="shared" si="12"/>
        <v>142542</v>
      </c>
      <c r="E33" s="430">
        <f t="shared" si="12"/>
        <v>220291.52192999981</v>
      </c>
      <c r="F33" s="430">
        <f t="shared" si="12"/>
        <v>49124</v>
      </c>
      <c r="G33" s="430">
        <f t="shared" si="12"/>
        <v>-43486.870000000112</v>
      </c>
      <c r="H33" s="430">
        <f t="shared" si="13"/>
        <v>248000</v>
      </c>
      <c r="I33" s="430">
        <f t="shared" si="13"/>
        <v>225000</v>
      </c>
      <c r="J33" s="430">
        <f t="shared" ca="1" si="13"/>
        <v>-411990.12442830228</v>
      </c>
      <c r="K33" s="430">
        <f t="shared" ca="1" si="13"/>
        <v>-420007.22599504434</v>
      </c>
      <c r="L33" s="430">
        <f t="shared" ca="1" si="13"/>
        <v>-430514.97192268382</v>
      </c>
      <c r="M33" s="430">
        <f t="shared" ca="1" si="13"/>
        <v>-443065.35584719293</v>
      </c>
      <c r="N33" s="430">
        <f ca="1">N$8-N20</f>
        <v>-457545.22020443785</v>
      </c>
    </row>
    <row r="34" spans="1:15" x14ac:dyDescent="0.2">
      <c r="B34" s="432">
        <v>0.75</v>
      </c>
      <c r="C34" s="430">
        <f t="shared" si="12"/>
        <v>59573.498559999978</v>
      </c>
      <c r="D34" s="430">
        <f t="shared" si="12"/>
        <v>142542</v>
      </c>
      <c r="E34" s="430">
        <f t="shared" si="12"/>
        <v>220291.52192999981</v>
      </c>
      <c r="F34" s="430">
        <f t="shared" si="12"/>
        <v>49124</v>
      </c>
      <c r="G34" s="430">
        <f t="shared" si="12"/>
        <v>-43486.870000000112</v>
      </c>
      <c r="H34" s="430">
        <f t="shared" si="13"/>
        <v>248000</v>
      </c>
      <c r="I34" s="430">
        <f t="shared" si="13"/>
        <v>225000</v>
      </c>
      <c r="J34" s="430">
        <f t="shared" ca="1" si="13"/>
        <v>-402985.45046334347</v>
      </c>
      <c r="K34" s="430">
        <f t="shared" ca="1" si="13"/>
        <v>-406807.48727347364</v>
      </c>
      <c r="L34" s="430">
        <f t="shared" ca="1" si="13"/>
        <v>-413756.70386375289</v>
      </c>
      <c r="M34" s="430">
        <f t="shared" ca="1" si="13"/>
        <v>-423004.06055625057</v>
      </c>
      <c r="N34" s="430">
        <f ca="1">N$8-N21</f>
        <v>-434289.83105775405</v>
      </c>
    </row>
    <row r="35" spans="1:15" x14ac:dyDescent="0.2">
      <c r="B35" s="432">
        <v>0.9</v>
      </c>
      <c r="C35" s="430">
        <f t="shared" si="12"/>
        <v>59573.498559999978</v>
      </c>
      <c r="D35" s="430">
        <f t="shared" si="12"/>
        <v>142542</v>
      </c>
      <c r="E35" s="430">
        <f t="shared" si="12"/>
        <v>220291.52192999981</v>
      </c>
      <c r="F35" s="430">
        <f t="shared" si="12"/>
        <v>49124</v>
      </c>
      <c r="G35" s="430">
        <f t="shared" si="12"/>
        <v>-43486.870000000112</v>
      </c>
      <c r="H35" s="430">
        <f>H$8-H22</f>
        <v>248000</v>
      </c>
      <c r="I35" s="430">
        <f t="shared" si="13"/>
        <v>225000</v>
      </c>
      <c r="J35" s="430">
        <f t="shared" ca="1" si="13"/>
        <v>-393627.96512041579</v>
      </c>
      <c r="K35" s="430">
        <f t="shared" ca="1" si="13"/>
        <v>-393090.57069234806</v>
      </c>
      <c r="L35" s="430">
        <f t="shared" ca="1" si="13"/>
        <v>-396341.83150473831</v>
      </c>
      <c r="M35" s="430">
        <f t="shared" ca="1" si="13"/>
        <v>-402156.74533132929</v>
      </c>
      <c r="N35" s="430">
        <f ca="1">N$8-N22</f>
        <v>-410123.27445270662</v>
      </c>
    </row>
    <row r="36" spans="1:15" x14ac:dyDescent="0.2">
      <c r="B36" s="438"/>
      <c r="C36" s="426"/>
      <c r="D36" s="426"/>
      <c r="E36" s="426"/>
      <c r="F36" s="426"/>
      <c r="G36" s="426"/>
      <c r="H36" s="426"/>
      <c r="I36" s="426"/>
      <c r="J36" s="426"/>
      <c r="K36" s="426"/>
      <c r="L36" s="426"/>
      <c r="M36" s="426"/>
      <c r="N36" s="426"/>
    </row>
    <row r="37" spans="1:15" x14ac:dyDescent="0.2">
      <c r="A37" s="429" t="s">
        <v>267</v>
      </c>
    </row>
    <row r="38" spans="1:15" x14ac:dyDescent="0.2">
      <c r="A38" s="420" t="s">
        <v>266</v>
      </c>
      <c r="B38" s="420" t="str">
        <f>IF($A$38="Surplus","P(&gt;=0)","P(&lt;=0)")</f>
        <v>P(&gt;=0)</v>
      </c>
      <c r="C38" s="428"/>
      <c r="H38" s="428"/>
      <c r="I38" s="428" t="e">
        <f t="shared" ref="I38:N38" si="14">IF($A$38="Surplus",1-NORMDIST(-0.00001,I8,I13,TRUE),NORMDIST(-0.00001,I8,I13,TRUE))</f>
        <v>#NUM!</v>
      </c>
      <c r="J38" s="428">
        <f t="shared" ca="1" si="14"/>
        <v>0</v>
      </c>
      <c r="K38" s="428">
        <f t="shared" ca="1" si="14"/>
        <v>0</v>
      </c>
      <c r="L38" s="428">
        <f t="shared" ca="1" si="14"/>
        <v>0</v>
      </c>
      <c r="M38" s="428">
        <f t="shared" ca="1" si="14"/>
        <v>0</v>
      </c>
      <c r="N38" s="428">
        <f t="shared" ca="1" si="14"/>
        <v>0</v>
      </c>
      <c r="O38" s="425"/>
    </row>
    <row r="40" spans="1:15" x14ac:dyDescent="0.2">
      <c r="B40" s="424"/>
      <c r="C40" s="254">
        <f t="shared" ref="C40:G41" si="15">C7</f>
        <v>2009</v>
      </c>
      <c r="D40" s="254">
        <f t="shared" si="15"/>
        <v>2010</v>
      </c>
      <c r="E40" s="254">
        <f t="shared" si="15"/>
        <v>2011</v>
      </c>
      <c r="F40" s="254">
        <f t="shared" si="15"/>
        <v>2012</v>
      </c>
      <c r="G40" s="254">
        <f t="shared" si="15"/>
        <v>2013</v>
      </c>
      <c r="H40" s="254">
        <f t="shared" ref="H40:N41" si="16">H7</f>
        <v>2014</v>
      </c>
      <c r="I40" s="254">
        <f t="shared" si="16"/>
        <v>2015</v>
      </c>
      <c r="J40" s="254">
        <f t="shared" si="16"/>
        <v>2016</v>
      </c>
      <c r="K40" s="254">
        <f t="shared" si="16"/>
        <v>2017</v>
      </c>
      <c r="L40" s="254">
        <f t="shared" si="16"/>
        <v>2018</v>
      </c>
      <c r="M40" s="254">
        <f t="shared" si="16"/>
        <v>2019</v>
      </c>
      <c r="N40" s="254">
        <f t="shared" si="16"/>
        <v>2020</v>
      </c>
      <c r="O40" s="424"/>
    </row>
    <row r="41" spans="1:15" x14ac:dyDescent="0.2">
      <c r="B41" s="433" t="s">
        <v>262</v>
      </c>
      <c r="C41" s="430">
        <f t="shared" si="15"/>
        <v>59573.498559999978</v>
      </c>
      <c r="D41" s="430">
        <f t="shared" si="15"/>
        <v>142542</v>
      </c>
      <c r="E41" s="430">
        <f t="shared" si="15"/>
        <v>220291.52192999981</v>
      </c>
      <c r="F41" s="430">
        <f t="shared" si="15"/>
        <v>49124</v>
      </c>
      <c r="G41" s="430">
        <f t="shared" si="15"/>
        <v>-43486.870000000112</v>
      </c>
      <c r="H41" s="430">
        <f t="shared" si="16"/>
        <v>248000</v>
      </c>
      <c r="I41" s="430">
        <f t="shared" si="16"/>
        <v>225000</v>
      </c>
      <c r="J41" s="430">
        <f t="shared" ca="1" si="16"/>
        <v>-424753.4687173015</v>
      </c>
      <c r="K41" s="430">
        <f t="shared" ca="1" si="16"/>
        <v>-438716.71070085862</v>
      </c>
      <c r="L41" s="430">
        <f t="shared" ca="1" si="16"/>
        <v>-454268.36330096371</v>
      </c>
      <c r="M41" s="430">
        <f t="shared" ca="1" si="16"/>
        <v>-471500.50182560121</v>
      </c>
      <c r="N41" s="430">
        <f t="shared" ca="1" si="16"/>
        <v>-490507.71717088285</v>
      </c>
    </row>
    <row r="42" spans="1:15" x14ac:dyDescent="0.2">
      <c r="B42" s="432" t="str">
        <f>TEXT(B29,"#%")&amp;" Above"</f>
        <v>90% Above</v>
      </c>
      <c r="C42" s="430">
        <f>C41</f>
        <v>59573.498559999978</v>
      </c>
      <c r="D42" s="430">
        <f>D41</f>
        <v>142542</v>
      </c>
      <c r="E42" s="430">
        <f>E41</f>
        <v>220291.52192999981</v>
      </c>
      <c r="F42" s="430">
        <v>49124</v>
      </c>
      <c r="G42" s="430">
        <v>-43486.870000000112</v>
      </c>
      <c r="H42" s="430">
        <f>H35</f>
        <v>248000</v>
      </c>
      <c r="I42" s="430">
        <f t="shared" ref="I42:N42" si="17">I35</f>
        <v>225000</v>
      </c>
      <c r="J42" s="430">
        <f t="shared" ca="1" si="17"/>
        <v>-393627.96512041579</v>
      </c>
      <c r="K42" s="430">
        <f t="shared" ca="1" si="17"/>
        <v>-393090.57069234806</v>
      </c>
      <c r="L42" s="430">
        <f t="shared" ca="1" si="17"/>
        <v>-396341.83150473831</v>
      </c>
      <c r="M42" s="430">
        <f t="shared" ca="1" si="17"/>
        <v>-402156.74533132929</v>
      </c>
      <c r="N42" s="430">
        <f t="shared" ca="1" si="17"/>
        <v>-410123.27445270662</v>
      </c>
      <c r="O42" s="421"/>
    </row>
    <row r="43" spans="1:15" x14ac:dyDescent="0.2">
      <c r="B43" s="432" t="str">
        <f>TEXT(B34,"#%")&amp;" Above"</f>
        <v>75% Above</v>
      </c>
      <c r="C43" s="430">
        <v>0</v>
      </c>
      <c r="D43" s="430">
        <v>0</v>
      </c>
      <c r="E43" s="430">
        <v>0</v>
      </c>
      <c r="F43" s="430">
        <v>0</v>
      </c>
      <c r="G43" s="430">
        <v>0</v>
      </c>
      <c r="H43" s="430">
        <f>H34-H35</f>
        <v>0</v>
      </c>
      <c r="I43" s="430">
        <f t="shared" ref="I43:N43" si="18">I34-I35</f>
        <v>0</v>
      </c>
      <c r="J43" s="430">
        <f t="shared" ca="1" si="18"/>
        <v>-9357.4853429276845</v>
      </c>
      <c r="K43" s="430">
        <f t="shared" ca="1" si="18"/>
        <v>-13716.916581125581</v>
      </c>
      <c r="L43" s="430">
        <f t="shared" ca="1" si="18"/>
        <v>-17414.872359014582</v>
      </c>
      <c r="M43" s="430">
        <f t="shared" ca="1" si="18"/>
        <v>-20847.315224921273</v>
      </c>
      <c r="N43" s="430">
        <f t="shared" ca="1" si="18"/>
        <v>-24166.55660504743</v>
      </c>
    </row>
    <row r="44" spans="1:15" x14ac:dyDescent="0.2">
      <c r="B44" s="432" t="str">
        <f>TEXT(B33,"#%")&amp;" Above"</f>
        <v>50% Above</v>
      </c>
      <c r="C44" s="430">
        <v>0</v>
      </c>
      <c r="D44" s="430">
        <v>0</v>
      </c>
      <c r="E44" s="430">
        <v>0</v>
      </c>
      <c r="F44" s="430">
        <v>0</v>
      </c>
      <c r="G44" s="430">
        <v>0</v>
      </c>
      <c r="H44" s="430">
        <f>H33-H34</f>
        <v>0</v>
      </c>
      <c r="I44" s="430">
        <f t="shared" ref="I44:N44" si="19">I33-I34</f>
        <v>0</v>
      </c>
      <c r="J44" s="430">
        <f t="shared" ca="1" si="19"/>
        <v>-9004.6739649588126</v>
      </c>
      <c r="K44" s="430">
        <f t="shared" ca="1" si="19"/>
        <v>-13199.738721570699</v>
      </c>
      <c r="L44" s="430">
        <f t="shared" ca="1" si="19"/>
        <v>-16758.268058930931</v>
      </c>
      <c r="M44" s="430">
        <f t="shared" ca="1" si="19"/>
        <v>-20061.295290942362</v>
      </c>
      <c r="N44" s="430">
        <f t="shared" ca="1" si="19"/>
        <v>-23255.389146683796</v>
      </c>
    </row>
    <row r="45" spans="1:15" x14ac:dyDescent="0.2">
      <c r="B45" s="432" t="str">
        <f>TEXT(B32,"#%")&amp;" Above"</f>
        <v>25% Above</v>
      </c>
      <c r="C45" s="430">
        <v>0</v>
      </c>
      <c r="D45" s="430">
        <v>0</v>
      </c>
      <c r="E45" s="430">
        <v>0</v>
      </c>
      <c r="F45" s="430">
        <v>0</v>
      </c>
      <c r="G45" s="430">
        <v>0</v>
      </c>
      <c r="H45" s="430">
        <f>H32-H33</f>
        <v>0</v>
      </c>
      <c r="I45" s="430">
        <f t="shared" ref="I45:N45" si="20">I32-I33</f>
        <v>0</v>
      </c>
      <c r="J45" s="430">
        <f t="shared" ca="1" si="20"/>
        <v>-6733.74353506224</v>
      </c>
      <c r="K45" s="430">
        <f t="shared" ca="1" si="20"/>
        <v>-9870.835482414288</v>
      </c>
      <c r="L45" s="430">
        <f t="shared" ca="1" si="20"/>
        <v>-12531.922825834656</v>
      </c>
      <c r="M45" s="430">
        <f t="shared" ca="1" si="20"/>
        <v>-15001.944323142001</v>
      </c>
      <c r="N45" s="430">
        <f t="shared" ca="1" si="20"/>
        <v>-17390.504856835818</v>
      </c>
    </row>
    <row r="46" spans="1:15" x14ac:dyDescent="0.2">
      <c r="B46" s="432" t="str">
        <f>TEXT(B31,"#%")&amp;" Above/Below"</f>
        <v>10% Above/Below</v>
      </c>
      <c r="C46" s="430">
        <v>0</v>
      </c>
      <c r="D46" s="430">
        <v>0</v>
      </c>
      <c r="E46" s="430">
        <v>0</v>
      </c>
      <c r="F46" s="430">
        <v>0</v>
      </c>
      <c r="G46" s="430">
        <v>0</v>
      </c>
      <c r="H46" s="430">
        <f>H31-H32</f>
        <v>0</v>
      </c>
      <c r="I46" s="430">
        <f t="shared" ref="I46:N46" si="21">I31-I32</f>
        <v>0</v>
      </c>
      <c r="J46" s="430">
        <f t="shared" ca="1" si="21"/>
        <v>-3651.7157923576306</v>
      </c>
      <c r="K46" s="430">
        <f t="shared" ca="1" si="21"/>
        <v>-5352.9638643362559</v>
      </c>
      <c r="L46" s="430">
        <f t="shared" ca="1" si="21"/>
        <v>-6796.0741678713821</v>
      </c>
      <c r="M46" s="430">
        <f t="shared" ca="1" si="21"/>
        <v>-8135.5692737087375</v>
      </c>
      <c r="N46" s="430">
        <f t="shared" ca="1" si="21"/>
        <v>-9430.8880182488356</v>
      </c>
    </row>
    <row r="47" spans="1:15" x14ac:dyDescent="0.2">
      <c r="B47" s="434">
        <f>B25</f>
        <v>0.1</v>
      </c>
      <c r="C47" s="430">
        <v>0</v>
      </c>
      <c r="D47" s="430">
        <v>0</v>
      </c>
      <c r="E47" s="430">
        <v>0</v>
      </c>
      <c r="F47" s="430">
        <v>0</v>
      </c>
      <c r="G47" s="430">
        <v>0</v>
      </c>
      <c r="H47" s="430">
        <f>H25-H31</f>
        <v>0</v>
      </c>
      <c r="I47" s="430">
        <f t="shared" ref="I47:N47" si="22">I25-I31</f>
        <v>0</v>
      </c>
      <c r="J47" s="430">
        <f t="shared" ca="1" si="22"/>
        <v>-4755.7699231586885</v>
      </c>
      <c r="K47" s="430">
        <f t="shared" ca="1" si="22"/>
        <v>-6971.3707181274658</v>
      </c>
      <c r="L47" s="430">
        <f t="shared" ca="1" si="22"/>
        <v>-8850.7887691477081</v>
      </c>
      <c r="M47" s="430">
        <f t="shared" ca="1" si="22"/>
        <v>-10595.26476311509</v>
      </c>
      <c r="N47" s="430">
        <f t="shared" ca="1" si="22"/>
        <v>-12282.2081827207</v>
      </c>
    </row>
    <row r="48" spans="1:15" x14ac:dyDescent="0.2">
      <c r="B48" s="432" t="str">
        <f>TEXT(B26,"#%")&amp;" Below"</f>
        <v>25% Below</v>
      </c>
      <c r="C48" s="430">
        <v>0</v>
      </c>
      <c r="D48" s="430">
        <v>0</v>
      </c>
      <c r="E48" s="430">
        <v>0</v>
      </c>
      <c r="F48" s="430">
        <v>0</v>
      </c>
      <c r="G48" s="430">
        <v>0</v>
      </c>
      <c r="H48" s="430">
        <f t="shared" ref="H48:N48" si="23">H26-H25</f>
        <v>0</v>
      </c>
      <c r="I48" s="430">
        <f t="shared" si="23"/>
        <v>0</v>
      </c>
      <c r="J48" s="430">
        <f t="shared" ca="1" si="23"/>
        <v>-3651.7157923576306</v>
      </c>
      <c r="K48" s="430">
        <f t="shared" ca="1" si="23"/>
        <v>-5352.9638643362559</v>
      </c>
      <c r="L48" s="430">
        <f t="shared" ca="1" si="23"/>
        <v>-6796.0741678713821</v>
      </c>
      <c r="M48" s="430">
        <f t="shared" ca="1" si="23"/>
        <v>-8135.5692737087375</v>
      </c>
      <c r="N48" s="430">
        <f t="shared" ca="1" si="23"/>
        <v>-9430.8880182488356</v>
      </c>
    </row>
    <row r="49" spans="2:14" x14ac:dyDescent="0.2">
      <c r="B49" s="432" t="str">
        <f>TEXT(B27,"#%")&amp;" Below"</f>
        <v>50% Below</v>
      </c>
      <c r="C49" s="430">
        <v>0</v>
      </c>
      <c r="D49" s="430">
        <v>0</v>
      </c>
      <c r="E49" s="430">
        <v>0</v>
      </c>
      <c r="F49" s="430">
        <v>0</v>
      </c>
      <c r="G49" s="430">
        <v>0</v>
      </c>
      <c r="H49" s="430">
        <f t="shared" ref="H49:M51" si="24">H27-H26</f>
        <v>0</v>
      </c>
      <c r="I49" s="430">
        <f t="shared" si="24"/>
        <v>0</v>
      </c>
      <c r="J49" s="430">
        <f t="shared" ca="1" si="24"/>
        <v>-6733.74353506224</v>
      </c>
      <c r="K49" s="430">
        <f t="shared" ca="1" si="24"/>
        <v>-9870.835482414288</v>
      </c>
      <c r="L49" s="430">
        <f t="shared" ca="1" si="24"/>
        <v>-12531.922825834656</v>
      </c>
      <c r="M49" s="430">
        <f t="shared" ca="1" si="24"/>
        <v>-15001.944323142001</v>
      </c>
      <c r="N49" s="430">
        <f ca="1">N27-N26</f>
        <v>-17390.504856835818</v>
      </c>
    </row>
    <row r="50" spans="2:14" x14ac:dyDescent="0.2">
      <c r="B50" s="432" t="str">
        <f>TEXT(B28,"#%")&amp;" Below"</f>
        <v>75% Below</v>
      </c>
      <c r="C50" s="430">
        <v>0</v>
      </c>
      <c r="D50" s="430">
        <v>0</v>
      </c>
      <c r="E50" s="430">
        <v>0</v>
      </c>
      <c r="F50" s="430">
        <v>0</v>
      </c>
      <c r="G50" s="430">
        <v>0</v>
      </c>
      <c r="H50" s="430">
        <f t="shared" si="24"/>
        <v>0</v>
      </c>
      <c r="I50" s="430">
        <f t="shared" si="24"/>
        <v>0</v>
      </c>
      <c r="J50" s="430">
        <f t="shared" ca="1" si="24"/>
        <v>-9004.6739649588126</v>
      </c>
      <c r="K50" s="430">
        <f t="shared" ca="1" si="24"/>
        <v>-13199.738721570699</v>
      </c>
      <c r="L50" s="430">
        <f t="shared" ca="1" si="24"/>
        <v>-16758.268058930931</v>
      </c>
      <c r="M50" s="430">
        <f t="shared" ca="1" si="24"/>
        <v>-20061.295290942362</v>
      </c>
      <c r="N50" s="430">
        <f ca="1">N28-N27</f>
        <v>-23255.389146683854</v>
      </c>
    </row>
    <row r="51" spans="2:14" x14ac:dyDescent="0.2">
      <c r="B51" s="432" t="str">
        <f>TEXT(B29,"#%")&amp;" Below"</f>
        <v>90% Below</v>
      </c>
      <c r="C51" s="430">
        <v>0</v>
      </c>
      <c r="D51" s="430">
        <v>0</v>
      </c>
      <c r="E51" s="430">
        <v>0</v>
      </c>
      <c r="F51" s="430">
        <v>0</v>
      </c>
      <c r="G51" s="430">
        <v>0</v>
      </c>
      <c r="H51" s="430">
        <f t="shared" si="24"/>
        <v>0</v>
      </c>
      <c r="I51" s="430">
        <f t="shared" si="24"/>
        <v>0</v>
      </c>
      <c r="J51" s="430">
        <f t="shared" ca="1" si="24"/>
        <v>-9357.4853429276845</v>
      </c>
      <c r="K51" s="430">
        <f t="shared" ca="1" si="24"/>
        <v>-13716.916581125581</v>
      </c>
      <c r="L51" s="430">
        <f t="shared" ca="1" si="24"/>
        <v>-17414.872359014582</v>
      </c>
      <c r="M51" s="430">
        <f t="shared" ca="1" si="24"/>
        <v>-20847.315224921273</v>
      </c>
      <c r="N51" s="430">
        <f ca="1">N29-N28</f>
        <v>-24166.556605047313</v>
      </c>
    </row>
  </sheetData>
  <pageMargins left="0.75" right="0.75" top="1" bottom="1" header="0.5" footer="0.5"/>
  <pageSetup paperSize="5" scale="72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E33"/>
  <sheetViews>
    <sheetView workbookViewId="0">
      <selection activeCell="G20" sqref="G20"/>
    </sheetView>
  </sheetViews>
  <sheetFormatPr defaultColWidth="18.7109375" defaultRowHeight="12.75" customHeight="1" x14ac:dyDescent="0.2"/>
  <cols>
    <col min="1" max="1" width="14.7109375" style="190" bestFit="1" customWidth="1"/>
    <col min="2" max="2" width="14.42578125" style="190" bestFit="1" customWidth="1"/>
    <col min="3" max="4" width="18.7109375" style="190"/>
    <col min="5" max="16384" width="18.7109375" style="167"/>
  </cols>
  <sheetData>
    <row r="2" spans="1:5" ht="12.75" customHeight="1" x14ac:dyDescent="0.25">
      <c r="A2" s="609" t="s">
        <v>351</v>
      </c>
    </row>
    <row r="3" spans="1:5" ht="12.75" customHeight="1" x14ac:dyDescent="0.2">
      <c r="B3" s="408">
        <v>0</v>
      </c>
      <c r="C3" s="408">
        <v>1</v>
      </c>
      <c r="D3" s="408">
        <v>2</v>
      </c>
      <c r="E3" s="408">
        <v>4</v>
      </c>
    </row>
    <row r="4" spans="1:5" ht="12.75" customHeight="1" x14ac:dyDescent="0.2">
      <c r="A4" s="471">
        <v>2014</v>
      </c>
      <c r="B4" s="654">
        <v>-45899.375</v>
      </c>
      <c r="C4" s="654">
        <v>-145435.375</v>
      </c>
      <c r="D4" s="654">
        <v>-12109.375</v>
      </c>
      <c r="E4" s="654">
        <v>450000</v>
      </c>
    </row>
    <row r="5" spans="1:5" ht="12.75" customHeight="1" x14ac:dyDescent="0.2">
      <c r="A5" s="471">
        <v>2015</v>
      </c>
      <c r="B5" s="654">
        <v>-21412.49169568019</v>
      </c>
      <c r="C5" s="654">
        <v>-114389.49169568019</v>
      </c>
      <c r="D5" s="654">
        <v>-109634</v>
      </c>
      <c r="E5" s="654">
        <v>225603.50830431981</v>
      </c>
    </row>
    <row r="6" spans="1:5" ht="12.75" customHeight="1" x14ac:dyDescent="0.2">
      <c r="A6" s="404">
        <v>2016</v>
      </c>
      <c r="B6" s="654">
        <v>-37678.536468847189</v>
      </c>
      <c r="C6" s="654">
        <v>-133673.74078884674</v>
      </c>
      <c r="D6" s="654">
        <v>-64073.10603797622</v>
      </c>
      <c r="E6" s="654">
        <v>216530.40226634359</v>
      </c>
    </row>
    <row r="7" spans="1:5" ht="12.75" customHeight="1" x14ac:dyDescent="0.2">
      <c r="A7" s="404">
        <v>2017</v>
      </c>
      <c r="B7" s="654">
        <v>-34750.704541919753</v>
      </c>
      <c r="C7" s="654">
        <v>-125071.9292338863</v>
      </c>
      <c r="D7" s="654">
        <v>-62065.895298586227</v>
      </c>
      <c r="E7" s="654">
        <v>154464.50696775736</v>
      </c>
    </row>
    <row r="8" spans="1:5" ht="12.75" customHeight="1" x14ac:dyDescent="0.2">
      <c r="A8" s="404">
        <v>2018</v>
      </c>
      <c r="B8" s="654">
        <v>-40474.50109941978</v>
      </c>
      <c r="C8" s="654">
        <v>-126881.08282362286</v>
      </c>
      <c r="D8" s="654">
        <v>-70152.863671392668</v>
      </c>
      <c r="E8" s="654">
        <v>84311.643296364695</v>
      </c>
    </row>
    <row r="9" spans="1:5" ht="12.75" customHeight="1" x14ac:dyDescent="0.2">
      <c r="A9" s="404">
        <v>2019</v>
      </c>
      <c r="B9" s="654">
        <v>-43725.920431814156</v>
      </c>
      <c r="C9" s="654">
        <v>-135041.70722936344</v>
      </c>
      <c r="D9" s="654">
        <v>-86007.374541556928</v>
      </c>
      <c r="E9" s="654">
        <v>-1695.7312451922335</v>
      </c>
    </row>
    <row r="10" spans="1:5" ht="12.75" customHeight="1" x14ac:dyDescent="0.2">
      <c r="A10" s="404">
        <v>2020</v>
      </c>
      <c r="B10" s="654">
        <v>-54231.600004861131</v>
      </c>
      <c r="C10" s="654">
        <v>-147353.66358216561</v>
      </c>
      <c r="D10" s="654">
        <v>-96626.317642056383</v>
      </c>
      <c r="E10" s="654">
        <v>-80000</v>
      </c>
    </row>
    <row r="11" spans="1:5" ht="12.75" customHeight="1" x14ac:dyDescent="0.2">
      <c r="A11" s="404">
        <f t="shared" ref="A11:A16" si="0">A10+1</f>
        <v>2021</v>
      </c>
      <c r="B11" s="654">
        <v>-64932.639741756953</v>
      </c>
      <c r="C11" s="813">
        <v>-158931.07814965968</v>
      </c>
      <c r="D11" s="813">
        <v>-117443.23125227058</v>
      </c>
      <c r="E11" s="813">
        <v>-80000</v>
      </c>
    </row>
    <row r="12" spans="1:5" ht="12.75" customHeight="1" x14ac:dyDescent="0.2">
      <c r="A12" s="404">
        <f t="shared" si="0"/>
        <v>2022</v>
      </c>
      <c r="B12" s="654">
        <v>-67933.690536239184</v>
      </c>
      <c r="C12" s="813">
        <v>-170791.60409051209</v>
      </c>
      <c r="D12" s="813">
        <v>-127499.72417706001</v>
      </c>
      <c r="E12" s="813">
        <v>-80000</v>
      </c>
    </row>
    <row r="13" spans="1:5" ht="12.75" customHeight="1" x14ac:dyDescent="0.2">
      <c r="A13" s="404">
        <f t="shared" si="0"/>
        <v>2023</v>
      </c>
      <c r="B13" s="654">
        <v>-79500.230318981223</v>
      </c>
      <c r="C13" s="813">
        <v>-181870.48717179685</v>
      </c>
      <c r="D13" s="813">
        <v>-137827.5596648684</v>
      </c>
      <c r="E13" s="813">
        <v>-80000</v>
      </c>
    </row>
    <row r="14" spans="1:5" ht="12.75" customHeight="1" x14ac:dyDescent="0.2">
      <c r="A14" s="404">
        <f t="shared" si="0"/>
        <v>2024</v>
      </c>
      <c r="B14" s="654">
        <v>-90443.491979082115</v>
      </c>
      <c r="C14" s="813">
        <v>-193024.25088200858</v>
      </c>
      <c r="D14" s="813">
        <v>-147632.79846946453</v>
      </c>
      <c r="E14" s="813">
        <v>-80000</v>
      </c>
    </row>
    <row r="15" spans="1:5" ht="12.75" customHeight="1" x14ac:dyDescent="0.2">
      <c r="A15" s="404">
        <f t="shared" si="0"/>
        <v>2025</v>
      </c>
      <c r="B15" s="654">
        <v>-95140.1010244512</v>
      </c>
      <c r="C15" s="813">
        <v>-204215.09711069561</v>
      </c>
      <c r="D15" s="813">
        <v>-165936.91111465247</v>
      </c>
      <c r="E15" s="813">
        <v>-80000</v>
      </c>
    </row>
    <row r="16" spans="1:5" ht="12.75" customHeight="1" x14ac:dyDescent="0.2">
      <c r="A16" s="404">
        <f t="shared" si="0"/>
        <v>2026</v>
      </c>
      <c r="B16" s="654">
        <v>-99635.782885293476</v>
      </c>
      <c r="C16" s="813">
        <v>-215398.85215264</v>
      </c>
      <c r="D16" s="813">
        <v>-184487.54047478107</v>
      </c>
      <c r="E16" s="813">
        <v>-80000</v>
      </c>
    </row>
    <row r="17" spans="1:5" ht="12.75" customHeight="1" x14ac:dyDescent="0.2">
      <c r="B17" s="654"/>
    </row>
    <row r="19" spans="1:5" ht="12.75" customHeight="1" x14ac:dyDescent="0.25">
      <c r="A19" s="609" t="s">
        <v>352</v>
      </c>
    </row>
    <row r="20" spans="1:5" ht="12.75" customHeight="1" x14ac:dyDescent="0.2">
      <c r="B20" s="408">
        <v>0</v>
      </c>
      <c r="C20" s="408">
        <v>1</v>
      </c>
      <c r="D20" s="408">
        <v>2</v>
      </c>
      <c r="E20" s="408">
        <v>4</v>
      </c>
    </row>
    <row r="21" spans="1:5" ht="12.75" customHeight="1" x14ac:dyDescent="0.2">
      <c r="A21" s="471">
        <v>2014</v>
      </c>
      <c r="B21" s="654">
        <f>'2. MD&amp;A'!R$39</f>
        <v>234200</v>
      </c>
      <c r="C21" s="654">
        <f>Simplified_Income_Statement!K$45</f>
        <v>248000</v>
      </c>
      <c r="D21" s="654">
        <f>Simplified_Cash_Flow!L$82</f>
        <v>244525</v>
      </c>
      <c r="E21" s="654">
        <v>450000</v>
      </c>
    </row>
    <row r="22" spans="1:5" ht="12.75" customHeight="1" x14ac:dyDescent="0.2">
      <c r="A22" s="471">
        <v>2015</v>
      </c>
      <c r="B22" s="654">
        <f>'2. MD&amp;A'!S$39</f>
        <v>234100</v>
      </c>
      <c r="C22" s="654">
        <f>Simplified_Income_Statement!L$45</f>
        <v>225000</v>
      </c>
      <c r="D22" s="654">
        <f>Simplified_Cash_Flow!M$82</f>
        <v>87504.49169568019</v>
      </c>
      <c r="E22" s="654">
        <f>Simplified_Cash_Flow!N90</f>
        <v>422742</v>
      </c>
    </row>
    <row r="23" spans="1:5" ht="12.75" customHeight="1" x14ac:dyDescent="0.2">
      <c r="A23" s="404">
        <v>2016</v>
      </c>
      <c r="B23" s="654">
        <f ca="1">'2. MD&amp;A'!T$39</f>
        <v>-414728.4687173015</v>
      </c>
      <c r="C23" s="654">
        <f ca="1">Simplified_Income_Statement!M$45</f>
        <v>-424753.4687173015</v>
      </c>
      <c r="D23" s="654">
        <f ca="1">Simplified_Cash_Flow!N82</f>
        <v>-467660.13159099594</v>
      </c>
      <c r="E23" s="654">
        <f ca="1">Simplified_Cash_Flow!N91</f>
        <v>10081.868409004062</v>
      </c>
    </row>
    <row r="24" spans="1:5" ht="12.75" customHeight="1" x14ac:dyDescent="0.2">
      <c r="A24" s="404">
        <v>2017</v>
      </c>
      <c r="B24" s="654">
        <f ca="1">'2. MD&amp;A'!U$39</f>
        <v>-427766.08570085862</v>
      </c>
      <c r="C24" s="654">
        <f ca="1">Simplified_Income_Statement!N45</f>
        <v>-438716.71070085862</v>
      </c>
      <c r="D24" s="654">
        <f ca="1">Simplified_Cash_Flow!O82</f>
        <v>-501839.59449614794</v>
      </c>
      <c r="E24" s="654" t="e">
        <f ca="1">Simplified_Cash_Flow!O91</f>
        <v>#REF!</v>
      </c>
    </row>
    <row r="25" spans="1:5" ht="12.75" customHeight="1" x14ac:dyDescent="0.2">
      <c r="A25" s="404">
        <v>2018</v>
      </c>
      <c r="B25" s="654">
        <f ca="1">'2. MD&amp;A'!V$39</f>
        <v>-442391.47267596377</v>
      </c>
      <c r="C25" s="654">
        <f ca="1">Simplified_Income_Statement!O$45</f>
        <v>-454268.36330096371</v>
      </c>
      <c r="D25" s="654">
        <f ca="1">Simplified_Cash_Flow!P82</f>
        <v>-547175.75222357968</v>
      </c>
      <c r="E25" s="654" t="e">
        <f ca="1">Simplified_Cash_Flow!P91</f>
        <v>#REF!</v>
      </c>
    </row>
    <row r="26" spans="1:5" ht="12.75" customHeight="1" x14ac:dyDescent="0.2">
      <c r="A26" s="404">
        <v>2019</v>
      </c>
      <c r="B26" s="654">
        <f ca="1">'2. MD&amp;A'!W$39</f>
        <v>-458696.68893497624</v>
      </c>
      <c r="C26" s="654">
        <f ca="1">Simplified_Income_Statement!P$45</f>
        <v>-471500.50182560121</v>
      </c>
      <c r="D26" s="654">
        <f ca="1">Simplified_Cash_Flow!Q82</f>
        <v>-589337.62681920198</v>
      </c>
      <c r="E26" s="654" t="e">
        <f ca="1">Simplified_Cash_Flow!Q91</f>
        <v>#REF!</v>
      </c>
    </row>
    <row r="27" spans="1:5" ht="12.75" customHeight="1" x14ac:dyDescent="0.2">
      <c r="A27" s="404">
        <v>2020</v>
      </c>
      <c r="B27" s="654">
        <f ca="1">'2. MD&amp;A'!X$39</f>
        <v>-476776.30895799212</v>
      </c>
      <c r="C27" s="654">
        <f ca="1">Simplified_Income_Statement!Q$45</f>
        <v>-490507.71717088285</v>
      </c>
      <c r="D27" s="654">
        <f ca="1">Simplified_Cash_Flow!R82</f>
        <v>-614268.3735230309</v>
      </c>
      <c r="E27" s="654" t="e">
        <f ca="1">Simplified_Cash_Flow!R91</f>
        <v>#REF!</v>
      </c>
    </row>
    <row r="28" spans="1:5" ht="12.75" customHeight="1" x14ac:dyDescent="0.2">
      <c r="A28" s="404">
        <f t="shared" ref="A28:A33" si="1">A27+1</f>
        <v>2021</v>
      </c>
      <c r="B28" s="654">
        <f ca="1">'2. MD&amp;A'!AA$39</f>
        <v>-516378.36516774609</v>
      </c>
      <c r="C28" s="654">
        <f ca="1">Simplified_Income_Statement!R$45</f>
        <v>-504779.55572301021</v>
      </c>
      <c r="D28" s="654">
        <f ca="1">Simplified_Cash_Flow!S82</f>
        <v>-644067.74066557479</v>
      </c>
      <c r="E28" s="654" t="e">
        <f ca="1">Simplified_Cash_Flow!S91</f>
        <v>#REF!</v>
      </c>
    </row>
    <row r="29" spans="1:5" ht="12.75" customHeight="1" x14ac:dyDescent="0.2">
      <c r="A29" s="404">
        <f t="shared" si="1"/>
        <v>2022</v>
      </c>
      <c r="B29" s="654">
        <f ca="1">'2. MD&amp;A'!AB$39</f>
        <v>-530553.43881774298</v>
      </c>
      <c r="C29" s="654">
        <f ca="1">Simplified_Income_Statement!S$45</f>
        <v>-518498.90264205774</v>
      </c>
      <c r="D29" s="654">
        <f ca="1">Simplified_Cash_Flow!T82</f>
        <v>-663036.78197382414</v>
      </c>
      <c r="E29" s="654" t="e">
        <f ca="1">Simplified_Cash_Flow!T91</f>
        <v>#REF!</v>
      </c>
    </row>
    <row r="30" spans="1:5" ht="12.75" customHeight="1" x14ac:dyDescent="0.2">
      <c r="A30" s="404">
        <f t="shared" si="1"/>
        <v>2023</v>
      </c>
      <c r="B30" s="654">
        <f ca="1">'2. MD&amp;A'!AC$39</f>
        <v>-545465.61981688975</v>
      </c>
      <c r="C30" s="654">
        <f ca="1">Simplified_Income_Statement!T$45</f>
        <v>-532896.76806525607</v>
      </c>
      <c r="D30" s="654">
        <f ca="1">Simplified_Cash_Flow!U82</f>
        <v>-683608.08764015313</v>
      </c>
      <c r="E30" s="654" t="e">
        <f ca="1">Simplified_Cash_Flow!U91</f>
        <v>#REF!</v>
      </c>
    </row>
    <row r="31" spans="1:5" ht="12.75" customHeight="1" x14ac:dyDescent="0.2">
      <c r="A31" s="404">
        <f t="shared" si="1"/>
        <v>2024</v>
      </c>
      <c r="B31" s="654">
        <f ca="1">'2. MD&amp;A'!AD$39</f>
        <v>-561150.66130314278</v>
      </c>
      <c r="C31" s="654">
        <f ca="1">Simplified_Income_Statement!U$45</f>
        <v>-548002.30178769073</v>
      </c>
      <c r="D31" s="654">
        <f ca="1">Simplified_Cash_Flow!V82</f>
        <v>-704172.07639012672</v>
      </c>
      <c r="E31" s="654" t="e">
        <f ca="1">Simplified_Cash_Flow!V91</f>
        <v>#REF!</v>
      </c>
    </row>
    <row r="32" spans="1:5" ht="12.75" customHeight="1" x14ac:dyDescent="0.2">
      <c r="A32" s="404">
        <f t="shared" si="1"/>
        <v>2025</v>
      </c>
      <c r="B32" s="654">
        <f ca="1">'2. MD&amp;A'!AE$39</f>
        <v>-577650.06977813551</v>
      </c>
      <c r="C32" s="654">
        <f ca="1">Simplified_Income_Statement!V$45</f>
        <v>-563845.70436108613</v>
      </c>
      <c r="D32" s="654">
        <f ca="1">Simplified_Cash_Flow!W82</f>
        <v>-733841.48656403762</v>
      </c>
      <c r="E32" s="654" t="e">
        <f ca="1">Simplified_Cash_Flow!W91</f>
        <v>#REF!</v>
      </c>
    </row>
    <row r="33" spans="1:5" ht="12.75" customHeight="1" x14ac:dyDescent="0.2">
      <c r="A33" s="404">
        <f t="shared" si="1"/>
        <v>2026</v>
      </c>
      <c r="B33" s="654">
        <f ca="1">'2. MD&amp;A'!AF$39</f>
        <v>-595007.88655725657</v>
      </c>
      <c r="C33" s="654">
        <f ca="1">Simplified_Income_Statement!W$45</f>
        <v>-580462.74796094396</v>
      </c>
      <c r="D33" s="654">
        <f ca="1">Simplified_Cash_Flow!X82</f>
        <v>-764197.85203944077</v>
      </c>
      <c r="E33" s="654" t="e">
        <f ca="1">Simplified_Cash_Flow!X91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102</vt:i4>
      </vt:variant>
    </vt:vector>
  </HeadingPairs>
  <TitlesOfParts>
    <vt:vector size="115" baseType="lpstr">
      <vt:lpstr>1. SRECNA</vt:lpstr>
      <vt:lpstr>2. MD&amp;A</vt:lpstr>
      <vt:lpstr>Simplified_Income_Statement</vt:lpstr>
      <vt:lpstr>Simplified_Cash_Flow</vt:lpstr>
      <vt:lpstr>Scenarios</vt:lpstr>
      <vt:lpstr>Tuition</vt:lpstr>
      <vt:lpstr>Benefits</vt:lpstr>
      <vt:lpstr>Debt Schedule</vt:lpstr>
      <vt:lpstr>Endowment</vt:lpstr>
      <vt:lpstr>Fan Chart_data</vt:lpstr>
      <vt:lpstr>Saved_Scenarios</vt:lpstr>
      <vt:lpstr>Uncertainty Chart</vt:lpstr>
      <vt:lpstr>Probability</vt:lpstr>
      <vt:lpstr>CurrentFiscalYear</vt:lpstr>
      <vt:lpstr>Endowed_gifts</vt:lpstr>
      <vt:lpstr>enr_Grad_Acad</vt:lpstr>
      <vt:lpstr>enr_Grad_Acad_NR</vt:lpstr>
      <vt:lpstr>enr_Grad_Prof</vt:lpstr>
      <vt:lpstr>enr_Grad_Prof_NR</vt:lpstr>
      <vt:lpstr>enr_NR_GrossHC</vt:lpstr>
      <vt:lpstr>enr_UG_instate</vt:lpstr>
      <vt:lpstr>enr_UG_NR</vt:lpstr>
      <vt:lpstr>enr_UG_total</vt:lpstr>
      <vt:lpstr>exp_Benefits</vt:lpstr>
      <vt:lpstr>exp_Capital_Lease</vt:lpstr>
      <vt:lpstr>exp_Debt_Service</vt:lpstr>
      <vt:lpstr>exp_Depr_buildings</vt:lpstr>
      <vt:lpstr>exp_Depreciation</vt:lpstr>
      <vt:lpstr>exp_OE_Savings</vt:lpstr>
      <vt:lpstr>exp_Other_OpEx</vt:lpstr>
      <vt:lpstr>exp_Salaries</vt:lpstr>
      <vt:lpstr>exp_Scholarship</vt:lpstr>
      <vt:lpstr>exp_Supplies</vt:lpstr>
      <vt:lpstr>exp_Utilities</vt:lpstr>
      <vt:lpstr>fee_Discount_Factor</vt:lpstr>
      <vt:lpstr>fee_NR_discount_factor</vt:lpstr>
      <vt:lpstr>fee_NRT_Grad_Acad</vt:lpstr>
      <vt:lpstr>fee_NRT_Grad_Prof</vt:lpstr>
      <vt:lpstr>fee_NRT_UG</vt:lpstr>
      <vt:lpstr>fee_SSF</vt:lpstr>
      <vt:lpstr>fee_Tuition</vt:lpstr>
      <vt:lpstr>foundation_endowment_payout</vt:lpstr>
      <vt:lpstr>Foundation_payout_rate</vt:lpstr>
      <vt:lpstr>Foundation_prct</vt:lpstr>
      <vt:lpstr>FY12_budget_cut</vt:lpstr>
      <vt:lpstr>gr_Auxiliary_Enterprises</vt:lpstr>
      <vt:lpstr>gr_Capital_Gifts</vt:lpstr>
      <vt:lpstr>gr_Depreciation</vt:lpstr>
      <vt:lpstr>gr_Educational_Activities</vt:lpstr>
      <vt:lpstr>gr_endowment</vt:lpstr>
      <vt:lpstr>gr_Federal</vt:lpstr>
      <vt:lpstr>gr_Gifts</vt:lpstr>
      <vt:lpstr>gr_Grants</vt:lpstr>
      <vt:lpstr>gr_Inflation</vt:lpstr>
      <vt:lpstr>gr_interest_expense</vt:lpstr>
      <vt:lpstr>gr_NRST_Grad</vt:lpstr>
      <vt:lpstr>gr_NRT</vt:lpstr>
      <vt:lpstr>gr_Other_OpEx</vt:lpstr>
      <vt:lpstr>gr_Other_Revenues</vt:lpstr>
      <vt:lpstr>gr_Pell_Grant</vt:lpstr>
      <vt:lpstr>gr_Reg_Fee</vt:lpstr>
      <vt:lpstr>gr_Salaries</vt:lpstr>
      <vt:lpstr>gr_Scholarship</vt:lpstr>
      <vt:lpstr>gr_Self_Supporting_Fees</vt:lpstr>
      <vt:lpstr>gr_State_Capital_Approp</vt:lpstr>
      <vt:lpstr>gr_State_Educational_Approp</vt:lpstr>
      <vt:lpstr>gr_STIP</vt:lpstr>
      <vt:lpstr>gr_Supplies</vt:lpstr>
      <vt:lpstr>gr_TRIP</vt:lpstr>
      <vt:lpstr>gr_Tuition</vt:lpstr>
      <vt:lpstr>gr_UG_Enrollment</vt:lpstr>
      <vt:lpstr>gr_Utilities</vt:lpstr>
      <vt:lpstr>oe</vt:lpstr>
      <vt:lpstr>pct_Benefits</vt:lpstr>
      <vt:lpstr>pct_Gift_Fee</vt:lpstr>
      <vt:lpstr>pct_NonResident</vt:lpstr>
      <vt:lpstr>pct_NR_gross_enrollment</vt:lpstr>
      <vt:lpstr>PDST_Fee_Growth</vt:lpstr>
      <vt:lpstr>'1. SRECNA'!Print_Area</vt:lpstr>
      <vt:lpstr>'2. MD&amp;A'!Print_Area</vt:lpstr>
      <vt:lpstr>Benefits!Print_Area</vt:lpstr>
      <vt:lpstr>'Debt Schedule'!Print_Area</vt:lpstr>
      <vt:lpstr>Endowment!Print_Area</vt:lpstr>
      <vt:lpstr>Simplified_Cash_Flow!Print_Area</vt:lpstr>
      <vt:lpstr>Simplified_Income_Statement!Print_Area</vt:lpstr>
      <vt:lpstr>Tuition!Print_Area</vt:lpstr>
      <vt:lpstr>regent_endowment_payout</vt:lpstr>
      <vt:lpstr>Regents_payout_rate</vt:lpstr>
      <vt:lpstr>Return_to_Aid</vt:lpstr>
      <vt:lpstr>Return_To_Aid_Increment</vt:lpstr>
      <vt:lpstr>rev_Auxiliary_Enterprises</vt:lpstr>
      <vt:lpstr>rev_Educational_Activities</vt:lpstr>
      <vt:lpstr>rev_Endowment_net</vt:lpstr>
      <vt:lpstr>rev_Federal_Pell_Grants</vt:lpstr>
      <vt:lpstr>rev_Graduate_Professional_Fees</vt:lpstr>
      <vt:lpstr>rev_Grants_and_Contracts_net</vt:lpstr>
      <vt:lpstr>rev_grants_federal</vt:lpstr>
      <vt:lpstr>rev_grants_local</vt:lpstr>
      <vt:lpstr>rev_grants_private</vt:lpstr>
      <vt:lpstr>rev_grants_State</vt:lpstr>
      <vt:lpstr>rev_NRT</vt:lpstr>
      <vt:lpstr>rev_Other_Operating</vt:lpstr>
      <vt:lpstr>rev_Other_ST_Fees</vt:lpstr>
      <vt:lpstr>rev_Private_Gifts</vt:lpstr>
      <vt:lpstr>rev_Self_Supporting</vt:lpstr>
      <vt:lpstr>rev_state_augmentation</vt:lpstr>
      <vt:lpstr>rev_State_General_Support</vt:lpstr>
      <vt:lpstr>rev_State_reductions</vt:lpstr>
      <vt:lpstr>rev_State_UCRP</vt:lpstr>
      <vt:lpstr>rev_STIP</vt:lpstr>
      <vt:lpstr>rev_Student_Services_Fee</vt:lpstr>
      <vt:lpstr>rev_Student_tuition_fees_net</vt:lpstr>
      <vt:lpstr>rev_TRIP</vt:lpstr>
      <vt:lpstr>rev_Tuition</vt:lpstr>
      <vt:lpstr>To_endowment</vt:lpstr>
    </vt:vector>
  </TitlesOfParts>
  <Company>University of California at Berkeley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Administrator;bakanic@berkeley.edu</dc:creator>
  <dc:description>The most recent version of the model belongs here in the root. Older files get moved to Archive</dc:description>
  <cp:lastModifiedBy>Mr. Adile Quennarouch, MBA</cp:lastModifiedBy>
  <cp:lastPrinted>2016-02-18T17:16:17Z</cp:lastPrinted>
  <dcterms:created xsi:type="dcterms:W3CDTF">2009-03-03T21:39:57Z</dcterms:created>
  <dcterms:modified xsi:type="dcterms:W3CDTF">2016-11-18T01:05:29Z</dcterms:modified>
</cp:coreProperties>
</file>